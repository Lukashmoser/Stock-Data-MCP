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erly IS" sheetId="1" state="visible" r:id="rId3"/>
    <sheet name="Annual Summary" sheetId="2" state="visible" r:id="rId4"/>
    <sheet name="Valuation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Source: stock-data MCP get_financials (SEC XBRL, us-gaap tags), pulled 2026-10-13. Revenue = us-gaap Revenues / RevenueFromContractWithCustomerExcludingAssessedTax. Q4 (June) quarters are derived by the tool as FY minus Q1-Q3.</t>
        </r>
      </text>
    </comment>
    <comment ref="B12" authorId="0">
      <text>
        <r>
          <rPr>
            <sz val="10"/>
            <rFont val="Arial"/>
            <family val="2"/>
          </rPr>
          <t xml:space="preserve">Actual opex = gross profit - operating income (us-gaap OperatingExpenses equivalent; tool reports OperatingExpenses only from FY2025Q1, and it ties to GP - OI).</t>
        </r>
      </text>
    </comment>
    <comment ref="B15" authorId="0">
      <text>
        <r>
          <rPr>
            <sz val="10"/>
            <rFont val="Arial"/>
            <family val="2"/>
          </rPr>
          <t xml:space="preserve">Actual other income (expense), net = pretax income - operating income (from XBRL pretax and operating income).</t>
        </r>
      </text>
    </comment>
    <comment ref="B20" authorId="0">
      <text>
        <r>
          <rPr>
            <sz val="10"/>
            <rFont val="Arial"/>
            <family val="2"/>
          </rPr>
          <t xml:space="preserve">Q4 diluted shares are not reported as a quarter; FY2024Q4 and FY2025Q4 use the annual FY weighted-average diluted shares (7,469 and 7,465). Other quarters are the reported quarterly weighted-average diluted shares.</t>
        </r>
      </text>
    </comment>
    <comment ref="J11" authorId="0">
      <text>
        <r>
          <rPr>
            <sz val="10"/>
            <rFont val="Arial"/>
            <family val="2"/>
          </rPr>
          <t xml:space="preserve">Trailing-4-quarter average gross margin (prior 4 columns).</t>
        </r>
      </text>
    </comment>
    <comment ref="J20" authorId="0">
      <text>
        <r>
          <rPr>
            <sz val="10"/>
            <rFont val="Arial"/>
            <family val="2"/>
          </rPr>
          <t xml:space="preserve">Latest actual (FY2026Q3: 7,445mm) less 0.3% per quarter, compounded.</t>
        </r>
      </text>
    </comment>
  </commentList>
</comments>
</file>

<file path=xl/sharedStrings.xml><?xml version="1.0" encoding="utf-8"?>
<sst xmlns="http://schemas.openxmlformats.org/spreadsheetml/2006/main" count="118" uniqueCount="90">
  <si>
    <t xml:space="preserve">Microsoft Corporation (MSFT): Quarterly Income Statement</t>
  </si>
  <si>
    <t xml:space="preserve">USD millions except per-share data. Fiscal year ends June 30. A = actual, E = estimate. Model as of late July 2026, before the FY2026Q4 print.</t>
  </si>
  <si>
    <t xml:space="preserve">Fiscal quarter</t>
  </si>
  <si>
    <t xml:space="preserve">FY2024Q4</t>
  </si>
  <si>
    <t xml:space="preserve">FY2025Q1</t>
  </si>
  <si>
    <t xml:space="preserve">FY2025Q2</t>
  </si>
  <si>
    <t xml:space="preserve">FY2025Q3</t>
  </si>
  <si>
    <t xml:space="preserve">FY2025Q4</t>
  </si>
  <si>
    <t xml:space="preserve">FY2026Q1</t>
  </si>
  <si>
    <t xml:space="preserve">FY2026Q2</t>
  </si>
  <si>
    <t xml:space="preserve">FY2026Q3</t>
  </si>
  <si>
    <t xml:space="preserve">FY2026Q4</t>
  </si>
  <si>
    <t xml:space="preserve">FY2027Q1</t>
  </si>
  <si>
    <t xml:space="preserve">FY2027Q2</t>
  </si>
  <si>
    <t xml:space="preserve">FY2027Q3</t>
  </si>
  <si>
    <t xml:space="preserve">FY2027Q4</t>
  </si>
  <si>
    <t xml:space="preserve">Actual / Estimate</t>
  </si>
  <si>
    <t xml:space="preserve">A</t>
  </si>
  <si>
    <t xml:space="preserve">E</t>
  </si>
  <si>
    <t xml:space="preserve">Period end</t>
  </si>
  <si>
    <t xml:space="preserve">2024-06-30</t>
  </si>
  <si>
    <t xml:space="preserve">2024-09-30</t>
  </si>
  <si>
    <t xml:space="preserve">2024-12-31</t>
  </si>
  <si>
    <t xml:space="preserve">2025-03-31</t>
  </si>
  <si>
    <t xml:space="preserve">2025-06-30</t>
  </si>
  <si>
    <t xml:space="preserve">2025-09-30</t>
  </si>
  <si>
    <t xml:space="preserve">2025-12-31</t>
  </si>
  <si>
    <t xml:space="preserve">2026-03-31</t>
  </si>
  <si>
    <t xml:space="preserve">2026-06-30</t>
  </si>
  <si>
    <t xml:space="preserve">2026-09-30</t>
  </si>
  <si>
    <t xml:space="preserve">2026-12-31</t>
  </si>
  <si>
    <t xml:space="preserve">2027-03-31</t>
  </si>
  <si>
    <t xml:space="preserve">2027-06-30</t>
  </si>
  <si>
    <t xml:space="preserve">Revenue ($mm)</t>
  </si>
  <si>
    <t xml:space="preserve">Cost of revenue ($mm)</t>
  </si>
  <si>
    <t xml:space="preserve">Gross profit ($mm)</t>
  </si>
  <si>
    <t xml:space="preserve">Gross margin %</t>
  </si>
  <si>
    <t xml:space="preserve">Operating expenses ($mm)</t>
  </si>
  <si>
    <t xml:space="preserve">Operating income ($mm)</t>
  </si>
  <si>
    <t xml:space="preserve">Operating margin %</t>
  </si>
  <si>
    <t xml:space="preserve">Other income (expense), net ($mm)</t>
  </si>
  <si>
    <t xml:space="preserve">Pretax income ($mm)</t>
  </si>
  <si>
    <t xml:space="preserve">Income tax ($mm)</t>
  </si>
  <si>
    <t xml:space="preserve">Effective tax rate %</t>
  </si>
  <si>
    <t xml:space="preserve">Net income ($mm)</t>
  </si>
  <si>
    <t xml:space="preserve">Diluted shares (mm)</t>
  </si>
  <si>
    <t xml:space="preserve">Diluted EPS ($)</t>
  </si>
  <si>
    <t xml:space="preserve">Revenue growth YoY %</t>
  </si>
  <si>
    <t xml:space="preserve">Source: stock-data MCP get_financials (SEC XBRL, us-gaap tags), pulled 2026-10-13. FY Q4 (June quarter) values are annual minus Q1-Q3 (tool-derived).</t>
  </si>
  <si>
    <t xml:space="preserve">Estimates: revenue = same qtr LY x (1+12%); GM = trailing-4Q avg; opex = same qtr LY x (1+6%); tax 18.0%; other income 0; diluted shares = prior qtr x (1-0.3%). See Assumptions tab.</t>
  </si>
  <si>
    <t xml:space="preserve">MSFT Annual Summary (fiscal years ending June 30)</t>
  </si>
  <si>
    <t xml:space="preserve">USD millions except per share. Built from the Quarterly IS tab; FY2026E = 3 actual quarters + FY2026Q4E.</t>
  </si>
  <si>
    <t xml:space="preserve">Fiscal year</t>
  </si>
  <si>
    <t xml:space="preserve">FY2025</t>
  </si>
  <si>
    <t xml:space="preserve">FY2026</t>
  </si>
  <si>
    <t xml:space="preserve">FY2027</t>
  </si>
  <si>
    <t xml:space="preserve">Composition</t>
  </si>
  <si>
    <t xml:space="preserve">4A</t>
  </si>
  <si>
    <t xml:space="preserve">3A + 1E</t>
  </si>
  <si>
    <t xml:space="preserve">4E</t>
  </si>
  <si>
    <t xml:space="preserve">Diluted shares (mm, avg of quarters)</t>
  </si>
  <si>
    <t xml:space="preserve">Diluted EPS ($, NI / avg shares)</t>
  </si>
  <si>
    <t xml:space="preserve">Revenue growth vs. prior FY %</t>
  </si>
  <si>
    <t xml:space="preserve">Annual diluted EPS = annual net income / average of the four quarterly diluted share counts, so it can differ slightly from the sum of quarterly EPS and from reported annual EPS.</t>
  </si>
  <si>
    <t xml:space="preserve">MSFT Valuation: NTM EPS x P/E</t>
  </si>
  <si>
    <t xml:space="preserve">NTM = the next four quarters after the last actual (FY2026Q3), i.e. FY2026Q4E-FY2027Q3E, consistent with a model dated before the FY2026Q4 print.</t>
  </si>
  <si>
    <t xml:space="preserve">Quarter</t>
  </si>
  <si>
    <t xml:space="preserve">NTM diluted EPS ($)</t>
  </si>
  <si>
    <t xml:space="preserve">Target P/E (x)</t>
  </si>
  <si>
    <t xml:space="preserve">Target price ($)</t>
  </si>
  <si>
    <t xml:space="preserve">MSFT Quarterly Model: Estimate Assumptions</t>
  </si>
  <si>
    <t xml:space="preserve">Blue = hardcoded input; black = formula; green = link to another sheet. Yellow cells are the key levers; edit them to change the estimates.</t>
  </si>
  <si>
    <t xml:space="preserve">Assumption</t>
  </si>
  <si>
    <t xml:space="preserve">Value</t>
  </si>
  <si>
    <t xml:space="preserve">Basis</t>
  </si>
  <si>
    <t xml:space="preserve">Revenue growth vs. same quarter last year</t>
  </si>
  <si>
    <t xml:space="preserve">Estimate rule: revenue = same quarter last year x 1.12</t>
  </si>
  <si>
    <t xml:space="preserve">Opex growth vs. same quarter last year</t>
  </si>
  <si>
    <t xml:space="preserve">Estimate rule: operating expenses = same quarter last year x 1.06</t>
  </si>
  <si>
    <t xml:space="preserve">Tax rate (estimates)</t>
  </si>
  <si>
    <t xml:space="preserve">Estimate rule: tax rate 18.0%</t>
  </si>
  <si>
    <t xml:space="preserve">Diluted share reduction per quarter</t>
  </si>
  <si>
    <t xml:space="preserve">Estimate rule: diluted shares = latest actual minus 0.3% per quarter (compounded)</t>
  </si>
  <si>
    <t xml:space="preserve">Other income (expense), net - estimates ($mm)</t>
  </si>
  <si>
    <t xml:space="preserve">Modeling default (not in spec): non-operating items assumed zero in estimate quarters</t>
  </si>
  <si>
    <t xml:space="preserve">Target P/E multiple on NTM EPS (x)</t>
  </si>
  <si>
    <t xml:space="preserve">Valuation rule: NTM EPS x 30 = target price</t>
  </si>
  <si>
    <t xml:space="preserve">Gross margin method</t>
  </si>
  <si>
    <t xml:space="preserve">Trailing-4-quarter average</t>
  </si>
  <si>
    <t xml:space="preserve">Each estimate quarter's GM = average GM of the 4 preceding quarters (rolls forward through estimates)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</si>
</sst>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0.00;&quot;($&quot;0.00\);\-"/>
    <numFmt numFmtId="168" formatCode="0.0\x"/>
    <numFmt numFmtId="169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customFormat="false" ht="15" hidden="false" customHeight="false" outlineLevel="0" collapsed="false">
      <c r="A5" s="3" t="s">
        <v>16</v>
      </c>
      <c r="B5" s="4" t="s">
        <v>17</v>
      </c>
      <c r="C5" s="4" t="s">
        <v>17</v>
      </c>
      <c r="D5" s="4" t="s">
        <v>17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</row>
    <row r="6" customFormat="false" ht="15" hidden="false" customHeight="false" outlineLevel="0" collapsed="false">
      <c r="A6" s="3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6" t="s">
        <v>27</v>
      </c>
      <c r="J6" s="7" t="s">
        <v>28</v>
      </c>
      <c r="K6" s="7" t="s">
        <v>29</v>
      </c>
      <c r="L6" s="7" t="s">
        <v>30</v>
      </c>
      <c r="M6" s="7" t="s">
        <v>31</v>
      </c>
      <c r="N6" s="7" t="s">
        <v>32</v>
      </c>
    </row>
    <row r="8" customFormat="false" ht="15" hidden="false" customHeight="false" outlineLevel="0" collapsed="false">
      <c r="A8" s="3" t="s">
        <v>33</v>
      </c>
      <c r="B8" s="8" t="n">
        <v>64727</v>
      </c>
      <c r="C8" s="8" t="n">
        <v>65585</v>
      </c>
      <c r="D8" s="8" t="n">
        <v>69632</v>
      </c>
      <c r="E8" s="8" t="n">
        <v>70066</v>
      </c>
      <c r="F8" s="8" t="n">
        <v>76441</v>
      </c>
      <c r="G8" s="8" t="n">
        <v>77673</v>
      </c>
      <c r="H8" s="8" t="n">
        <v>81273</v>
      </c>
      <c r="I8" s="8" t="n">
        <v>82886</v>
      </c>
      <c r="J8" s="9" t="n">
        <f aca="false">F8*(1+Assumptions!$B$5)</f>
        <v>85613.92</v>
      </c>
      <c r="K8" s="9" t="n">
        <f aca="false">G8*(1+Assumptions!$B$5)</f>
        <v>86993.76</v>
      </c>
      <c r="L8" s="9" t="n">
        <f aca="false">H8*(1+Assumptions!$B$5)</f>
        <v>91025.76</v>
      </c>
      <c r="M8" s="9" t="n">
        <f aca="false">I8*(1+Assumptions!$B$5)</f>
        <v>92832.32</v>
      </c>
      <c r="N8" s="9" t="n">
        <f aca="false">J8*(1+Assumptions!$B$5)</f>
        <v>95887.5904</v>
      </c>
    </row>
    <row r="9" customFormat="false" ht="15" hidden="false" customHeight="false" outlineLevel="0" collapsed="false">
      <c r="A9" s="10" t="s">
        <v>34</v>
      </c>
      <c r="B9" s="8" t="n">
        <v>19684</v>
      </c>
      <c r="C9" s="8" t="n">
        <v>20099</v>
      </c>
      <c r="D9" s="8" t="n">
        <v>21799</v>
      </c>
      <c r="E9" s="8" t="n">
        <v>21919</v>
      </c>
      <c r="F9" s="8" t="n">
        <v>24014</v>
      </c>
      <c r="G9" s="8" t="n">
        <v>24043</v>
      </c>
      <c r="H9" s="8" t="n">
        <v>25978</v>
      </c>
      <c r="I9" s="8" t="n">
        <v>26828</v>
      </c>
      <c r="J9" s="9" t="n">
        <f aca="false">J8-J10</f>
        <v>27118.3010376601</v>
      </c>
      <c r="K9" s="9" t="n">
        <f aca="false">K8-K10</f>
        <v>27611.9190939772</v>
      </c>
      <c r="L9" s="9" t="n">
        <f aca="false">L8-L10</f>
        <v>29070.5430295729</v>
      </c>
      <c r="M9" s="9" t="n">
        <f aca="false">M8-M10</f>
        <v>29641.1696959196</v>
      </c>
      <c r="N9" s="9" t="n">
        <f aca="false">N8-N10</f>
        <v>30511.8215983797</v>
      </c>
    </row>
    <row r="10" customFormat="false" ht="15" hidden="false" customHeight="false" outlineLevel="0" collapsed="false">
      <c r="A10" s="3" t="s">
        <v>35</v>
      </c>
      <c r="B10" s="11" t="n">
        <f aca="false">B8-B9</f>
        <v>45043</v>
      </c>
      <c r="C10" s="11" t="n">
        <f aca="false">C8-C9</f>
        <v>45486</v>
      </c>
      <c r="D10" s="11" t="n">
        <f aca="false">D8-D9</f>
        <v>47833</v>
      </c>
      <c r="E10" s="11" t="n">
        <f aca="false">E8-E9</f>
        <v>48147</v>
      </c>
      <c r="F10" s="11" t="n">
        <f aca="false">F8-F9</f>
        <v>52427</v>
      </c>
      <c r="G10" s="11" t="n">
        <f aca="false">G8-G9</f>
        <v>53630</v>
      </c>
      <c r="H10" s="11" t="n">
        <f aca="false">H8-H9</f>
        <v>55295</v>
      </c>
      <c r="I10" s="11" t="n">
        <f aca="false">I8-I9</f>
        <v>56058</v>
      </c>
      <c r="J10" s="9" t="n">
        <f aca="false">J8*J11</f>
        <v>58495.61896234</v>
      </c>
      <c r="K10" s="9" t="n">
        <f aca="false">K8*K11</f>
        <v>59381.8409060228</v>
      </c>
      <c r="L10" s="9" t="n">
        <f aca="false">L8*L11</f>
        <v>61955.2169704272</v>
      </c>
      <c r="M10" s="9" t="n">
        <f aca="false">M8*M11</f>
        <v>63191.1503040805</v>
      </c>
      <c r="N10" s="9" t="n">
        <f aca="false">N8*N11</f>
        <v>65375.7688016203</v>
      </c>
    </row>
    <row r="11" customFormat="false" ht="15" hidden="false" customHeight="false" outlineLevel="0" collapsed="false">
      <c r="A11" s="10" t="s">
        <v>36</v>
      </c>
      <c r="B11" s="12" t="n">
        <f aca="false">IF(B8=0,0,B10/B8)</f>
        <v>0.695891977072937</v>
      </c>
      <c r="C11" s="12" t="n">
        <f aca="false">IF(C8=0,0,C10/C8)</f>
        <v>0.693542730807349</v>
      </c>
      <c r="D11" s="12" t="n">
        <f aca="false">IF(D8=0,0,D10/D8)</f>
        <v>0.686939912683824</v>
      </c>
      <c r="E11" s="12" t="n">
        <f aca="false">IF(E8=0,0,E10/E8)</f>
        <v>0.687166385978934</v>
      </c>
      <c r="F11" s="12" t="n">
        <f aca="false">IF(F8=0,0,F10/F8)</f>
        <v>0.68584921704321</v>
      </c>
      <c r="G11" s="12" t="n">
        <f aca="false">IF(G8=0,0,G10/G8)</f>
        <v>0.690458717958621</v>
      </c>
      <c r="H11" s="12" t="n">
        <f aca="false">IF(H8=0,0,H10/H8)</f>
        <v>0.680361251584167</v>
      </c>
      <c r="I11" s="12" t="n">
        <f aca="false">IF(I8=0,0,I10/I8)</f>
        <v>0.676326520763458</v>
      </c>
      <c r="J11" s="13" t="n">
        <f aca="false">AVERAGE(F11:I11)</f>
        <v>0.683248926837364</v>
      </c>
      <c r="K11" s="13" t="n">
        <f aca="false">AVERAGE(G11:J11)</f>
        <v>0.682598854285903</v>
      </c>
      <c r="L11" s="13" t="n">
        <f aca="false">AVERAGE(H11:K11)</f>
        <v>0.680633888367723</v>
      </c>
      <c r="M11" s="13" t="n">
        <f aca="false">AVERAGE(I11:L11)</f>
        <v>0.680702047563612</v>
      </c>
      <c r="N11" s="13" t="n">
        <f aca="false">AVERAGE(J11:M11)</f>
        <v>0.68179592926365</v>
      </c>
    </row>
    <row r="12" customFormat="false" ht="15" hidden="false" customHeight="false" outlineLevel="0" collapsed="false">
      <c r="A12" s="10" t="s">
        <v>37</v>
      </c>
      <c r="B12" s="8" t="n">
        <v>17118</v>
      </c>
      <c r="C12" s="8" t="n">
        <v>14934</v>
      </c>
      <c r="D12" s="8" t="n">
        <v>16180</v>
      </c>
      <c r="E12" s="8" t="n">
        <v>16147</v>
      </c>
      <c r="F12" s="8" t="n">
        <v>18104</v>
      </c>
      <c r="G12" s="8" t="n">
        <v>15669</v>
      </c>
      <c r="H12" s="8" t="n">
        <v>17020</v>
      </c>
      <c r="I12" s="8" t="n">
        <v>17660</v>
      </c>
      <c r="J12" s="9" t="n">
        <f aca="false">F12*(1+Assumptions!$B$6)</f>
        <v>19190.24</v>
      </c>
      <c r="K12" s="9" t="n">
        <f aca="false">G12*(1+Assumptions!$B$6)</f>
        <v>16609.14</v>
      </c>
      <c r="L12" s="9" t="n">
        <f aca="false">H12*(1+Assumptions!$B$6)</f>
        <v>18041.2</v>
      </c>
      <c r="M12" s="9" t="n">
        <f aca="false">I12*(1+Assumptions!$B$6)</f>
        <v>18719.6</v>
      </c>
      <c r="N12" s="9" t="n">
        <f aca="false">J12*(1+Assumptions!$B$6)</f>
        <v>20341.6544</v>
      </c>
    </row>
    <row r="13" customFormat="false" ht="15" hidden="false" customHeight="false" outlineLevel="0" collapsed="false">
      <c r="A13" s="3" t="s">
        <v>38</v>
      </c>
      <c r="B13" s="11" t="n">
        <f aca="false">B10-B12</f>
        <v>27925</v>
      </c>
      <c r="C13" s="11" t="n">
        <f aca="false">C10-C12</f>
        <v>30552</v>
      </c>
      <c r="D13" s="11" t="n">
        <f aca="false">D10-D12</f>
        <v>31653</v>
      </c>
      <c r="E13" s="11" t="n">
        <f aca="false">E10-E12</f>
        <v>32000</v>
      </c>
      <c r="F13" s="11" t="n">
        <f aca="false">F10-F12</f>
        <v>34323</v>
      </c>
      <c r="G13" s="11" t="n">
        <f aca="false">G10-G12</f>
        <v>37961</v>
      </c>
      <c r="H13" s="11" t="n">
        <f aca="false">H10-H12</f>
        <v>38275</v>
      </c>
      <c r="I13" s="11" t="n">
        <f aca="false">I10-I12</f>
        <v>38398</v>
      </c>
      <c r="J13" s="9" t="n">
        <f aca="false">J10-J12</f>
        <v>39305.37896234</v>
      </c>
      <c r="K13" s="9" t="n">
        <f aca="false">K10-K12</f>
        <v>42772.7009060228</v>
      </c>
      <c r="L13" s="9" t="n">
        <f aca="false">L10-L12</f>
        <v>43914.0169704272</v>
      </c>
      <c r="M13" s="9" t="n">
        <f aca="false">M10-M12</f>
        <v>44471.5503040805</v>
      </c>
      <c r="N13" s="9" t="n">
        <f aca="false">N10-N12</f>
        <v>45034.1144016203</v>
      </c>
    </row>
    <row r="14" customFormat="false" ht="15" hidden="false" customHeight="false" outlineLevel="0" collapsed="false">
      <c r="A14" s="10" t="s">
        <v>39</v>
      </c>
      <c r="B14" s="12" t="n">
        <f aca="false">IF(B8=0,0,B13/B8)</f>
        <v>0.431427379609746</v>
      </c>
      <c r="C14" s="12" t="n">
        <f aca="false">IF(C8=0,0,C13/C8)</f>
        <v>0.465838225203934</v>
      </c>
      <c r="D14" s="12" t="n">
        <f aca="false">IF(D8=0,0,D13/D8)</f>
        <v>0.454575482536765</v>
      </c>
      <c r="E14" s="12" t="n">
        <f aca="false">IF(E8=0,0,E13/E8)</f>
        <v>0.456712242742557</v>
      </c>
      <c r="F14" s="12" t="n">
        <f aca="false">IF(F8=0,0,F13/F8)</f>
        <v>0.449012964246936</v>
      </c>
      <c r="G14" s="12" t="n">
        <f aca="false">IF(G8=0,0,G13/G8)</f>
        <v>0.48872838695557</v>
      </c>
      <c r="H14" s="12" t="n">
        <f aca="false">IF(H8=0,0,H13/H8)</f>
        <v>0.470943609808916</v>
      </c>
      <c r="I14" s="12" t="n">
        <f aca="false">IF(I8=0,0,I13/I8)</f>
        <v>0.463262794681852</v>
      </c>
      <c r="J14" s="13" t="n">
        <f aca="false">IF(J8=0,0,J13/J8)</f>
        <v>0.45910033044089</v>
      </c>
      <c r="K14" s="13" t="n">
        <f aca="false">IF(K8=0,0,K13/K8)</f>
        <v>0.491675505300872</v>
      </c>
      <c r="L14" s="13" t="n">
        <f aca="false">IF(L8=0,0,L13/L8)</f>
        <v>0.482435048830432</v>
      </c>
      <c r="M14" s="13" t="n">
        <f aca="false">IF(M8=0,0,M13/M8)</f>
        <v>0.479052449664949</v>
      </c>
      <c r="N14" s="13" t="n">
        <f aca="false">IF(N8=0,0,N13/N8)</f>
        <v>0.469655293388416</v>
      </c>
    </row>
    <row r="15" customFormat="false" ht="15" hidden="false" customHeight="false" outlineLevel="0" collapsed="false">
      <c r="A15" s="10" t="s">
        <v>40</v>
      </c>
      <c r="B15" s="8" t="n">
        <v>-675</v>
      </c>
      <c r="C15" s="8" t="n">
        <v>-283</v>
      </c>
      <c r="D15" s="8" t="n">
        <v>-2288</v>
      </c>
      <c r="E15" s="8" t="n">
        <v>-623</v>
      </c>
      <c r="F15" s="8" t="n">
        <v>-1707</v>
      </c>
      <c r="G15" s="8" t="n">
        <v>-3660</v>
      </c>
      <c r="H15" s="8" t="n">
        <v>9971</v>
      </c>
      <c r="I15" s="8" t="n">
        <v>942</v>
      </c>
      <c r="J15" s="14" t="n">
        <f aca="false">Assumptions!$B$9</f>
        <v>0</v>
      </c>
      <c r="K15" s="14" t="n">
        <f aca="false">Assumptions!$B$9</f>
        <v>0</v>
      </c>
      <c r="L15" s="14" t="n">
        <f aca="false">Assumptions!$B$9</f>
        <v>0</v>
      </c>
      <c r="M15" s="14" t="n">
        <f aca="false">Assumptions!$B$9</f>
        <v>0</v>
      </c>
      <c r="N15" s="14" t="n">
        <f aca="false">Assumptions!$B$9</f>
        <v>0</v>
      </c>
    </row>
    <row r="16" customFormat="false" ht="15" hidden="false" customHeight="false" outlineLevel="0" collapsed="false">
      <c r="A16" s="10" t="s">
        <v>41</v>
      </c>
      <c r="B16" s="11" t="n">
        <f aca="false">B13+B15</f>
        <v>27250</v>
      </c>
      <c r="C16" s="11" t="n">
        <f aca="false">C13+C15</f>
        <v>30269</v>
      </c>
      <c r="D16" s="11" t="n">
        <f aca="false">D13+D15</f>
        <v>29365</v>
      </c>
      <c r="E16" s="11" t="n">
        <f aca="false">E13+E15</f>
        <v>31377</v>
      </c>
      <c r="F16" s="11" t="n">
        <f aca="false">F13+F15</f>
        <v>32616</v>
      </c>
      <c r="G16" s="11" t="n">
        <f aca="false">G13+G15</f>
        <v>34301</v>
      </c>
      <c r="H16" s="11" t="n">
        <f aca="false">H13+H15</f>
        <v>48246</v>
      </c>
      <c r="I16" s="11" t="n">
        <f aca="false">I13+I15</f>
        <v>39340</v>
      </c>
      <c r="J16" s="9" t="n">
        <f aca="false">J13+J15</f>
        <v>39305.37896234</v>
      </c>
      <c r="K16" s="9" t="n">
        <f aca="false">K13+K15</f>
        <v>42772.7009060228</v>
      </c>
      <c r="L16" s="9" t="n">
        <f aca="false">L13+L15</f>
        <v>43914.0169704272</v>
      </c>
      <c r="M16" s="9" t="n">
        <f aca="false">M13+M15</f>
        <v>44471.5503040805</v>
      </c>
      <c r="N16" s="9" t="n">
        <f aca="false">N13+N15</f>
        <v>45034.1144016203</v>
      </c>
    </row>
    <row r="17" customFormat="false" ht="15" hidden="false" customHeight="false" outlineLevel="0" collapsed="false">
      <c r="A17" s="10" t="s">
        <v>42</v>
      </c>
      <c r="B17" s="8" t="n">
        <v>5214</v>
      </c>
      <c r="C17" s="8" t="n">
        <v>5602</v>
      </c>
      <c r="D17" s="8" t="n">
        <v>5257</v>
      </c>
      <c r="E17" s="8" t="n">
        <v>5553</v>
      </c>
      <c r="F17" s="8" t="n">
        <v>5383</v>
      </c>
      <c r="G17" s="8" t="n">
        <v>6554</v>
      </c>
      <c r="H17" s="8" t="n">
        <v>9788</v>
      </c>
      <c r="I17" s="8" t="n">
        <v>7562</v>
      </c>
      <c r="J17" s="9" t="n">
        <f aca="false">J16*J18</f>
        <v>7074.96821322119</v>
      </c>
      <c r="K17" s="9" t="n">
        <f aca="false">K16*K18</f>
        <v>7699.0861630841</v>
      </c>
      <c r="L17" s="9" t="n">
        <f aca="false">L16*L18</f>
        <v>7904.52305467689</v>
      </c>
      <c r="M17" s="9" t="n">
        <f aca="false">M16*M18</f>
        <v>8004.87905473448</v>
      </c>
      <c r="N17" s="9" t="n">
        <f aca="false">N16*N18</f>
        <v>8106.14059229166</v>
      </c>
    </row>
    <row r="18" customFormat="false" ht="15" hidden="false" customHeight="false" outlineLevel="0" collapsed="false">
      <c r="A18" s="10" t="s">
        <v>43</v>
      </c>
      <c r="B18" s="12" t="n">
        <f aca="false">IF(B16=0,0,B17/B16)</f>
        <v>0.191339449541284</v>
      </c>
      <c r="C18" s="12" t="n">
        <f aca="false">IF(C16=0,0,C17/C16)</f>
        <v>0.185073837919984</v>
      </c>
      <c r="D18" s="12" t="n">
        <f aca="false">IF(D16=0,0,D17/D16)</f>
        <v>0.179022646007151</v>
      </c>
      <c r="E18" s="12" t="n">
        <f aca="false">IF(E16=0,0,E17/E16)</f>
        <v>0.176976766421264</v>
      </c>
      <c r="F18" s="12" t="n">
        <f aca="false">IF(F16=0,0,F17/F16)</f>
        <v>0.165041697326466</v>
      </c>
      <c r="G18" s="12" t="n">
        <f aca="false">IF(G16=0,0,G17/G16)</f>
        <v>0.191073146555494</v>
      </c>
      <c r="H18" s="12" t="n">
        <f aca="false">IF(H16=0,0,H17/H16)</f>
        <v>0.202876922439166</v>
      </c>
      <c r="I18" s="12" t="n">
        <f aca="false">IF(I16=0,0,I17/I16)</f>
        <v>0.192221657346213</v>
      </c>
      <c r="J18" s="15" t="n">
        <f aca="false">Assumptions!$B$7</f>
        <v>0.18</v>
      </c>
      <c r="K18" s="15" t="n">
        <f aca="false">Assumptions!$B$7</f>
        <v>0.18</v>
      </c>
      <c r="L18" s="15" t="n">
        <f aca="false">Assumptions!$B$7</f>
        <v>0.18</v>
      </c>
      <c r="M18" s="15" t="n">
        <f aca="false">Assumptions!$B$7</f>
        <v>0.18</v>
      </c>
      <c r="N18" s="15" t="n">
        <f aca="false">Assumptions!$B$7</f>
        <v>0.18</v>
      </c>
    </row>
    <row r="19" customFormat="false" ht="15" hidden="false" customHeight="false" outlineLevel="0" collapsed="false">
      <c r="A19" s="3" t="s">
        <v>44</v>
      </c>
      <c r="B19" s="11" t="n">
        <f aca="false">B16-B17</f>
        <v>22036</v>
      </c>
      <c r="C19" s="11" t="n">
        <f aca="false">C16-C17</f>
        <v>24667</v>
      </c>
      <c r="D19" s="11" t="n">
        <f aca="false">D16-D17</f>
        <v>24108</v>
      </c>
      <c r="E19" s="11" t="n">
        <f aca="false">E16-E17</f>
        <v>25824</v>
      </c>
      <c r="F19" s="11" t="n">
        <f aca="false">F16-F17</f>
        <v>27233</v>
      </c>
      <c r="G19" s="11" t="n">
        <f aca="false">G16-G17</f>
        <v>27747</v>
      </c>
      <c r="H19" s="11" t="n">
        <f aca="false">H16-H17</f>
        <v>38458</v>
      </c>
      <c r="I19" s="11" t="n">
        <f aca="false">I16-I17</f>
        <v>31778</v>
      </c>
      <c r="J19" s="9" t="n">
        <f aca="false">J16-J17</f>
        <v>32230.4107491188</v>
      </c>
      <c r="K19" s="9" t="n">
        <f aca="false">K16-K17</f>
        <v>35073.6147429387</v>
      </c>
      <c r="L19" s="9" t="n">
        <f aca="false">L16-L17</f>
        <v>36009.4939157503</v>
      </c>
      <c r="M19" s="9" t="n">
        <f aca="false">M16-M17</f>
        <v>36466.671249346</v>
      </c>
      <c r="N19" s="9" t="n">
        <f aca="false">N16-N17</f>
        <v>36927.9738093287</v>
      </c>
    </row>
    <row r="20" customFormat="false" ht="15" hidden="false" customHeight="false" outlineLevel="0" collapsed="false">
      <c r="A20" s="10" t="s">
        <v>45</v>
      </c>
      <c r="B20" s="8" t="n">
        <v>7469</v>
      </c>
      <c r="C20" s="8" t="n">
        <v>7470</v>
      </c>
      <c r="D20" s="8" t="n">
        <v>7468</v>
      </c>
      <c r="E20" s="8" t="n">
        <v>7461</v>
      </c>
      <c r="F20" s="8" t="n">
        <v>7465</v>
      </c>
      <c r="G20" s="8" t="n">
        <v>7466</v>
      </c>
      <c r="H20" s="8" t="n">
        <v>7460</v>
      </c>
      <c r="I20" s="8" t="n">
        <v>7445</v>
      </c>
      <c r="J20" s="9" t="n">
        <f aca="false">I20*(1-Assumptions!$B$8)</f>
        <v>7422.665</v>
      </c>
      <c r="K20" s="9" t="n">
        <f aca="false">J20*(1-Assumptions!$B$8)</f>
        <v>7400.397005</v>
      </c>
      <c r="L20" s="9" t="n">
        <f aca="false">K20*(1-Assumptions!$B$8)</f>
        <v>7378.195813985</v>
      </c>
      <c r="M20" s="9" t="n">
        <f aca="false">L20*(1-Assumptions!$B$8)</f>
        <v>7356.06122654304</v>
      </c>
      <c r="N20" s="9" t="n">
        <f aca="false">M20*(1-Assumptions!$B$8)</f>
        <v>7333.99304286342</v>
      </c>
    </row>
    <row r="21" customFormat="false" ht="15" hidden="false" customHeight="false" outlineLevel="0" collapsed="false">
      <c r="A21" s="3" t="s">
        <v>46</v>
      </c>
      <c r="B21" s="16" t="n">
        <f aca="false">IF(B20=0,0,B19/B20)</f>
        <v>2.95032802249297</v>
      </c>
      <c r="C21" s="16" t="n">
        <f aca="false">IF(C20=0,0,C19/C20)</f>
        <v>3.30214190093708</v>
      </c>
      <c r="D21" s="16" t="n">
        <f aca="false">IF(D20=0,0,D19/D20)</f>
        <v>3.22817354043921</v>
      </c>
      <c r="E21" s="16" t="n">
        <f aca="false">IF(E20=0,0,E19/E20)</f>
        <v>3.46119823080016</v>
      </c>
      <c r="F21" s="16" t="n">
        <f aca="false">IF(F20=0,0,F19/F20)</f>
        <v>3.64809109176155</v>
      </c>
      <c r="G21" s="16" t="n">
        <f aca="false">IF(G20=0,0,G19/G20)</f>
        <v>3.71644789713367</v>
      </c>
      <c r="H21" s="16" t="n">
        <f aca="false">IF(H20=0,0,H19/H20)</f>
        <v>5.15522788203753</v>
      </c>
      <c r="I21" s="16" t="n">
        <f aca="false">IF(I20=0,0,I19/I20)</f>
        <v>4.2683680322364</v>
      </c>
      <c r="J21" s="17" t="n">
        <f aca="false">IF(J20=0,0,J19/J20)</f>
        <v>4.34216157527233</v>
      </c>
      <c r="K21" s="17" t="n">
        <f aca="false">IF(K20=0,0,K19/K20)</f>
        <v>4.73942340110153</v>
      </c>
      <c r="L21" s="17" t="n">
        <f aca="false">IF(L20=0,0,L19/L20)</f>
        <v>4.88052835999501</v>
      </c>
      <c r="M21" s="17" t="n">
        <f aca="false">IF(M20=0,0,M19/M20)</f>
        <v>4.95736374756676</v>
      </c>
      <c r="N21" s="17" t="n">
        <f aca="false">IF(N20=0,0,N19/N20)</f>
        <v>5.03517982543802</v>
      </c>
    </row>
    <row r="22" customFormat="false" ht="15" hidden="false" customHeight="false" outlineLevel="0" collapsed="false">
      <c r="A22" s="10" t="s">
        <v>47</v>
      </c>
      <c r="F22" s="12" t="n">
        <f aca="false">IF(B8=0,0,F8/B8-1)</f>
        <v>0.180975481638265</v>
      </c>
      <c r="G22" s="12" t="n">
        <f aca="false">IF(C8=0,0,G8/C8-1)</f>
        <v>0.184310436837692</v>
      </c>
      <c r="H22" s="12" t="n">
        <f aca="false">IF(D8=0,0,H8/D8-1)</f>
        <v>0.167178883272059</v>
      </c>
      <c r="I22" s="12" t="n">
        <f aca="false">IF(E8=0,0,I8/E8-1)</f>
        <v>0.182970342248737</v>
      </c>
      <c r="J22" s="13" t="n">
        <f aca="false">IF(F8=0,0,J8/F8-1)</f>
        <v>0.12</v>
      </c>
      <c r="K22" s="13" t="n">
        <f aca="false">IF(G8=0,0,K8/G8-1)</f>
        <v>0.12</v>
      </c>
      <c r="L22" s="13" t="n">
        <f aca="false">IF(H8=0,0,L8/H8-1)</f>
        <v>0.12</v>
      </c>
      <c r="M22" s="13" t="n">
        <f aca="false">IF(I8=0,0,M8/I8-1)</f>
        <v>0.12</v>
      </c>
      <c r="N22" s="13" t="n">
        <f aca="false">IF(J8=0,0,N8/J8-1)</f>
        <v>0.12</v>
      </c>
    </row>
    <row r="24" customFormat="false" ht="15" hidden="false" customHeight="false" outlineLevel="0" collapsed="false">
      <c r="A24" s="2" t="s">
        <v>48</v>
      </c>
    </row>
    <row r="25" customFormat="false" ht="15" hidden="false" customHeight="false" outlineLevel="0" collapsed="false">
      <c r="A25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3" t="s">
        <v>52</v>
      </c>
      <c r="B4" s="3" t="s">
        <v>53</v>
      </c>
      <c r="C4" s="3" t="s">
        <v>54</v>
      </c>
      <c r="D4" s="3" t="s">
        <v>55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18</v>
      </c>
    </row>
    <row r="6" customFormat="false" ht="15" hidden="false" customHeight="false" outlineLevel="0" collapsed="false">
      <c r="A6" s="3" t="s">
        <v>56</v>
      </c>
      <c r="B6" s="10" t="s">
        <v>57</v>
      </c>
      <c r="C6" s="10" t="s">
        <v>58</v>
      </c>
      <c r="D6" s="10" t="s">
        <v>59</v>
      </c>
    </row>
    <row r="8" customFormat="false" ht="15" hidden="false" customHeight="false" outlineLevel="0" collapsed="false">
      <c r="A8" s="10" t="s">
        <v>33</v>
      </c>
      <c r="B8" s="18" t="n">
        <f aca="false">SUM('Quarterly IS'!C8:F8)</f>
        <v>281724</v>
      </c>
      <c r="C8" s="18" t="n">
        <f aca="false">SUM('Quarterly IS'!G8:J8)</f>
        <v>327445.92</v>
      </c>
      <c r="D8" s="18" t="n">
        <f aca="false">SUM('Quarterly IS'!K8:N8)</f>
        <v>366739.4304</v>
      </c>
    </row>
    <row r="9" customFormat="false" ht="15" hidden="false" customHeight="false" outlineLevel="0" collapsed="false">
      <c r="A9" s="10" t="s">
        <v>34</v>
      </c>
      <c r="B9" s="18" t="n">
        <f aca="false">SUM('Quarterly IS'!C9:F9)</f>
        <v>87831</v>
      </c>
      <c r="C9" s="18" t="n">
        <f aca="false">SUM('Quarterly IS'!G9:J9)</f>
        <v>103967.30103766</v>
      </c>
      <c r="D9" s="18" t="n">
        <f aca="false">SUM('Quarterly IS'!K9:N9)</f>
        <v>116835.453417849</v>
      </c>
    </row>
    <row r="10" customFormat="false" ht="15" hidden="false" customHeight="false" outlineLevel="0" collapsed="false">
      <c r="A10" s="10" t="s">
        <v>35</v>
      </c>
      <c r="B10" s="18" t="n">
        <f aca="false">SUM('Quarterly IS'!C10:F10)</f>
        <v>193893</v>
      </c>
      <c r="C10" s="18" t="n">
        <f aca="false">SUM('Quarterly IS'!G10:J10)</f>
        <v>223478.61896234</v>
      </c>
      <c r="D10" s="18" t="n">
        <f aca="false">SUM('Quarterly IS'!K10:N10)</f>
        <v>249903.976982151</v>
      </c>
    </row>
    <row r="11" customFormat="false" ht="15" hidden="false" customHeight="false" outlineLevel="0" collapsed="false">
      <c r="A11" s="10" t="s">
        <v>36</v>
      </c>
      <c r="B11" s="12" t="n">
        <f aca="false">IF(B8=0,0,B10/B8)</f>
        <v>0.688237423861652</v>
      </c>
      <c r="C11" s="12" t="n">
        <f aca="false">IF(C8=0,0,C10/C8)</f>
        <v>0.68249016192457</v>
      </c>
      <c r="D11" s="12" t="n">
        <f aca="false">IF(D8=0,0,D10/D8)</f>
        <v>0.681421075202037</v>
      </c>
    </row>
    <row r="12" customFormat="false" ht="15" hidden="false" customHeight="false" outlineLevel="0" collapsed="false">
      <c r="A12" s="10" t="s">
        <v>37</v>
      </c>
      <c r="B12" s="18" t="n">
        <f aca="false">SUM('Quarterly IS'!C12:F12)</f>
        <v>65365</v>
      </c>
      <c r="C12" s="18" t="n">
        <f aca="false">SUM('Quarterly IS'!G12:J12)</f>
        <v>69539.24</v>
      </c>
      <c r="D12" s="18" t="n">
        <f aca="false">SUM('Quarterly IS'!K12:N12)</f>
        <v>73711.5944</v>
      </c>
    </row>
    <row r="13" customFormat="false" ht="15" hidden="false" customHeight="false" outlineLevel="0" collapsed="false">
      <c r="A13" s="10" t="s">
        <v>38</v>
      </c>
      <c r="B13" s="18" t="n">
        <f aca="false">SUM('Quarterly IS'!C13:F13)</f>
        <v>128528</v>
      </c>
      <c r="C13" s="18" t="n">
        <f aca="false">SUM('Quarterly IS'!G13:J13)</f>
        <v>153939.37896234</v>
      </c>
      <c r="D13" s="18" t="n">
        <f aca="false">SUM('Quarterly IS'!K13:N13)</f>
        <v>176192.382582151</v>
      </c>
    </row>
    <row r="14" customFormat="false" ht="15" hidden="false" customHeight="false" outlineLevel="0" collapsed="false">
      <c r="A14" s="10" t="s">
        <v>39</v>
      </c>
      <c r="B14" s="12" t="n">
        <f aca="false">IF(B8=0,0,B13/B8)</f>
        <v>0.456219562408599</v>
      </c>
      <c r="C14" s="12" t="n">
        <f aca="false">IF(C8=0,0,C13/C8)</f>
        <v>0.470121536290145</v>
      </c>
      <c r="D14" s="12" t="n">
        <f aca="false">IF(D8=0,0,D13/D8)</f>
        <v>0.480429340226599</v>
      </c>
    </row>
    <row r="15" customFormat="false" ht="15" hidden="false" customHeight="false" outlineLevel="0" collapsed="false">
      <c r="A15" s="10" t="s">
        <v>40</v>
      </c>
      <c r="B15" s="18" t="n">
        <f aca="false">SUM('Quarterly IS'!C15:F15)</f>
        <v>-4901</v>
      </c>
      <c r="C15" s="18" t="n">
        <f aca="false">SUM('Quarterly IS'!G15:J15)</f>
        <v>7253</v>
      </c>
      <c r="D15" s="18" t="n">
        <f aca="false">SUM('Quarterly IS'!K15:N15)</f>
        <v>0</v>
      </c>
    </row>
    <row r="16" customFormat="false" ht="15" hidden="false" customHeight="false" outlineLevel="0" collapsed="false">
      <c r="A16" s="10" t="s">
        <v>41</v>
      </c>
      <c r="B16" s="18" t="n">
        <f aca="false">SUM('Quarterly IS'!C16:F16)</f>
        <v>123627</v>
      </c>
      <c r="C16" s="18" t="n">
        <f aca="false">SUM('Quarterly IS'!G16:J16)</f>
        <v>161192.37896234</v>
      </c>
      <c r="D16" s="18" t="n">
        <f aca="false">SUM('Quarterly IS'!K16:N16)</f>
        <v>176192.382582151</v>
      </c>
    </row>
    <row r="17" customFormat="false" ht="15" hidden="false" customHeight="false" outlineLevel="0" collapsed="false">
      <c r="A17" s="10" t="s">
        <v>42</v>
      </c>
      <c r="B17" s="18" t="n">
        <f aca="false">SUM('Quarterly IS'!C17:F17)</f>
        <v>21795</v>
      </c>
      <c r="C17" s="18" t="n">
        <f aca="false">SUM('Quarterly IS'!G17:J17)</f>
        <v>30978.9682132212</v>
      </c>
      <c r="D17" s="18" t="n">
        <f aca="false">SUM('Quarterly IS'!K17:N17)</f>
        <v>31714.6288647871</v>
      </c>
    </row>
    <row r="18" customFormat="false" ht="15" hidden="false" customHeight="false" outlineLevel="0" collapsed="false">
      <c r="A18" s="10" t="s">
        <v>43</v>
      </c>
      <c r="B18" s="12" t="n">
        <f aca="false">IF(B16=0,0,B17/B16)</f>
        <v>0.176296440098037</v>
      </c>
      <c r="C18" s="12" t="n">
        <f aca="false">IF(C16=0,0,C17/C16)</f>
        <v>0.192186308140901</v>
      </c>
      <c r="D18" s="12" t="n">
        <f aca="false">IF(D16=0,0,D17/D16)</f>
        <v>0.18</v>
      </c>
    </row>
    <row r="19" customFormat="false" ht="15" hidden="false" customHeight="false" outlineLevel="0" collapsed="false">
      <c r="A19" s="10" t="s">
        <v>44</v>
      </c>
      <c r="B19" s="18" t="n">
        <f aca="false">SUM('Quarterly IS'!C19:F19)</f>
        <v>101832</v>
      </c>
      <c r="C19" s="18" t="n">
        <f aca="false">SUM('Quarterly IS'!G19:J19)</f>
        <v>130213.410749119</v>
      </c>
      <c r="D19" s="18" t="n">
        <f aca="false">SUM('Quarterly IS'!K19:N19)</f>
        <v>144477.753717364</v>
      </c>
    </row>
    <row r="20" customFormat="false" ht="15" hidden="false" customHeight="false" outlineLevel="0" collapsed="false">
      <c r="A20" s="10" t="s">
        <v>60</v>
      </c>
      <c r="B20" s="18" t="n">
        <f aca="false">AVERAGE('Quarterly IS'!C20:F20)</f>
        <v>7466</v>
      </c>
      <c r="C20" s="18" t="n">
        <f aca="false">AVERAGE('Quarterly IS'!G20:J20)</f>
        <v>7448.41625</v>
      </c>
      <c r="D20" s="18" t="n">
        <f aca="false">AVERAGE('Quarterly IS'!K20:N20)</f>
        <v>7367.16177209787</v>
      </c>
    </row>
    <row r="21" customFormat="false" ht="15" hidden="false" customHeight="false" outlineLevel="0" collapsed="false">
      <c r="A21" s="10" t="s">
        <v>61</v>
      </c>
      <c r="B21" s="16" t="n">
        <f aca="false">IF(B20=0,0,B19/B20)</f>
        <v>13.6394320921511</v>
      </c>
      <c r="C21" s="16" t="n">
        <f aca="false">IF(C20=0,0,C19/C20)</f>
        <v>17.482026564925</v>
      </c>
      <c r="D21" s="16" t="n">
        <f aca="false">IF(D20=0,0,D19/D20)</f>
        <v>19.6110467214869</v>
      </c>
    </row>
    <row r="22" customFormat="false" ht="15" hidden="false" customHeight="false" outlineLevel="0" collapsed="false">
      <c r="A22" s="10" t="s">
        <v>62</v>
      </c>
      <c r="C22" s="12" t="n">
        <f aca="false">IF(B8=0,0,C8/B8-1)</f>
        <v>0.162293308344337</v>
      </c>
      <c r="D22" s="12" t="n">
        <f aca="false">IF(C8=0,0,D8/C8-1)</f>
        <v>0.12</v>
      </c>
    </row>
    <row r="24" customFormat="false" ht="15" hidden="false" customHeight="false" outlineLevel="0" collapsed="false">
      <c r="A24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3" t="s">
        <v>66</v>
      </c>
      <c r="B4" s="3" t="s">
        <v>46</v>
      </c>
    </row>
    <row r="5" customFormat="false" ht="15" hidden="false" customHeight="false" outlineLevel="0" collapsed="false">
      <c r="A5" s="19" t="str">
        <f aca="false">'Quarterly IS'!J4</f>
        <v>FY2026Q4</v>
      </c>
      <c r="B5" s="20" t="n">
        <f aca="false">'Quarterly IS'!J21</f>
        <v>4.34216157527233</v>
      </c>
    </row>
    <row r="6" customFormat="false" ht="15" hidden="false" customHeight="false" outlineLevel="0" collapsed="false">
      <c r="A6" s="19" t="str">
        <f aca="false">'Quarterly IS'!K4</f>
        <v>FY2027Q1</v>
      </c>
      <c r="B6" s="20" t="n">
        <f aca="false">'Quarterly IS'!K21</f>
        <v>4.73942340110153</v>
      </c>
    </row>
    <row r="7" customFormat="false" ht="15" hidden="false" customHeight="false" outlineLevel="0" collapsed="false">
      <c r="A7" s="19" t="str">
        <f aca="false">'Quarterly IS'!L4</f>
        <v>FY2027Q2</v>
      </c>
      <c r="B7" s="20" t="n">
        <f aca="false">'Quarterly IS'!L21</f>
        <v>4.88052835999501</v>
      </c>
    </row>
    <row r="8" customFormat="false" ht="15" hidden="false" customHeight="false" outlineLevel="0" collapsed="false">
      <c r="A8" s="19" t="str">
        <f aca="false">'Quarterly IS'!M4</f>
        <v>FY2027Q3</v>
      </c>
      <c r="B8" s="20" t="n">
        <f aca="false">'Quarterly IS'!M21</f>
        <v>4.95736374756676</v>
      </c>
    </row>
    <row r="10" customFormat="false" ht="15" hidden="false" customHeight="false" outlineLevel="0" collapsed="false">
      <c r="A10" s="3" t="s">
        <v>67</v>
      </c>
      <c r="B10" s="21" t="n">
        <f aca="false">SUM(B5:B8)</f>
        <v>18.9194770839356</v>
      </c>
    </row>
    <row r="11" customFormat="false" ht="15" hidden="false" customHeight="false" outlineLevel="0" collapsed="false">
      <c r="A11" s="0" t="s">
        <v>68</v>
      </c>
      <c r="B11" s="22" t="n">
        <f aca="false">Assumptions!$B$10</f>
        <v>30</v>
      </c>
    </row>
    <row r="12" customFormat="false" ht="15" hidden="false" customHeight="false" outlineLevel="0" collapsed="false">
      <c r="A12" s="3" t="s">
        <v>69</v>
      </c>
      <c r="B12" s="23" t="n">
        <f aca="false">B10*B11</f>
        <v>567.584312518069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3" t="s">
        <v>72</v>
      </c>
      <c r="B4" s="3" t="s">
        <v>73</v>
      </c>
      <c r="C4" s="3" t="s">
        <v>74</v>
      </c>
    </row>
    <row r="5" customFormat="false" ht="15" hidden="false" customHeight="false" outlineLevel="0" collapsed="false">
      <c r="A5" s="10" t="s">
        <v>75</v>
      </c>
      <c r="B5" s="24" t="n">
        <v>0.12</v>
      </c>
      <c r="C5" s="2" t="s">
        <v>76</v>
      </c>
    </row>
    <row r="6" customFormat="false" ht="15" hidden="false" customHeight="false" outlineLevel="0" collapsed="false">
      <c r="A6" s="10" t="s">
        <v>77</v>
      </c>
      <c r="B6" s="24" t="n">
        <v>0.06</v>
      </c>
      <c r="C6" s="2" t="s">
        <v>78</v>
      </c>
    </row>
    <row r="7" customFormat="false" ht="15" hidden="false" customHeight="false" outlineLevel="0" collapsed="false">
      <c r="A7" s="10" t="s">
        <v>79</v>
      </c>
      <c r="B7" s="24" t="n">
        <v>0.18</v>
      </c>
      <c r="C7" s="2" t="s">
        <v>80</v>
      </c>
    </row>
    <row r="8" customFormat="false" ht="15" hidden="false" customHeight="false" outlineLevel="0" collapsed="false">
      <c r="A8" s="10" t="s">
        <v>81</v>
      </c>
      <c r="B8" s="24" t="n">
        <v>0.003</v>
      </c>
      <c r="C8" s="2" t="s">
        <v>82</v>
      </c>
    </row>
    <row r="9" customFormat="false" ht="15" hidden="false" customHeight="false" outlineLevel="0" collapsed="false">
      <c r="A9" s="10" t="s">
        <v>83</v>
      </c>
      <c r="B9" s="25" t="n">
        <v>0</v>
      </c>
      <c r="C9" s="2" t="s">
        <v>84</v>
      </c>
    </row>
    <row r="10" customFormat="false" ht="15" hidden="false" customHeight="false" outlineLevel="0" collapsed="false">
      <c r="A10" s="10" t="s">
        <v>85</v>
      </c>
      <c r="B10" s="26" t="n">
        <v>30</v>
      </c>
      <c r="C10" s="2" t="s">
        <v>86</v>
      </c>
    </row>
    <row r="11" customFormat="false" ht="15" hidden="false" customHeight="false" outlineLevel="0" collapsed="false">
      <c r="A11" s="10" t="s">
        <v>87</v>
      </c>
      <c r="B11" s="27" t="s">
        <v>88</v>
      </c>
      <c r="C11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2026-10-14T03:57:02Z</dcterms:created>
  <dc:creator>openpyxl</dc:creator>
  <dc:description/>
  <dc:language>en-US</dc:language>
  <cp:lastModifiedBy/>
  <dcterms:modified xsi:type="dcterms:W3CDTF">2026-10-14T03:57:02Z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