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erly IS" sheetId="1" state="visible" r:id="rId3"/>
    <sheet name="Est vs Actual" sheetId="2" state="visible" r:id="rId4"/>
    <sheet name="Annual Summary" sheetId="3" state="visible" r:id="rId5"/>
    <sheet name="Valuation" sheetId="4" state="visible" r:id="rId6"/>
    <sheet name="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Source: stock-data MCP get_financials (SEC XBRL, us-gaap tags), pulled 2026-10-13. Revenue = us-gaap Revenues / RevenueFromContractWithCustomerExcludingAssessedTax. Q4 (June) quarters are derived by the tool as FY minus Q1-Q3.</t>
        </r>
      </text>
    </comment>
    <comment ref="B12" authorId="0">
      <text>
        <r>
          <rPr>
            <sz val="10"/>
            <rFont val="Arial"/>
            <family val="2"/>
          </rPr>
          <t xml:space="preserve">Actual opex = gross profit - operating income (us-gaap OperatingExpenses equivalent; tool reports OperatingExpenses only from FY2025Q1, and it ties to GP - OI).</t>
        </r>
      </text>
    </comment>
    <comment ref="B15" authorId="0">
      <text>
        <r>
          <rPr>
            <sz val="10"/>
            <rFont val="Arial"/>
            <family val="2"/>
          </rPr>
          <t xml:space="preserve">Actual other income (expense), net = pretax income - operating income (from XBRL pretax and operating income).</t>
        </r>
      </text>
    </comment>
    <comment ref="B20" authorId="0">
      <text>
        <r>
          <rPr>
            <sz val="10"/>
            <rFont val="Arial"/>
            <family val="2"/>
          </rPr>
          <t xml:space="preserve">Q4 diluted shares are not reported as a quarter; FY2024Q4 and FY2025Q4 use the annual FY weighted-average diluted shares (7,469 and 7,465). Other quarters are the reported quarterly weighted-average diluted shares.</t>
        </r>
      </text>
    </comment>
    <comment ref="J11" authorId="0">
      <text>
        <r>
          <rPr>
            <sz val="10"/>
            <rFont val="Arial"/>
            <family val="2"/>
          </rPr>
          <t xml:space="preserve">Trailing-4-quarter average gross margin (prior 4 columns).</t>
        </r>
      </text>
    </comment>
    <comment ref="J20" authorId="0">
      <text>
        <r>
          <rPr>
            <sz val="10"/>
            <rFont val="Arial"/>
            <family val="2"/>
          </rPr>
          <t xml:space="preserve">Latest actual (FY2026Q3: 7,445mm) less 0.3% per quarter, compounded.</t>
        </r>
      </text>
    </comment>
  </commentList>
</comments>
</file>

<file path=xl/sharedStrings.xml><?xml version="1.0" encoding="utf-8"?>
<sst xmlns="http://schemas.openxmlformats.org/spreadsheetml/2006/main" count="177" uniqueCount="130">
  <si>
    <t xml:space="preserve">Microsoft Corporation (MSFT): Quarterly Income Statement</t>
  </si>
  <si>
    <t xml:space="preserve">USD millions except per-share data. Fiscal year ends June 30. A = actual, E = estimate. Model updated 2026-10-14 for the FY2026Q4 print (8-K filed 2026-07-29).</t>
  </si>
  <si>
    <t xml:space="preserve">Fiscal quarter</t>
  </si>
  <si>
    <t xml:space="preserve">FY2024Q4</t>
  </si>
  <si>
    <t xml:space="preserve">FY2025Q1</t>
  </si>
  <si>
    <t xml:space="preserve">FY2025Q2</t>
  </si>
  <si>
    <t xml:space="preserve">FY2025Q3</t>
  </si>
  <si>
    <t xml:space="preserve">FY2025Q4</t>
  </si>
  <si>
    <t xml:space="preserve">FY2026Q1</t>
  </si>
  <si>
    <t xml:space="preserve">FY2026Q2</t>
  </si>
  <si>
    <t xml:space="preserve">FY2026Q3</t>
  </si>
  <si>
    <t xml:space="preserve">FY2026Q4</t>
  </si>
  <si>
    <t xml:space="preserve">FY2027Q1</t>
  </si>
  <si>
    <t xml:space="preserve">FY2027Q2</t>
  </si>
  <si>
    <t xml:space="preserve">FY2027Q3</t>
  </si>
  <si>
    <t xml:space="preserve">FY2027Q4</t>
  </si>
  <si>
    <t xml:space="preserve">Actual / Estimate</t>
  </si>
  <si>
    <t xml:space="preserve">A</t>
  </si>
  <si>
    <t xml:space="preserve">E</t>
  </si>
  <si>
    <t xml:space="preserve">Period end</t>
  </si>
  <si>
    <t xml:space="preserve">2024-06-30</t>
  </si>
  <si>
    <t xml:space="preserve">2024-09-30</t>
  </si>
  <si>
    <t xml:space="preserve">2024-12-31</t>
  </si>
  <si>
    <t xml:space="preserve">2025-03-31</t>
  </si>
  <si>
    <t xml:space="preserve">2025-06-30</t>
  </si>
  <si>
    <t xml:space="preserve">2025-09-30</t>
  </si>
  <si>
    <t xml:space="preserve">2025-12-31</t>
  </si>
  <si>
    <t xml:space="preserve">2026-03-31</t>
  </si>
  <si>
    <t xml:space="preserve">2026-06-30</t>
  </si>
  <si>
    <t xml:space="preserve">2026-09-30</t>
  </si>
  <si>
    <t xml:space="preserve">2026-12-31</t>
  </si>
  <si>
    <t xml:space="preserve">2027-03-31</t>
  </si>
  <si>
    <t xml:space="preserve">2027-06-30</t>
  </si>
  <si>
    <t xml:space="preserve">Revenue ($mm)</t>
  </si>
  <si>
    <t xml:space="preserve">Cost of revenue ($mm)</t>
  </si>
  <si>
    <t xml:space="preserve">Gross profit ($mm)</t>
  </si>
  <si>
    <t xml:space="preserve">Gross margin %</t>
  </si>
  <si>
    <t xml:space="preserve">Operating expenses ($mm)</t>
  </si>
  <si>
    <t xml:space="preserve">Operating income ($mm)</t>
  </si>
  <si>
    <t xml:space="preserve">Operating margin %</t>
  </si>
  <si>
    <t xml:space="preserve">Other income (expense), net ($mm)</t>
  </si>
  <si>
    <t xml:space="preserve">Pretax income ($mm)</t>
  </si>
  <si>
    <t xml:space="preserve">Income tax ($mm)</t>
  </si>
  <si>
    <t xml:space="preserve">Effective tax rate %</t>
  </si>
  <si>
    <t xml:space="preserve">Net income ($mm)</t>
  </si>
  <si>
    <t xml:space="preserve">Diluted shares (mm)</t>
  </si>
  <si>
    <t xml:space="preserve">Diluted EPS ($)</t>
  </si>
  <si>
    <t xml:space="preserve">Revenue growth YoY %</t>
  </si>
  <si>
    <t xml:space="preserve">Source: FY2024Q4-FY2026Q3 from stock-data MCP get_financials (SEC XBRL), pulled 2026-10-13. FY2026Q4 actuals from Microsoft 8-K Exhibit 99.1 (filed 2026-07-29, quarter ended 2026-06-30), sec.gov/Archives/edgar/data/789019/000119312526323632/msft-ex99_1.htm; opex = R&amp;D 9,997 + S&amp;M 7,595 + G&amp;A 2,287.</t>
  </si>
  <si>
    <t xml:space="preserve">Estimates (rev. 2026-10-14): revenue = same qtr LY x (1+16.4%, FY27Q1 guide midpoint); GM = FY2026Q4 actual held flat; opex = same qtr LY x (1+10%); tax 19.0%; other income 0; diluted shares = prior qtr x (1-0.3%). See Assumptions tab.</t>
  </si>
  <si>
    <t xml:space="preserve">Prior-estimate vs actual comparison and estimate revisions are on the "Est vs Actual" tab.</t>
  </si>
  <si>
    <t xml:space="preserve">MSFT FY2026Q4 (quarter ended 2026-06-30): prior estimate vs reported actual</t>
  </si>
  <si>
    <t xml:space="preserve">Prior estimate = pre-print model values (hardcoded, blue). Actual = link to Quarterly IS column J. Reported in 8-K Exhibit 99.1 filed 2026-07-29. USD millions except per share.</t>
  </si>
  <si>
    <t xml:space="preserve">Metric</t>
  </si>
  <si>
    <t xml:space="preserve">Prior estimate</t>
  </si>
  <si>
    <t xml:space="preserve">Actual</t>
  </si>
  <si>
    <t xml:space="preserve">Delta</t>
  </si>
  <si>
    <t xml:space="preserve">Delta %</t>
  </si>
  <si>
    <t xml:space="preserve">n/a (see delta, pts)</t>
  </si>
  <si>
    <t xml:space="preserve">Margin/tax-rate deltas are shown in percentage points in the Delta column.</t>
  </si>
  <si>
    <t xml:space="preserve">Estimate revisions (roll-forward)</t>
  </si>
  <si>
    <t xml:space="preserve">New estimate</t>
  </si>
  <si>
    <t xml:space="preserve">Change</t>
  </si>
  <si>
    <t xml:space="preserve">Change %</t>
  </si>
  <si>
    <t xml:space="preserve">FY2027Q1E revenue ($mm)</t>
  </si>
  <si>
    <t xml:space="preserve">FY2027Q1E diluted EPS ($)</t>
  </si>
  <si>
    <t xml:space="preserve">FY2027E revenue ($mm)</t>
  </si>
  <si>
    <t xml:space="preserve">FY2027E operating margin %</t>
  </si>
  <si>
    <t xml:space="preserve">n/a (pts)</t>
  </si>
  <si>
    <t xml:space="preserve">FY2027E diluted EPS ($)</t>
  </si>
  <si>
    <t xml:space="preserve">NTM diluted EPS ($)</t>
  </si>
  <si>
    <t xml:space="preserve">Target price ($)</t>
  </si>
  <si>
    <t xml:space="preserve">Prior NTM = FY2026Q4E-FY2027Q3E; new NTM = FY2027Q1E-FY2027Q4E. Prior FY2027E used the old assumptions (12% growth, 6% opex growth, 18% tax, trailing-avg GM).</t>
  </si>
  <si>
    <t xml:space="preserve">Guidance and context (FY2026Q4 call, 2026-07-29)</t>
  </si>
  <si>
    <t xml:space="preserve">FY2027Q1 revenue guide $89.85-90.95bn (+16-17%); Intelligent Cloud $40.95-41.25bn; P&amp;BP $36.7-37.0bn; Azure +45% cc; Q1 capex ~$50bn; CY2026 capex ~$175bn (was ~$190bn).</t>
  </si>
  <si>
    <t xml:space="preserve">Q4 GAAP EPS $4.81 includes ~$0.27 net discrete benefit (incl. $3.2bn Anthropic investment gain, lower VRP cost, partly offset by severance and Xbox impairment). Non-GAAP EPS (ex-OpenAI) $4.74 vs ~$4.24 consensus.</t>
  </si>
  <si>
    <t xml:space="preserve">Segment revenue Q4: P&amp;BP $37,847mm (+14.3%), Intelligent Cloud $39,306mm (+31.6%), More Personal Computing $12,854mm (-4.5%).</t>
  </si>
  <si>
    <t xml:space="preserve">MSFT Annual Summary (fiscal years ending June 30)</t>
  </si>
  <si>
    <t xml:space="preserve">USD millions except per share. Built from the Quarterly IS tab; FY2026 = 4 actual quarters; FY2027E = 4 estimate quarters.</t>
  </si>
  <si>
    <t xml:space="preserve">Fiscal year</t>
  </si>
  <si>
    <t xml:space="preserve">FY2025</t>
  </si>
  <si>
    <t xml:space="preserve">FY2026</t>
  </si>
  <si>
    <t xml:space="preserve">FY2027</t>
  </si>
  <si>
    <t xml:space="preserve">Composition</t>
  </si>
  <si>
    <t xml:space="preserve">4A</t>
  </si>
  <si>
    <t xml:space="preserve">4E</t>
  </si>
  <si>
    <t xml:space="preserve">Diluted shares (mm, avg of quarters)</t>
  </si>
  <si>
    <t xml:space="preserve">Diluted EPS ($, NI / avg shares)</t>
  </si>
  <si>
    <t xml:space="preserve">Revenue growth vs. prior FY %</t>
  </si>
  <si>
    <t xml:space="preserve">Annual diluted EPS = annual net income / average of the four quarterly diluted share counts, so it can differ slightly from the sum of quarterly EPS and from reported annual EPS.</t>
  </si>
  <si>
    <t xml:space="preserve">MSFT Valuation: NTM EPS x P/E</t>
  </si>
  <si>
    <t xml:space="preserve">NTM = the next four quarters after the last actual (FY2026Q4), i.e. FY2027Q1E-FY2027Q4E. Rolled forward 2026-10-14 after the FY2026Q4 print.</t>
  </si>
  <si>
    <t xml:space="preserve">Quarter</t>
  </si>
  <si>
    <t xml:space="preserve">Target P/E (x)</t>
  </si>
  <si>
    <t xml:space="preserve">Prior target price ($, pre-FY26Q4 model)</t>
  </si>
  <si>
    <t xml:space="preserve">Change in target price %</t>
  </si>
  <si>
    <t xml:space="preserve">Share price ($), close 2026-10-12</t>
  </si>
  <si>
    <t xml:space="preserve">Upside / (downside) to target %</t>
  </si>
  <si>
    <t xml:space="preserve">Implied P/E on NTM EPS at current price (x)</t>
  </si>
  <si>
    <t xml:space="preserve">Price source: Investing.com MSFT quote page (close 2026-10-12), not verified against a second source.</t>
  </si>
  <si>
    <t xml:space="preserve">MSFT Quarterly Model: Estimate Assumptions</t>
  </si>
  <si>
    <t xml:space="preserve">Blue = hardcoded input; black = formula; green = link to another sheet. Yellow cells are the key levers; edit them to change the estimates.</t>
  </si>
  <si>
    <t xml:space="preserve">Assumption</t>
  </si>
  <si>
    <t xml:space="preserve">Value</t>
  </si>
  <si>
    <t xml:space="preserve">Basis</t>
  </si>
  <si>
    <t xml:space="preserve">Prior value (pre-FY26Q4 print)</t>
  </si>
  <si>
    <t xml:space="preserve">Change rationale</t>
  </si>
  <si>
    <t xml:space="preserve">Revenue growth vs. same quarter last year</t>
  </si>
  <si>
    <t xml:space="preserve">Estimate rule: revenue = same quarter last year x 1.164</t>
  </si>
  <si>
    <t xml:space="preserve">FY27Q1 guide $89.85-90.95bn (midpoint $90.4bn) = +16.4% YoY vs FY26Q1 $77,673mm; FY26Q4 actual grew +17.7%. Applied to all FY27 quarters (no deceleration assumed).</t>
  </si>
  <si>
    <t xml:space="preserve">Opex growth vs. same quarter last year</t>
  </si>
  <si>
    <t xml:space="preserve">Estimate rule: operating expenses = same quarter last year x 1.10</t>
  </si>
  <si>
    <t xml:space="preserve">FY26Q4 opex +9.8% YoY and FY26Q3 +9.4% (FY26 full year +7.4%); 6% no longer matches run-rate.</t>
  </si>
  <si>
    <t xml:space="preserve">Tax rate (estimates)</t>
  </si>
  <si>
    <t xml:space="preserve">Estimate rule: tax rate 19.0%</t>
  </si>
  <si>
    <t xml:space="preserve">FY26 effective rate 19.4%, FY26Q4 18.8%; 18% looked light.</t>
  </si>
  <si>
    <t xml:space="preserve">Diluted share reduction per quarter</t>
  </si>
  <si>
    <t xml:space="preserve">Estimate rule: diluted shares = latest actual minus 0.3% per quarter (compounded)</t>
  </si>
  <si>
    <t xml:space="preserve">Unchanged (FY26Q4 diluted shares 7,443mm vs 7,445mm in Q3).</t>
  </si>
  <si>
    <t xml:space="preserve">Other income (expense), net - estimates ($mm)</t>
  </si>
  <si>
    <t xml:space="preserve">Modeling default (not in spec): non-operating items assumed zero in estimate quarters</t>
  </si>
  <si>
    <t xml:space="preserve">Unchanged; FY26 other income was +$10.7bn but driven by volatile investment marks (OpenAI, Anthropic gain).</t>
  </si>
  <si>
    <t xml:space="preserve">Target P/E multiple on NTM EPS (x)</t>
  </si>
  <si>
    <t xml:space="preserve">Valuation rule: NTM EPS x 30 = target price</t>
  </si>
  <si>
    <t xml:space="preserve">Unchanged multiple; NTM window rolled forward to FY2027Q1-Q4.</t>
  </si>
  <si>
    <t xml:space="preserve">Gross margin method</t>
  </si>
  <si>
    <t xml:space="preserve">Gross margin for each estimate quarter = latest actual quarter (FY2026Q4) GM held flat. Edit to a hardcoded % to override.</t>
  </si>
  <si>
    <t xml:space="preserve">Trailing-4-quarter average</t>
  </si>
  <si>
    <t xml:space="preserve">GM fell four straight quarters (69.0% -&gt; 68.0% -&gt; 67.6% -&gt; 67.2%) on AI infrastructure costs; trailing average would have lifted FY27Q1 GM back to ~68%.</t>
  </si>
  <si>
    <t xml:space="preserve">Latest actual quarter, held flat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</si>
</sst>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0.00;&quot;($&quot;0.00\);\-"/>
    <numFmt numFmtId="168" formatCode="\$#,##0.00"/>
    <numFmt numFmtId="169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8000"/>
      <name val="Arial"/>
      <family val="0"/>
      <charset val="1"/>
    </font>
    <font>
      <sz val="11"/>
      <color rgb="FF555555"/>
      <name val="Cambria"/>
      <family val="0"/>
      <charset val="1"/>
    </font>
    <font>
      <sz val="10"/>
      <name val="Arial"/>
      <family val="2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4" min="2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 customFormat="false" ht="15" hidden="false" customHeight="true" outlineLevel="0" collapsed="false">
      <c r="A5" s="4" t="s">
        <v>16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6" t="s">
        <v>18</v>
      </c>
      <c r="L5" s="6" t="s">
        <v>18</v>
      </c>
      <c r="M5" s="6" t="s">
        <v>18</v>
      </c>
      <c r="N5" s="6" t="s">
        <v>18</v>
      </c>
    </row>
    <row r="6" customFormat="false" ht="15" hidden="false" customHeight="true" outlineLevel="0" collapsed="false">
      <c r="A6" s="4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7" t="s">
        <v>24</v>
      </c>
      <c r="G6" s="7" t="s">
        <v>25</v>
      </c>
      <c r="H6" s="7" t="s">
        <v>26</v>
      </c>
      <c r="I6" s="7" t="s">
        <v>27</v>
      </c>
      <c r="J6" s="7" t="s">
        <v>28</v>
      </c>
      <c r="K6" s="8" t="s">
        <v>29</v>
      </c>
      <c r="L6" s="8" t="s">
        <v>30</v>
      </c>
      <c r="M6" s="8" t="s">
        <v>31</v>
      </c>
      <c r="N6" s="8" t="s">
        <v>32</v>
      </c>
    </row>
    <row r="8" customFormat="false" ht="15" hidden="false" customHeight="true" outlineLevel="0" collapsed="false">
      <c r="A8" s="4" t="s">
        <v>33</v>
      </c>
      <c r="B8" s="9" t="n">
        <v>64727</v>
      </c>
      <c r="C8" s="9" t="n">
        <v>65585</v>
      </c>
      <c r="D8" s="9" t="n">
        <v>69632</v>
      </c>
      <c r="E8" s="9" t="n">
        <v>70066</v>
      </c>
      <c r="F8" s="9" t="n">
        <v>76441</v>
      </c>
      <c r="G8" s="9" t="n">
        <v>77673</v>
      </c>
      <c r="H8" s="9" t="n">
        <v>81273</v>
      </c>
      <c r="I8" s="9" t="n">
        <v>82886</v>
      </c>
      <c r="J8" s="10" t="n">
        <v>90007</v>
      </c>
      <c r="K8" s="11" t="n">
        <f aca="false">G8*(1+Assumptions!$B$5)</f>
        <v>90411.372</v>
      </c>
      <c r="L8" s="11" t="n">
        <f aca="false">H8*(1+Assumptions!$B$5)</f>
        <v>94601.772</v>
      </c>
      <c r="M8" s="11" t="n">
        <f aca="false">I8*(1+Assumptions!$B$5)</f>
        <v>96479.304</v>
      </c>
      <c r="N8" s="11" t="n">
        <f aca="false">J8*(1+Assumptions!$B$5)</f>
        <v>104768.148</v>
      </c>
    </row>
    <row r="9" customFormat="false" ht="15" hidden="false" customHeight="true" outlineLevel="0" collapsed="false">
      <c r="A9" s="12" t="s">
        <v>34</v>
      </c>
      <c r="B9" s="9" t="n">
        <v>19684</v>
      </c>
      <c r="C9" s="9" t="n">
        <v>20099</v>
      </c>
      <c r="D9" s="9" t="n">
        <v>21799</v>
      </c>
      <c r="E9" s="9" t="n">
        <v>21919</v>
      </c>
      <c r="F9" s="9" t="n">
        <v>24014</v>
      </c>
      <c r="G9" s="9" t="n">
        <v>24043</v>
      </c>
      <c r="H9" s="9" t="n">
        <v>25978</v>
      </c>
      <c r="I9" s="9" t="n">
        <v>26828</v>
      </c>
      <c r="J9" s="10" t="n">
        <v>29525</v>
      </c>
      <c r="K9" s="11" t="n">
        <f aca="false">K8-K10</f>
        <v>29657.6461641872</v>
      </c>
      <c r="L9" s="11" t="n">
        <f aca="false">L8-L10</f>
        <v>31032.2232526359</v>
      </c>
      <c r="M9" s="11" t="n">
        <f aca="false">M8-M10</f>
        <v>31648.1101536547</v>
      </c>
      <c r="N9" s="11" t="n">
        <f aca="false">N8-N10</f>
        <v>34367.1</v>
      </c>
    </row>
    <row r="10" customFormat="false" ht="15" hidden="false" customHeight="true" outlineLevel="0" collapsed="false">
      <c r="A10" s="4" t="s">
        <v>35</v>
      </c>
      <c r="B10" s="13" t="n">
        <f aca="false">B8-B9</f>
        <v>45043</v>
      </c>
      <c r="C10" s="13" t="n">
        <f aca="false">C8-C9</f>
        <v>45486</v>
      </c>
      <c r="D10" s="13" t="n">
        <f aca="false">D8-D9</f>
        <v>47833</v>
      </c>
      <c r="E10" s="13" t="n">
        <f aca="false">E8-E9</f>
        <v>48147</v>
      </c>
      <c r="F10" s="13" t="n">
        <f aca="false">F8-F9</f>
        <v>52427</v>
      </c>
      <c r="G10" s="13" t="n">
        <f aca="false">G8-G9</f>
        <v>53630</v>
      </c>
      <c r="H10" s="13" t="n">
        <f aca="false">H8-H9</f>
        <v>55295</v>
      </c>
      <c r="I10" s="13" t="n">
        <f aca="false">I8-I9</f>
        <v>56058</v>
      </c>
      <c r="J10" s="14" t="n">
        <f aca="false">J8-J9</f>
        <v>60482</v>
      </c>
      <c r="K10" s="11" t="n">
        <f aca="false">K8*K11</f>
        <v>60753.7258358128</v>
      </c>
      <c r="L10" s="11" t="n">
        <f aca="false">L8*L11</f>
        <v>63569.5487473641</v>
      </c>
      <c r="M10" s="11" t="n">
        <f aca="false">M8*M11</f>
        <v>64831.1938463453</v>
      </c>
      <c r="N10" s="11" t="n">
        <f aca="false">N8*N11</f>
        <v>70401.048</v>
      </c>
    </row>
    <row r="11" customFormat="false" ht="15" hidden="false" customHeight="true" outlineLevel="0" collapsed="false">
      <c r="A11" s="12" t="s">
        <v>36</v>
      </c>
      <c r="B11" s="15" t="n">
        <f aca="false">IF(B8=0,0,B10/B8)</f>
        <v>0.695891977072937</v>
      </c>
      <c r="C11" s="15" t="n">
        <f aca="false">IF(C8=0,0,C10/C8)</f>
        <v>0.693542730807349</v>
      </c>
      <c r="D11" s="15" t="n">
        <f aca="false">IF(D8=0,0,D10/D8)</f>
        <v>0.686939912683824</v>
      </c>
      <c r="E11" s="15" t="n">
        <f aca="false">IF(E8=0,0,E10/E8)</f>
        <v>0.687166385978934</v>
      </c>
      <c r="F11" s="15" t="n">
        <f aca="false">IF(F8=0,0,F10/F8)</f>
        <v>0.68584921704321</v>
      </c>
      <c r="G11" s="15" t="n">
        <f aca="false">IF(G8=0,0,G10/G8)</f>
        <v>0.690458717958621</v>
      </c>
      <c r="H11" s="15" t="n">
        <f aca="false">IF(H8=0,0,H10/H8)</f>
        <v>0.680361251584167</v>
      </c>
      <c r="I11" s="15" t="n">
        <f aca="false">IF(I8=0,0,I10/I8)</f>
        <v>0.676326520763458</v>
      </c>
      <c r="J11" s="16" t="n">
        <f aca="false">IF(J8=0,0,J10/J8)</f>
        <v>0.671969957892164</v>
      </c>
      <c r="K11" s="17" t="n">
        <f aca="false">Assumptions!$B$11</f>
        <v>0.671969957892164</v>
      </c>
      <c r="L11" s="17" t="n">
        <f aca="false">Assumptions!$B$11</f>
        <v>0.671969957892164</v>
      </c>
      <c r="M11" s="17" t="n">
        <f aca="false">Assumptions!$B$11</f>
        <v>0.671969957892164</v>
      </c>
      <c r="N11" s="17" t="n">
        <f aca="false">Assumptions!$B$11</f>
        <v>0.671969957892164</v>
      </c>
    </row>
    <row r="12" customFormat="false" ht="15" hidden="false" customHeight="true" outlineLevel="0" collapsed="false">
      <c r="A12" s="12" t="s">
        <v>37</v>
      </c>
      <c r="B12" s="9" t="n">
        <v>17118</v>
      </c>
      <c r="C12" s="9" t="n">
        <v>14934</v>
      </c>
      <c r="D12" s="9" t="n">
        <v>16180</v>
      </c>
      <c r="E12" s="9" t="n">
        <v>16147</v>
      </c>
      <c r="F12" s="9" t="n">
        <v>18104</v>
      </c>
      <c r="G12" s="9" t="n">
        <v>15669</v>
      </c>
      <c r="H12" s="9" t="n">
        <v>17020</v>
      </c>
      <c r="I12" s="9" t="n">
        <v>17660</v>
      </c>
      <c r="J12" s="10" t="n">
        <v>19879</v>
      </c>
      <c r="K12" s="11" t="n">
        <f aca="false">G12*(1+Assumptions!$B$6)</f>
        <v>17235.9</v>
      </c>
      <c r="L12" s="11" t="n">
        <f aca="false">H12*(1+Assumptions!$B$6)</f>
        <v>18722</v>
      </c>
      <c r="M12" s="11" t="n">
        <f aca="false">I12*(1+Assumptions!$B$6)</f>
        <v>19426</v>
      </c>
      <c r="N12" s="11" t="n">
        <f aca="false">J12*(1+Assumptions!$B$6)</f>
        <v>21866.9</v>
      </c>
    </row>
    <row r="13" customFormat="false" ht="15" hidden="false" customHeight="true" outlineLevel="0" collapsed="false">
      <c r="A13" s="4" t="s">
        <v>38</v>
      </c>
      <c r="B13" s="13" t="n">
        <f aca="false">B10-B12</f>
        <v>27925</v>
      </c>
      <c r="C13" s="13" t="n">
        <f aca="false">C10-C12</f>
        <v>30552</v>
      </c>
      <c r="D13" s="13" t="n">
        <f aca="false">D10-D12</f>
        <v>31653</v>
      </c>
      <c r="E13" s="13" t="n">
        <f aca="false">E10-E12</f>
        <v>32000</v>
      </c>
      <c r="F13" s="13" t="n">
        <f aca="false">F10-F12</f>
        <v>34323</v>
      </c>
      <c r="G13" s="13" t="n">
        <f aca="false">G10-G12</f>
        <v>37961</v>
      </c>
      <c r="H13" s="13" t="n">
        <f aca="false">H10-H12</f>
        <v>38275</v>
      </c>
      <c r="I13" s="13" t="n">
        <f aca="false">I10-I12</f>
        <v>38398</v>
      </c>
      <c r="J13" s="13" t="n">
        <f aca="false">J10-J12</f>
        <v>40603</v>
      </c>
      <c r="K13" s="11" t="n">
        <f aca="false">K10-K12</f>
        <v>43517.8258358128</v>
      </c>
      <c r="L13" s="11" t="n">
        <f aca="false">L10-L12</f>
        <v>44847.5487473641</v>
      </c>
      <c r="M13" s="11" t="n">
        <f aca="false">M10-M12</f>
        <v>45405.1938463453</v>
      </c>
      <c r="N13" s="11" t="n">
        <f aca="false">N10-N12</f>
        <v>48534.148</v>
      </c>
    </row>
    <row r="14" customFormat="false" ht="15" hidden="false" customHeight="true" outlineLevel="0" collapsed="false">
      <c r="A14" s="12" t="s">
        <v>39</v>
      </c>
      <c r="B14" s="15" t="n">
        <f aca="false">IF(B8=0,0,B13/B8)</f>
        <v>0.431427379609746</v>
      </c>
      <c r="C14" s="15" t="n">
        <f aca="false">IF(C8=0,0,C13/C8)</f>
        <v>0.465838225203934</v>
      </c>
      <c r="D14" s="15" t="n">
        <f aca="false">IF(D8=0,0,D13/D8)</f>
        <v>0.454575482536765</v>
      </c>
      <c r="E14" s="15" t="n">
        <f aca="false">IF(E8=0,0,E13/E8)</f>
        <v>0.456712242742557</v>
      </c>
      <c r="F14" s="15" t="n">
        <f aca="false">IF(F8=0,0,F13/F8)</f>
        <v>0.449012964246936</v>
      </c>
      <c r="G14" s="15" t="n">
        <f aca="false">IF(G8=0,0,G13/G8)</f>
        <v>0.48872838695557</v>
      </c>
      <c r="H14" s="15" t="n">
        <f aca="false">IF(H8=0,0,H13/H8)</f>
        <v>0.470943609808916</v>
      </c>
      <c r="I14" s="15" t="n">
        <f aca="false">IF(I8=0,0,I13/I8)</f>
        <v>0.463262794681852</v>
      </c>
      <c r="J14" s="15" t="n">
        <f aca="false">IF(J8=0,0,J13/J8)</f>
        <v>0.451109358161032</v>
      </c>
      <c r="K14" s="18" t="n">
        <f aca="false">IF(K8=0,0,K13/K8)</f>
        <v>0.48133132893739</v>
      </c>
      <c r="L14" s="18" t="n">
        <f aca="false">IF(L8=0,0,L13/L8)</f>
        <v>0.474066688173284</v>
      </c>
      <c r="M14" s="18" t="n">
        <f aca="false">IF(M8=0,0,M13/M8)</f>
        <v>0.470621075856282</v>
      </c>
      <c r="N14" s="18" t="n">
        <f aca="false">IF(N8=0,0,N13/N8)</f>
        <v>0.463252896290579</v>
      </c>
    </row>
    <row r="15" customFormat="false" ht="15" hidden="false" customHeight="true" outlineLevel="0" collapsed="false">
      <c r="A15" s="12" t="s">
        <v>40</v>
      </c>
      <c r="B15" s="9" t="n">
        <v>-675</v>
      </c>
      <c r="C15" s="9" t="n">
        <v>-283</v>
      </c>
      <c r="D15" s="9" t="n">
        <v>-2288</v>
      </c>
      <c r="E15" s="9" t="n">
        <v>-623</v>
      </c>
      <c r="F15" s="9" t="n">
        <v>-1707</v>
      </c>
      <c r="G15" s="9" t="n">
        <v>-3660</v>
      </c>
      <c r="H15" s="9" t="n">
        <v>9971</v>
      </c>
      <c r="I15" s="9" t="n">
        <v>942</v>
      </c>
      <c r="J15" s="10" t="n">
        <v>3444</v>
      </c>
      <c r="K15" s="19" t="n">
        <f aca="false">Assumptions!$B$9</f>
        <v>0</v>
      </c>
      <c r="L15" s="19" t="n">
        <f aca="false">Assumptions!$B$9</f>
        <v>0</v>
      </c>
      <c r="M15" s="19" t="n">
        <f aca="false">Assumptions!$B$9</f>
        <v>0</v>
      </c>
      <c r="N15" s="19" t="n">
        <f aca="false">Assumptions!$B$9</f>
        <v>0</v>
      </c>
    </row>
    <row r="16" customFormat="false" ht="15" hidden="false" customHeight="true" outlineLevel="0" collapsed="false">
      <c r="A16" s="12" t="s">
        <v>41</v>
      </c>
      <c r="B16" s="13" t="n">
        <f aca="false">B13+B15</f>
        <v>27250</v>
      </c>
      <c r="C16" s="13" t="n">
        <f aca="false">C13+C15</f>
        <v>30269</v>
      </c>
      <c r="D16" s="13" t="n">
        <f aca="false">D13+D15</f>
        <v>29365</v>
      </c>
      <c r="E16" s="13" t="n">
        <f aca="false">E13+E15</f>
        <v>31377</v>
      </c>
      <c r="F16" s="13" t="n">
        <f aca="false">F13+F15</f>
        <v>32616</v>
      </c>
      <c r="G16" s="13" t="n">
        <f aca="false">G13+G15</f>
        <v>34301</v>
      </c>
      <c r="H16" s="13" t="n">
        <f aca="false">H13+H15</f>
        <v>48246</v>
      </c>
      <c r="I16" s="13" t="n">
        <f aca="false">I13+I15</f>
        <v>39340</v>
      </c>
      <c r="J16" s="13" t="n">
        <f aca="false">J13+J15</f>
        <v>44047</v>
      </c>
      <c r="K16" s="11" t="n">
        <f aca="false">K13+K15</f>
        <v>43517.8258358128</v>
      </c>
      <c r="L16" s="11" t="n">
        <f aca="false">L13+L15</f>
        <v>44847.5487473641</v>
      </c>
      <c r="M16" s="11" t="n">
        <f aca="false">M13+M15</f>
        <v>45405.1938463453</v>
      </c>
      <c r="N16" s="11" t="n">
        <f aca="false">N13+N15</f>
        <v>48534.148</v>
      </c>
    </row>
    <row r="17" customFormat="false" ht="15" hidden="false" customHeight="true" outlineLevel="0" collapsed="false">
      <c r="A17" s="12" t="s">
        <v>42</v>
      </c>
      <c r="B17" s="9" t="n">
        <v>5214</v>
      </c>
      <c r="C17" s="9" t="n">
        <v>5602</v>
      </c>
      <c r="D17" s="9" t="n">
        <v>5257</v>
      </c>
      <c r="E17" s="9" t="n">
        <v>5553</v>
      </c>
      <c r="F17" s="9" t="n">
        <v>5383</v>
      </c>
      <c r="G17" s="9" t="n">
        <v>6554</v>
      </c>
      <c r="H17" s="9" t="n">
        <v>9788</v>
      </c>
      <c r="I17" s="9" t="n">
        <v>7562</v>
      </c>
      <c r="J17" s="10" t="n">
        <v>8281</v>
      </c>
      <c r="K17" s="11" t="n">
        <f aca="false">K16*K18</f>
        <v>8268.38690880443</v>
      </c>
      <c r="L17" s="11" t="n">
        <f aca="false">L16*L18</f>
        <v>8521.03426199918</v>
      </c>
      <c r="M17" s="11" t="n">
        <f aca="false">M16*M18</f>
        <v>8626.9868308056</v>
      </c>
      <c r="N17" s="11" t="n">
        <f aca="false">N16*N18</f>
        <v>9221.48812</v>
      </c>
    </row>
    <row r="18" customFormat="false" ht="15" hidden="false" customHeight="true" outlineLevel="0" collapsed="false">
      <c r="A18" s="12" t="s">
        <v>43</v>
      </c>
      <c r="B18" s="15" t="n">
        <f aca="false">IF(B16=0,0,B17/B16)</f>
        <v>0.191339449541284</v>
      </c>
      <c r="C18" s="15" t="n">
        <f aca="false">IF(C16=0,0,C17/C16)</f>
        <v>0.185073837919984</v>
      </c>
      <c r="D18" s="15" t="n">
        <f aca="false">IF(D16=0,0,D17/D16)</f>
        <v>0.179022646007151</v>
      </c>
      <c r="E18" s="15" t="n">
        <f aca="false">IF(E16=0,0,E17/E16)</f>
        <v>0.176976766421264</v>
      </c>
      <c r="F18" s="15" t="n">
        <f aca="false">IF(F16=0,0,F17/F16)</f>
        <v>0.165041697326466</v>
      </c>
      <c r="G18" s="15" t="n">
        <f aca="false">IF(G16=0,0,G17/G16)</f>
        <v>0.191073146555494</v>
      </c>
      <c r="H18" s="15" t="n">
        <f aca="false">IF(H16=0,0,H17/H16)</f>
        <v>0.202876922439166</v>
      </c>
      <c r="I18" s="15" t="n">
        <f aca="false">IF(I16=0,0,I17/I16)</f>
        <v>0.192221657346213</v>
      </c>
      <c r="J18" s="16" t="n">
        <f aca="false">IF(J16=0,0,J17/J16)</f>
        <v>0.188003723295571</v>
      </c>
      <c r="K18" s="20" t="n">
        <f aca="false">Assumptions!$B$7</f>
        <v>0.19</v>
      </c>
      <c r="L18" s="20" t="n">
        <f aca="false">Assumptions!$B$7</f>
        <v>0.19</v>
      </c>
      <c r="M18" s="20" t="n">
        <f aca="false">Assumptions!$B$7</f>
        <v>0.19</v>
      </c>
      <c r="N18" s="20" t="n">
        <f aca="false">Assumptions!$B$7</f>
        <v>0.19</v>
      </c>
    </row>
    <row r="19" customFormat="false" ht="15" hidden="false" customHeight="true" outlineLevel="0" collapsed="false">
      <c r="A19" s="4" t="s">
        <v>44</v>
      </c>
      <c r="B19" s="13" t="n">
        <f aca="false">B16-B17</f>
        <v>22036</v>
      </c>
      <c r="C19" s="13" t="n">
        <f aca="false">C16-C17</f>
        <v>24667</v>
      </c>
      <c r="D19" s="13" t="n">
        <f aca="false">D16-D17</f>
        <v>24108</v>
      </c>
      <c r="E19" s="13" t="n">
        <f aca="false">E16-E17</f>
        <v>25824</v>
      </c>
      <c r="F19" s="13" t="n">
        <f aca="false">F16-F17</f>
        <v>27233</v>
      </c>
      <c r="G19" s="13" t="n">
        <f aca="false">G16-G17</f>
        <v>27747</v>
      </c>
      <c r="H19" s="13" t="n">
        <f aca="false">H16-H17</f>
        <v>38458</v>
      </c>
      <c r="I19" s="13" t="n">
        <f aca="false">I16-I17</f>
        <v>31778</v>
      </c>
      <c r="J19" s="13" t="n">
        <f aca="false">J16-J17</f>
        <v>35766</v>
      </c>
      <c r="K19" s="11" t="n">
        <f aca="false">K16-K17</f>
        <v>35249.4389270083</v>
      </c>
      <c r="L19" s="11" t="n">
        <f aca="false">L16-L17</f>
        <v>36326.5144853649</v>
      </c>
      <c r="M19" s="11" t="n">
        <f aca="false">M16-M17</f>
        <v>36778.2070155397</v>
      </c>
      <c r="N19" s="11" t="n">
        <f aca="false">N16-N17</f>
        <v>39312.65988</v>
      </c>
    </row>
    <row r="20" customFormat="false" ht="15" hidden="false" customHeight="true" outlineLevel="0" collapsed="false">
      <c r="A20" s="12" t="s">
        <v>45</v>
      </c>
      <c r="B20" s="9" t="n">
        <v>7469</v>
      </c>
      <c r="C20" s="9" t="n">
        <v>7470</v>
      </c>
      <c r="D20" s="9" t="n">
        <v>7468</v>
      </c>
      <c r="E20" s="9" t="n">
        <v>7461</v>
      </c>
      <c r="F20" s="9" t="n">
        <v>7465</v>
      </c>
      <c r="G20" s="9" t="n">
        <v>7466</v>
      </c>
      <c r="H20" s="9" t="n">
        <v>7460</v>
      </c>
      <c r="I20" s="9" t="n">
        <v>7445</v>
      </c>
      <c r="J20" s="10" t="n">
        <v>7443</v>
      </c>
      <c r="K20" s="11" t="n">
        <f aca="false">J20*(1-Assumptions!$B$8)</f>
        <v>7420.671</v>
      </c>
      <c r="L20" s="11" t="n">
        <f aca="false">K20*(1-Assumptions!$B$8)</f>
        <v>7398.408987</v>
      </c>
      <c r="M20" s="11" t="n">
        <f aca="false">L20*(1-Assumptions!$B$8)</f>
        <v>7376.213760039</v>
      </c>
      <c r="N20" s="11" t="n">
        <f aca="false">M20*(1-Assumptions!$B$8)</f>
        <v>7354.08511875888</v>
      </c>
    </row>
    <row r="21" customFormat="false" ht="15" hidden="false" customHeight="true" outlineLevel="0" collapsed="false">
      <c r="A21" s="4" t="s">
        <v>46</v>
      </c>
      <c r="B21" s="21" t="n">
        <f aca="false">IF(B20=0,0,B19/B20)</f>
        <v>2.95032802249297</v>
      </c>
      <c r="C21" s="21" t="n">
        <f aca="false">IF(C20=0,0,C19/C20)</f>
        <v>3.30214190093708</v>
      </c>
      <c r="D21" s="21" t="n">
        <f aca="false">IF(D20=0,0,D19/D20)</f>
        <v>3.22817354043921</v>
      </c>
      <c r="E21" s="21" t="n">
        <f aca="false">IF(E20=0,0,E19/E20)</f>
        <v>3.46119823080016</v>
      </c>
      <c r="F21" s="21" t="n">
        <f aca="false">IF(F20=0,0,F19/F20)</f>
        <v>3.64809109176155</v>
      </c>
      <c r="G21" s="21" t="n">
        <f aca="false">IF(G20=0,0,G19/G20)</f>
        <v>3.71644789713367</v>
      </c>
      <c r="H21" s="21" t="n">
        <f aca="false">IF(H20=0,0,H19/H20)</f>
        <v>5.15522788203753</v>
      </c>
      <c r="I21" s="21" t="n">
        <f aca="false">IF(I20=0,0,I19/I20)</f>
        <v>4.2683680322364</v>
      </c>
      <c r="J21" s="21" t="n">
        <f aca="false">IF(J20=0,0,J19/J20)</f>
        <v>4.80532043530834</v>
      </c>
      <c r="K21" s="22" t="n">
        <f aca="false">IF(K20=0,0,K19/K20)</f>
        <v>4.75016867437033</v>
      </c>
      <c r="L21" s="22" t="n">
        <f aca="false">IF(L20=0,0,L19/L20)</f>
        <v>4.91004411207808</v>
      </c>
      <c r="M21" s="22" t="n">
        <f aca="false">IF(M20=0,0,M19/M20)</f>
        <v>4.98605493441465</v>
      </c>
      <c r="N21" s="22" t="n">
        <f aca="false">IF(N20=0,0,N19/N20)</f>
        <v>5.34569008179152</v>
      </c>
    </row>
    <row r="22" customFormat="false" ht="15" hidden="false" customHeight="true" outlineLevel="0" collapsed="false">
      <c r="A22" s="12" t="s">
        <v>47</v>
      </c>
      <c r="F22" s="15" t="n">
        <f aca="false">IF(B8=0,0,F8/B8-1)</f>
        <v>0.180975481638265</v>
      </c>
      <c r="G22" s="15" t="n">
        <f aca="false">IF(C8=0,0,G8/C8-1)</f>
        <v>0.184310436837692</v>
      </c>
      <c r="H22" s="15" t="n">
        <f aca="false">IF(D8=0,0,H8/D8-1)</f>
        <v>0.167178883272059</v>
      </c>
      <c r="I22" s="15" t="n">
        <f aca="false">IF(E8=0,0,I8/E8-1)</f>
        <v>0.182970342248737</v>
      </c>
      <c r="J22" s="15" t="n">
        <f aca="false">IF(F8=0,0,J8/F8-1)</f>
        <v>0.177470205779621</v>
      </c>
      <c r="K22" s="18" t="n">
        <f aca="false">IF(G8=0,0,K8/G8-1)</f>
        <v>0.164</v>
      </c>
      <c r="L22" s="18" t="n">
        <f aca="false">IF(H8=0,0,L8/H8-1)</f>
        <v>0.164</v>
      </c>
      <c r="M22" s="18" t="n">
        <f aca="false">IF(I8=0,0,M8/I8-1)</f>
        <v>0.164</v>
      </c>
      <c r="N22" s="18" t="n">
        <f aca="false">IF(J8=0,0,N8/J8-1)</f>
        <v>0.164</v>
      </c>
    </row>
    <row r="24" customFormat="false" ht="15" hidden="false" customHeight="true" outlineLevel="0" collapsed="false">
      <c r="A24" s="3" t="s">
        <v>48</v>
      </c>
    </row>
    <row r="25" customFormat="false" ht="15" hidden="false" customHeight="true" outlineLevel="0" collapsed="false">
      <c r="A25" s="3" t="s">
        <v>49</v>
      </c>
    </row>
    <row r="26" customFormat="false" ht="15" hidden="false" customHeight="false" outlineLevel="0" collapsed="false">
      <c r="A26" s="2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24" t="s">
        <v>51</v>
      </c>
    </row>
    <row r="2" customFormat="false" ht="15" hidden="false" customHeight="false" outlineLevel="0" collapsed="false">
      <c r="A2" s="23" t="s">
        <v>52</v>
      </c>
    </row>
    <row r="4" customFormat="false" ht="15" hidden="false" customHeight="false" outlineLevel="0" collapsed="false">
      <c r="A4" s="25" t="s">
        <v>53</v>
      </c>
      <c r="B4" s="25" t="s">
        <v>54</v>
      </c>
      <c r="C4" s="25" t="s">
        <v>55</v>
      </c>
      <c r="D4" s="25" t="s">
        <v>56</v>
      </c>
      <c r="E4" s="25" t="s">
        <v>57</v>
      </c>
    </row>
    <row r="5" customFormat="false" ht="15" hidden="false" customHeight="false" outlineLevel="0" collapsed="false">
      <c r="A5" s="0" t="s">
        <v>33</v>
      </c>
      <c r="B5" s="26" t="n">
        <v>85613.92</v>
      </c>
      <c r="C5" s="27" t="n">
        <f aca="false">'Quarterly IS'!J8</f>
        <v>90007</v>
      </c>
      <c r="D5" s="28" t="n">
        <f aca="false">C5-B5</f>
        <v>4393.08</v>
      </c>
      <c r="E5" s="29" t="n">
        <f aca="false">IF(B5=0,"n/m",C5/B5-1)</f>
        <v>0.0513126837318043</v>
      </c>
    </row>
    <row r="6" customFormat="false" ht="15" hidden="false" customHeight="false" outlineLevel="0" collapsed="false">
      <c r="A6" s="0" t="s">
        <v>35</v>
      </c>
      <c r="B6" s="26" t="n">
        <v>58495.619</v>
      </c>
      <c r="C6" s="27" t="n">
        <f aca="false">'Quarterly IS'!J10</f>
        <v>60482</v>
      </c>
      <c r="D6" s="28" t="n">
        <f aca="false">C6-B6</f>
        <v>1986.381</v>
      </c>
      <c r="E6" s="29" t="n">
        <f aca="false">IF(B6=0,"n/m",C6/B6-1)</f>
        <v>0.0339577738291821</v>
      </c>
    </row>
    <row r="7" customFormat="false" ht="15" hidden="false" customHeight="false" outlineLevel="0" collapsed="false">
      <c r="A7" s="0" t="s">
        <v>36</v>
      </c>
      <c r="B7" s="30" t="n">
        <v>0.683244</v>
      </c>
      <c r="C7" s="31" t="n">
        <f aca="false">'Quarterly IS'!J11</f>
        <v>0.671969957892164</v>
      </c>
      <c r="D7" s="29" t="n">
        <f aca="false">C7-B7</f>
        <v>-0.011274042107836</v>
      </c>
      <c r="E7" s="0" t="s">
        <v>58</v>
      </c>
    </row>
    <row r="8" customFormat="false" ht="15" hidden="false" customHeight="false" outlineLevel="0" collapsed="false">
      <c r="A8" s="0" t="s">
        <v>37</v>
      </c>
      <c r="B8" s="26" t="n">
        <v>19190.24</v>
      </c>
      <c r="C8" s="27" t="n">
        <f aca="false">'Quarterly IS'!J12</f>
        <v>19879</v>
      </c>
      <c r="D8" s="28" t="n">
        <f aca="false">C8-B8</f>
        <v>688.759999999998</v>
      </c>
      <c r="E8" s="29" t="n">
        <f aca="false">IF(B8=0,"n/m",C8/B8-1)</f>
        <v>0.0358911613403479</v>
      </c>
    </row>
    <row r="9" customFormat="false" ht="15" hidden="false" customHeight="false" outlineLevel="0" collapsed="false">
      <c r="A9" s="0" t="s">
        <v>38</v>
      </c>
      <c r="B9" s="26" t="n">
        <v>39305.379</v>
      </c>
      <c r="C9" s="27" t="n">
        <f aca="false">'Quarterly IS'!J13</f>
        <v>40603</v>
      </c>
      <c r="D9" s="28" t="n">
        <f aca="false">C9-B9</f>
        <v>1297.621</v>
      </c>
      <c r="E9" s="29" t="n">
        <f aca="false">IF(B9=0,"n/m",C9/B9-1)</f>
        <v>0.0330138274458567</v>
      </c>
    </row>
    <row r="10" customFormat="false" ht="15" hidden="false" customHeight="false" outlineLevel="0" collapsed="false">
      <c r="A10" s="0" t="s">
        <v>39</v>
      </c>
      <c r="B10" s="30" t="n">
        <v>0.459105</v>
      </c>
      <c r="C10" s="31" t="n">
        <f aca="false">'Quarterly IS'!J14</f>
        <v>0.451109358161032</v>
      </c>
      <c r="D10" s="29" t="n">
        <f aca="false">C10-B10</f>
        <v>-0.00799564183896806</v>
      </c>
      <c r="E10" s="0" t="s">
        <v>58</v>
      </c>
    </row>
    <row r="11" customFormat="false" ht="15" hidden="false" customHeight="false" outlineLevel="0" collapsed="false">
      <c r="A11" s="0" t="s">
        <v>40</v>
      </c>
      <c r="B11" s="26" t="n">
        <v>0</v>
      </c>
      <c r="C11" s="27" t="n">
        <f aca="false">'Quarterly IS'!J15</f>
        <v>3444</v>
      </c>
      <c r="D11" s="28" t="n">
        <f aca="false">C11-B11</f>
        <v>3444</v>
      </c>
      <c r="E11" s="29" t="str">
        <f aca="false">IF(B11=0,"n/m",C11/B11-1)</f>
        <v>n/m</v>
      </c>
    </row>
    <row r="12" customFormat="false" ht="15" hidden="false" customHeight="false" outlineLevel="0" collapsed="false">
      <c r="A12" s="0" t="s">
        <v>43</v>
      </c>
      <c r="B12" s="30" t="n">
        <v>0.18</v>
      </c>
      <c r="C12" s="31" t="n">
        <f aca="false">'Quarterly IS'!J18</f>
        <v>0.188003723295571</v>
      </c>
      <c r="D12" s="29" t="n">
        <f aca="false">C12-B12</f>
        <v>0.00800372329557064</v>
      </c>
      <c r="E12" s="0" t="s">
        <v>58</v>
      </c>
    </row>
    <row r="13" customFormat="false" ht="15" hidden="false" customHeight="false" outlineLevel="0" collapsed="false">
      <c r="A13" s="0" t="s">
        <v>44</v>
      </c>
      <c r="B13" s="26" t="n">
        <v>32230.4107</v>
      </c>
      <c r="C13" s="27" t="n">
        <f aca="false">'Quarterly IS'!J19</f>
        <v>35766</v>
      </c>
      <c r="D13" s="28" t="n">
        <f aca="false">C13-B13</f>
        <v>3535.5893</v>
      </c>
      <c r="E13" s="29" t="n">
        <f aca="false">IF(B13=0,"n/m",C13/B13-1)</f>
        <v>0.109697308325022</v>
      </c>
    </row>
    <row r="14" customFormat="false" ht="15" hidden="false" customHeight="false" outlineLevel="0" collapsed="false">
      <c r="A14" s="0" t="s">
        <v>45</v>
      </c>
      <c r="B14" s="26" t="n">
        <v>7422.665</v>
      </c>
      <c r="C14" s="27" t="n">
        <f aca="false">'Quarterly IS'!J20</f>
        <v>7443</v>
      </c>
      <c r="D14" s="28" t="n">
        <f aca="false">C14-B14</f>
        <v>20.335</v>
      </c>
      <c r="E14" s="29" t="n">
        <f aca="false">IF(B14=0,"n/m",C14/B14-1)</f>
        <v>0.00273958207732661</v>
      </c>
    </row>
    <row r="15" customFormat="false" ht="15" hidden="false" customHeight="false" outlineLevel="0" collapsed="false">
      <c r="A15" s="0" t="s">
        <v>46</v>
      </c>
      <c r="B15" s="32" t="n">
        <v>4.342162</v>
      </c>
      <c r="C15" s="33" t="n">
        <f aca="false">'Quarterly IS'!J21</f>
        <v>4.80532043530834</v>
      </c>
      <c r="D15" s="34" t="n">
        <f aca="false">C15-B15</f>
        <v>0.463158435308343</v>
      </c>
      <c r="E15" s="29" t="n">
        <f aca="false">IF(B15=0,"n/m",C15/B15-1)</f>
        <v>0.106665397400729</v>
      </c>
    </row>
    <row r="16" customFormat="false" ht="15" hidden="false" customHeight="false" outlineLevel="0" collapsed="false">
      <c r="A16" s="23" t="s">
        <v>59</v>
      </c>
    </row>
    <row r="18" customFormat="false" ht="15" hidden="false" customHeight="false" outlineLevel="0" collapsed="false">
      <c r="A18" s="24" t="s">
        <v>60</v>
      </c>
    </row>
    <row r="19" customFormat="false" ht="15" hidden="false" customHeight="false" outlineLevel="0" collapsed="false">
      <c r="A19" s="25" t="s">
        <v>53</v>
      </c>
      <c r="B19" s="25" t="s">
        <v>54</v>
      </c>
      <c r="C19" s="25" t="s">
        <v>61</v>
      </c>
      <c r="D19" s="25" t="s">
        <v>62</v>
      </c>
      <c r="E19" s="25" t="s">
        <v>63</v>
      </c>
    </row>
    <row r="20" customFormat="false" ht="15" hidden="false" customHeight="false" outlineLevel="0" collapsed="false">
      <c r="A20" s="0" t="s">
        <v>64</v>
      </c>
      <c r="B20" s="26" t="n">
        <v>86993.76</v>
      </c>
      <c r="C20" s="27" t="n">
        <f aca="false">'Quarterly IS'!K8</f>
        <v>90411.372</v>
      </c>
      <c r="D20" s="28" t="n">
        <f aca="false">C20-B20</f>
        <v>3417.61199999999</v>
      </c>
      <c r="E20" s="29" t="n">
        <f aca="false">IF(B20=0,"n/m",C20/B20-1)</f>
        <v>0.0392857142857141</v>
      </c>
    </row>
    <row r="21" customFormat="false" ht="15" hidden="false" customHeight="false" outlineLevel="0" collapsed="false">
      <c r="A21" s="0" t="s">
        <v>65</v>
      </c>
      <c r="B21" s="32" t="n">
        <v>4.739423</v>
      </c>
      <c r="C21" s="33" t="n">
        <f aca="false">'Quarterly IS'!K21</f>
        <v>4.75016867437033</v>
      </c>
      <c r="D21" s="34" t="n">
        <f aca="false">C21-B21</f>
        <v>0.0107456743703285</v>
      </c>
      <c r="E21" s="29" t="n">
        <f aca="false">IF(B21=0,"n/m",C21/B21-1)</f>
        <v>0.00226729590718722</v>
      </c>
    </row>
    <row r="22" customFormat="false" ht="15" hidden="false" customHeight="false" outlineLevel="0" collapsed="false">
      <c r="A22" s="0" t="s">
        <v>66</v>
      </c>
      <c r="B22" s="26" t="n">
        <v>366739.4304</v>
      </c>
      <c r="C22" s="27" t="n">
        <f aca="false">'Annual Summary'!D8</f>
        <v>386260.596</v>
      </c>
      <c r="D22" s="28" t="n">
        <f aca="false">C22-B22</f>
        <v>19521.1656</v>
      </c>
      <c r="E22" s="29" t="n">
        <f aca="false">IF(B22=0,"n/m",C22/B22-1)</f>
        <v>0.0532289794383667</v>
      </c>
    </row>
    <row r="23" customFormat="false" ht="15" hidden="false" customHeight="false" outlineLevel="0" collapsed="false">
      <c r="A23" s="0" t="s">
        <v>67</v>
      </c>
      <c r="B23" s="30" t="n">
        <v>0.480429</v>
      </c>
      <c r="C23" s="31" t="n">
        <f aca="false">'Annual Summary'!D14</f>
        <v>0.471973373203002</v>
      </c>
      <c r="D23" s="29" t="n">
        <f aca="false">C23-B23</f>
        <v>-0.00845562679699763</v>
      </c>
      <c r="E23" s="0" t="s">
        <v>68</v>
      </c>
    </row>
    <row r="24" customFormat="false" ht="15" hidden="false" customHeight="false" outlineLevel="0" collapsed="false">
      <c r="A24" s="0" t="s">
        <v>69</v>
      </c>
      <c r="B24" s="32" t="n">
        <v>19.611047</v>
      </c>
      <c r="C24" s="33" t="n">
        <f aca="false">'Annual Summary'!D21</f>
        <v>19.989160649171</v>
      </c>
      <c r="D24" s="34" t="n">
        <f aca="false">C24-B24</f>
        <v>0.378113649170981</v>
      </c>
      <c r="E24" s="29" t="n">
        <f aca="false">IF(B24=0,"n/m",C24/B24-1)</f>
        <v>0.0192806457080532</v>
      </c>
    </row>
    <row r="25" customFormat="false" ht="15" hidden="false" customHeight="false" outlineLevel="0" collapsed="false">
      <c r="A25" s="0" t="s">
        <v>70</v>
      </c>
      <c r="B25" s="32" t="n">
        <v>18.919477</v>
      </c>
      <c r="C25" s="33" t="n">
        <f aca="false">Valuation!B10</f>
        <v>19.9919578026546</v>
      </c>
      <c r="D25" s="34" t="n">
        <f aca="false">C25-B25</f>
        <v>1.07248080265458</v>
      </c>
      <c r="E25" s="29" t="n">
        <f aca="false">IF(B25=0,"n/m",C25/B25-1)</f>
        <v>0.0566865988237719</v>
      </c>
    </row>
    <row r="26" customFormat="false" ht="15" hidden="false" customHeight="false" outlineLevel="0" collapsed="false">
      <c r="A26" s="0" t="s">
        <v>71</v>
      </c>
      <c r="B26" s="35" t="n">
        <v>567.584313</v>
      </c>
      <c r="C26" s="36" t="n">
        <f aca="false">Valuation!B12</f>
        <v>599.758734079637</v>
      </c>
      <c r="D26" s="37" t="n">
        <f aca="false">C26-B26</f>
        <v>32.1744210796375</v>
      </c>
      <c r="E26" s="29" t="n">
        <f aca="false">IF(B26=0,"n/m",C26/B26-1)</f>
        <v>0.0566865932385934</v>
      </c>
    </row>
    <row r="27" customFormat="false" ht="15" hidden="false" customHeight="false" outlineLevel="0" collapsed="false">
      <c r="A27" s="23" t="s">
        <v>72</v>
      </c>
    </row>
    <row r="29" customFormat="false" ht="15" hidden="false" customHeight="false" outlineLevel="0" collapsed="false">
      <c r="A29" s="24" t="s">
        <v>73</v>
      </c>
    </row>
    <row r="30" customFormat="false" ht="15" hidden="false" customHeight="false" outlineLevel="0" collapsed="false">
      <c r="A30" s="23" t="s">
        <v>74</v>
      </c>
    </row>
    <row r="31" customFormat="false" ht="15" hidden="false" customHeight="false" outlineLevel="0" collapsed="false">
      <c r="A31" s="23" t="s">
        <v>75</v>
      </c>
    </row>
    <row r="32" customFormat="false" ht="15" hidden="false" customHeight="false" outlineLevel="0" collapsed="false">
      <c r="A32" s="2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2" t="s">
        <v>77</v>
      </c>
    </row>
    <row r="2" customFormat="false" ht="15" hidden="false" customHeight="true" outlineLevel="0" collapsed="false">
      <c r="A2" s="3" t="s">
        <v>78</v>
      </c>
    </row>
    <row r="4" customFormat="false" ht="15" hidden="false" customHeight="true" outlineLevel="0" collapsed="false">
      <c r="A4" s="4" t="s">
        <v>79</v>
      </c>
      <c r="B4" s="4" t="s">
        <v>80</v>
      </c>
      <c r="C4" s="4" t="s">
        <v>81</v>
      </c>
      <c r="D4" s="4" t="s">
        <v>82</v>
      </c>
    </row>
    <row r="5" customFormat="false" ht="15" hidden="false" customHeight="true" outlineLevel="0" collapsed="false">
      <c r="A5" s="4" t="s">
        <v>16</v>
      </c>
      <c r="B5" s="4" t="s">
        <v>17</v>
      </c>
      <c r="C5" s="4" t="s">
        <v>17</v>
      </c>
      <c r="D5" s="4" t="s">
        <v>18</v>
      </c>
    </row>
    <row r="6" customFormat="false" ht="15" hidden="false" customHeight="true" outlineLevel="0" collapsed="false">
      <c r="A6" s="4" t="s">
        <v>83</v>
      </c>
      <c r="B6" s="12" t="s">
        <v>84</v>
      </c>
      <c r="C6" s="12" t="s">
        <v>84</v>
      </c>
      <c r="D6" s="12" t="s">
        <v>85</v>
      </c>
    </row>
    <row r="8" customFormat="false" ht="15" hidden="false" customHeight="true" outlineLevel="0" collapsed="false">
      <c r="A8" s="12" t="s">
        <v>33</v>
      </c>
      <c r="B8" s="38" t="n">
        <f aca="false">SUM('Quarterly IS'!C8:F8)</f>
        <v>281724</v>
      </c>
      <c r="C8" s="38" t="n">
        <f aca="false">SUM('Quarterly IS'!G8:J8)</f>
        <v>331839</v>
      </c>
      <c r="D8" s="38" t="n">
        <f aca="false">SUM('Quarterly IS'!K8:N8)</f>
        <v>386260.596</v>
      </c>
    </row>
    <row r="9" customFormat="false" ht="15" hidden="false" customHeight="true" outlineLevel="0" collapsed="false">
      <c r="A9" s="12" t="s">
        <v>34</v>
      </c>
      <c r="B9" s="38" t="n">
        <f aca="false">SUM('Quarterly IS'!C9:F9)</f>
        <v>87831</v>
      </c>
      <c r="C9" s="38" t="n">
        <f aca="false">SUM('Quarterly IS'!G9:J9)</f>
        <v>106374</v>
      </c>
      <c r="D9" s="38" t="n">
        <f aca="false">SUM('Quarterly IS'!K9:N9)</f>
        <v>126705.079570478</v>
      </c>
    </row>
    <row r="10" customFormat="false" ht="15" hidden="false" customHeight="true" outlineLevel="0" collapsed="false">
      <c r="A10" s="12" t="s">
        <v>35</v>
      </c>
      <c r="B10" s="38" t="n">
        <f aca="false">SUM('Quarterly IS'!C10:F10)</f>
        <v>193893</v>
      </c>
      <c r="C10" s="38" t="n">
        <f aca="false">SUM('Quarterly IS'!G10:J10)</f>
        <v>225465</v>
      </c>
      <c r="D10" s="38" t="n">
        <f aca="false">SUM('Quarterly IS'!K10:N10)</f>
        <v>259555.516429522</v>
      </c>
    </row>
    <row r="11" customFormat="false" ht="15" hidden="false" customHeight="true" outlineLevel="0" collapsed="false">
      <c r="A11" s="12" t="s">
        <v>36</v>
      </c>
      <c r="B11" s="15" t="n">
        <f aca="false">IF(B8=0,0,B10/B8)</f>
        <v>0.688237423861652</v>
      </c>
      <c r="C11" s="15" t="n">
        <f aca="false">IF(C8=0,0,C10/C8)</f>
        <v>0.679440933705803</v>
      </c>
      <c r="D11" s="15" t="n">
        <f aca="false">IF(D8=0,0,D10/D8)</f>
        <v>0.671969957892164</v>
      </c>
    </row>
    <row r="12" customFormat="false" ht="15" hidden="false" customHeight="true" outlineLevel="0" collapsed="false">
      <c r="A12" s="12" t="s">
        <v>37</v>
      </c>
      <c r="B12" s="38" t="n">
        <f aca="false">SUM('Quarterly IS'!C12:F12)</f>
        <v>65365</v>
      </c>
      <c r="C12" s="38" t="n">
        <f aca="false">SUM('Quarterly IS'!G12:J12)</f>
        <v>70228</v>
      </c>
      <c r="D12" s="38" t="n">
        <f aca="false">SUM('Quarterly IS'!K12:N12)</f>
        <v>77250.8</v>
      </c>
    </row>
    <row r="13" customFormat="false" ht="15" hidden="false" customHeight="true" outlineLevel="0" collapsed="false">
      <c r="A13" s="12" t="s">
        <v>38</v>
      </c>
      <c r="B13" s="38" t="n">
        <f aca="false">SUM('Quarterly IS'!C13:F13)</f>
        <v>128528</v>
      </c>
      <c r="C13" s="38" t="n">
        <f aca="false">SUM('Quarterly IS'!G13:J13)</f>
        <v>155237</v>
      </c>
      <c r="D13" s="38" t="n">
        <f aca="false">SUM('Quarterly IS'!K13:N13)</f>
        <v>182304.716429522</v>
      </c>
    </row>
    <row r="14" customFormat="false" ht="15" hidden="false" customHeight="true" outlineLevel="0" collapsed="false">
      <c r="A14" s="12" t="s">
        <v>39</v>
      </c>
      <c r="B14" s="15" t="n">
        <f aca="false">IF(B8=0,0,B13/B8)</f>
        <v>0.456219562408599</v>
      </c>
      <c r="C14" s="15" t="n">
        <f aca="false">IF(C8=0,0,C13/C8)</f>
        <v>0.467808184089272</v>
      </c>
      <c r="D14" s="15" t="n">
        <f aca="false">IF(D8=0,0,D13/D8)</f>
        <v>0.471973373203002</v>
      </c>
    </row>
    <row r="15" customFormat="false" ht="15" hidden="false" customHeight="true" outlineLevel="0" collapsed="false">
      <c r="A15" s="12" t="s">
        <v>40</v>
      </c>
      <c r="B15" s="38" t="n">
        <f aca="false">SUM('Quarterly IS'!C15:F15)</f>
        <v>-4901</v>
      </c>
      <c r="C15" s="38" t="n">
        <f aca="false">SUM('Quarterly IS'!G15:J15)</f>
        <v>10697</v>
      </c>
      <c r="D15" s="38" t="n">
        <f aca="false">SUM('Quarterly IS'!K15:N15)</f>
        <v>0</v>
      </c>
    </row>
    <row r="16" customFormat="false" ht="15" hidden="false" customHeight="true" outlineLevel="0" collapsed="false">
      <c r="A16" s="12" t="s">
        <v>41</v>
      </c>
      <c r="B16" s="38" t="n">
        <f aca="false">SUM('Quarterly IS'!C16:F16)</f>
        <v>123627</v>
      </c>
      <c r="C16" s="38" t="n">
        <f aca="false">SUM('Quarterly IS'!G16:J16)</f>
        <v>165934</v>
      </c>
      <c r="D16" s="38" t="n">
        <f aca="false">SUM('Quarterly IS'!K16:N16)</f>
        <v>182304.716429522</v>
      </c>
    </row>
    <row r="17" customFormat="false" ht="15" hidden="false" customHeight="true" outlineLevel="0" collapsed="false">
      <c r="A17" s="12" t="s">
        <v>42</v>
      </c>
      <c r="B17" s="38" t="n">
        <f aca="false">SUM('Quarterly IS'!C17:F17)</f>
        <v>21795</v>
      </c>
      <c r="C17" s="38" t="n">
        <f aca="false">SUM('Quarterly IS'!G17:J17)</f>
        <v>32185</v>
      </c>
      <c r="D17" s="38" t="n">
        <f aca="false">SUM('Quarterly IS'!K17:N17)</f>
        <v>34637.8961216092</v>
      </c>
    </row>
    <row r="18" customFormat="false" ht="15" hidden="false" customHeight="true" outlineLevel="0" collapsed="false">
      <c r="A18" s="12" t="s">
        <v>43</v>
      </c>
      <c r="B18" s="15" t="n">
        <f aca="false">IF(B16=0,0,B17/B16)</f>
        <v>0.176296440098037</v>
      </c>
      <c r="C18" s="15" t="n">
        <f aca="false">IF(C16=0,0,C17/C16)</f>
        <v>0.193962659852713</v>
      </c>
      <c r="D18" s="15" t="n">
        <f aca="false">IF(D16=0,0,D17/D16)</f>
        <v>0.19</v>
      </c>
    </row>
    <row r="19" customFormat="false" ht="15" hidden="false" customHeight="true" outlineLevel="0" collapsed="false">
      <c r="A19" s="12" t="s">
        <v>44</v>
      </c>
      <c r="B19" s="38" t="n">
        <f aca="false">SUM('Quarterly IS'!C19:F19)</f>
        <v>101832</v>
      </c>
      <c r="C19" s="38" t="n">
        <f aca="false">SUM('Quarterly IS'!G19:J19)</f>
        <v>133749</v>
      </c>
      <c r="D19" s="38" t="n">
        <f aca="false">SUM('Quarterly IS'!K19:N19)</f>
        <v>147666.820307913</v>
      </c>
    </row>
    <row r="20" customFormat="false" ht="15" hidden="false" customHeight="true" outlineLevel="0" collapsed="false">
      <c r="A20" s="12" t="s">
        <v>86</v>
      </c>
      <c r="B20" s="38" t="n">
        <f aca="false">AVERAGE('Quarterly IS'!C20:F20)</f>
        <v>7466</v>
      </c>
      <c r="C20" s="38" t="n">
        <f aca="false">AVERAGE('Quarterly IS'!G20:J20)</f>
        <v>7453.5</v>
      </c>
      <c r="D20" s="38" t="n">
        <f aca="false">AVERAGE('Quarterly IS'!K20:N20)</f>
        <v>7387.34471644947</v>
      </c>
    </row>
    <row r="21" customFormat="false" ht="15" hidden="false" customHeight="true" outlineLevel="0" collapsed="false">
      <c r="A21" s="12" t="s">
        <v>87</v>
      </c>
      <c r="B21" s="21" t="n">
        <f aca="false">IF(B20=0,0,B19/B20)</f>
        <v>13.6394320921511</v>
      </c>
      <c r="C21" s="21" t="n">
        <f aca="false">IF(C20=0,0,C19/C20)</f>
        <v>17.9444556248742</v>
      </c>
      <c r="D21" s="21" t="n">
        <f aca="false">IF(D20=0,0,D19/D20)</f>
        <v>19.989160649171</v>
      </c>
    </row>
    <row r="22" customFormat="false" ht="15" hidden="false" customHeight="true" outlineLevel="0" collapsed="false">
      <c r="A22" s="12" t="s">
        <v>88</v>
      </c>
      <c r="C22" s="15" t="n">
        <f aca="false">IF(B8=0,0,C8/B8-1)</f>
        <v>0.177886867998467</v>
      </c>
      <c r="D22" s="15" t="n">
        <f aca="false">IF(C8=0,0,D8/C8-1)</f>
        <v>0.164</v>
      </c>
    </row>
    <row r="24" customFormat="false" ht="15" hidden="false" customHeight="true" outlineLevel="0" collapsed="false">
      <c r="A24" s="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90</v>
      </c>
    </row>
    <row r="2" customFormat="false" ht="15" hidden="false" customHeight="true" outlineLevel="0" collapsed="false">
      <c r="A2" s="3" t="s">
        <v>91</v>
      </c>
    </row>
    <row r="4" customFormat="false" ht="15" hidden="false" customHeight="true" outlineLevel="0" collapsed="false">
      <c r="A4" s="4" t="s">
        <v>92</v>
      </c>
      <c r="B4" s="4" t="s">
        <v>46</v>
      </c>
    </row>
    <row r="5" customFormat="false" ht="15" hidden="false" customHeight="true" outlineLevel="0" collapsed="false">
      <c r="A5" s="39" t="str">
        <f aca="false">'Quarterly IS'!K4</f>
        <v>FY2027Q1</v>
      </c>
      <c r="B5" s="40" t="n">
        <f aca="false">'Quarterly IS'!K21</f>
        <v>4.75016867437033</v>
      </c>
    </row>
    <row r="6" customFormat="false" ht="15" hidden="false" customHeight="true" outlineLevel="0" collapsed="false">
      <c r="A6" s="39" t="str">
        <f aca="false">'Quarterly IS'!L4</f>
        <v>FY2027Q2</v>
      </c>
      <c r="B6" s="40" t="n">
        <f aca="false">'Quarterly IS'!L21</f>
        <v>4.91004411207808</v>
      </c>
    </row>
    <row r="7" customFormat="false" ht="15" hidden="false" customHeight="true" outlineLevel="0" collapsed="false">
      <c r="A7" s="39" t="str">
        <f aca="false">'Quarterly IS'!M4</f>
        <v>FY2027Q3</v>
      </c>
      <c r="B7" s="40" t="n">
        <f aca="false">'Quarterly IS'!M21</f>
        <v>4.98605493441465</v>
      </c>
    </row>
    <row r="8" customFormat="false" ht="15" hidden="false" customHeight="true" outlineLevel="0" collapsed="false">
      <c r="A8" s="39" t="str">
        <f aca="false">'Quarterly IS'!N4</f>
        <v>FY2027Q4</v>
      </c>
      <c r="B8" s="40" t="n">
        <f aca="false">'Quarterly IS'!N21</f>
        <v>5.34569008179152</v>
      </c>
    </row>
    <row r="10" customFormat="false" ht="15" hidden="false" customHeight="true" outlineLevel="0" collapsed="false">
      <c r="A10" s="4" t="s">
        <v>70</v>
      </c>
      <c r="B10" s="41" t="n">
        <f aca="false">SUM(B5:B8)</f>
        <v>19.9919578026546</v>
      </c>
    </row>
    <row r="11" customFormat="false" ht="15" hidden="false" customHeight="true" outlineLevel="0" collapsed="false">
      <c r="A11" s="1" t="s">
        <v>93</v>
      </c>
      <c r="B11" s="42" t="n">
        <f aca="false">Assumptions!$B$10</f>
        <v>30</v>
      </c>
    </row>
    <row r="12" customFormat="false" ht="15" hidden="false" customHeight="true" outlineLevel="0" collapsed="false">
      <c r="A12" s="4" t="s">
        <v>71</v>
      </c>
      <c r="B12" s="43" t="n">
        <f aca="false">B10*B11</f>
        <v>599.758734079637</v>
      </c>
    </row>
    <row r="14" customFormat="false" ht="15" hidden="false" customHeight="false" outlineLevel="0" collapsed="false">
      <c r="A14" s="1" t="s">
        <v>94</v>
      </c>
      <c r="B14" s="35" t="n">
        <v>567.58</v>
      </c>
    </row>
    <row r="15" customFormat="false" ht="15" hidden="false" customHeight="false" outlineLevel="0" collapsed="false">
      <c r="A15" s="1" t="s">
        <v>95</v>
      </c>
      <c r="B15" s="29" t="n">
        <f aca="false">IF(B14=0,0,B12/B14-1)</f>
        <v>0.0566946229247636</v>
      </c>
    </row>
    <row r="16" customFormat="false" ht="15" hidden="false" customHeight="false" outlineLevel="0" collapsed="false">
      <c r="A16" s="1" t="s">
        <v>96</v>
      </c>
      <c r="B16" s="35" t="n">
        <v>541.15</v>
      </c>
    </row>
    <row r="17" customFormat="false" ht="15" hidden="false" customHeight="false" outlineLevel="0" collapsed="false">
      <c r="A17" s="1" t="s">
        <v>97</v>
      </c>
      <c r="B17" s="29" t="n">
        <f aca="false">IF(B16=0,0,B12/B16-1)</f>
        <v>0.108304045236325</v>
      </c>
    </row>
    <row r="18" customFormat="false" ht="15" hidden="false" customHeight="false" outlineLevel="0" collapsed="false">
      <c r="A18" s="1" t="s">
        <v>98</v>
      </c>
      <c r="B18" s="44" t="n">
        <f aca="false">IF(B10=0,0,B16/B10)</f>
        <v>27.0683844644843</v>
      </c>
    </row>
    <row r="20" customFormat="false" ht="15" hidden="false" customHeight="false" outlineLevel="0" collapsed="false">
      <c r="A20" s="2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3" min="3" style="1" width="95"/>
    <col collapsed="false" customWidth="true" hidden="false" outlineLevel="0" max="4" min="4" style="0" width="30"/>
    <col collapsed="false" customWidth="true" hidden="false" outlineLevel="0" max="5" min="5" style="0" width="100"/>
  </cols>
  <sheetData>
    <row r="1" customFormat="false" ht="17.25" hidden="false" customHeight="true" outlineLevel="0" collapsed="false">
      <c r="A1" s="2" t="s">
        <v>100</v>
      </c>
    </row>
    <row r="2" customFormat="false" ht="15" hidden="false" customHeight="true" outlineLevel="0" collapsed="false">
      <c r="A2" s="3" t="s">
        <v>101</v>
      </c>
    </row>
    <row r="4" customFormat="false" ht="15" hidden="false" customHeight="true" outlineLevel="0" collapsed="false">
      <c r="A4" s="4" t="s">
        <v>102</v>
      </c>
      <c r="B4" s="4" t="s">
        <v>103</v>
      </c>
      <c r="C4" s="4" t="s">
        <v>104</v>
      </c>
      <c r="D4" s="45" t="s">
        <v>105</v>
      </c>
      <c r="E4" s="45" t="s">
        <v>106</v>
      </c>
    </row>
    <row r="5" customFormat="false" ht="15" hidden="false" customHeight="true" outlineLevel="0" collapsed="false">
      <c r="A5" s="12" t="s">
        <v>107</v>
      </c>
      <c r="B5" s="46" t="n">
        <v>0.164</v>
      </c>
      <c r="C5" s="3" t="s">
        <v>108</v>
      </c>
      <c r="D5" s="30" t="n">
        <v>0.12</v>
      </c>
      <c r="E5" s="0" t="s">
        <v>109</v>
      </c>
    </row>
    <row r="6" customFormat="false" ht="15" hidden="false" customHeight="true" outlineLevel="0" collapsed="false">
      <c r="A6" s="12" t="s">
        <v>110</v>
      </c>
      <c r="B6" s="46" t="n">
        <v>0.1</v>
      </c>
      <c r="C6" s="3" t="s">
        <v>111</v>
      </c>
      <c r="D6" s="30" t="n">
        <v>0.06</v>
      </c>
      <c r="E6" s="0" t="s">
        <v>112</v>
      </c>
    </row>
    <row r="7" customFormat="false" ht="15" hidden="false" customHeight="true" outlineLevel="0" collapsed="false">
      <c r="A7" s="12" t="s">
        <v>113</v>
      </c>
      <c r="B7" s="46" t="n">
        <v>0.19</v>
      </c>
      <c r="C7" s="3" t="s">
        <v>114</v>
      </c>
      <c r="D7" s="30" t="n">
        <v>0.18</v>
      </c>
      <c r="E7" s="0" t="s">
        <v>115</v>
      </c>
    </row>
    <row r="8" customFormat="false" ht="15" hidden="false" customHeight="true" outlineLevel="0" collapsed="false">
      <c r="A8" s="12" t="s">
        <v>116</v>
      </c>
      <c r="B8" s="46" t="n">
        <v>0.003</v>
      </c>
      <c r="C8" s="3" t="s">
        <v>117</v>
      </c>
      <c r="D8" s="30" t="n">
        <v>0.003</v>
      </c>
      <c r="E8" s="0" t="s">
        <v>118</v>
      </c>
    </row>
    <row r="9" customFormat="false" ht="15" hidden="false" customHeight="true" outlineLevel="0" collapsed="false">
      <c r="A9" s="12" t="s">
        <v>119</v>
      </c>
      <c r="B9" s="47" t="n">
        <v>0</v>
      </c>
      <c r="C9" s="3" t="s">
        <v>120</v>
      </c>
      <c r="D9" s="26" t="n">
        <v>0</v>
      </c>
      <c r="E9" s="0" t="s">
        <v>121</v>
      </c>
    </row>
    <row r="10" customFormat="false" ht="15" hidden="false" customHeight="true" outlineLevel="0" collapsed="false">
      <c r="A10" s="12" t="s">
        <v>122</v>
      </c>
      <c r="B10" s="48" t="n">
        <v>30</v>
      </c>
      <c r="C10" s="3" t="s">
        <v>123</v>
      </c>
      <c r="D10" s="49" t="n">
        <v>30</v>
      </c>
      <c r="E10" s="0" t="s">
        <v>124</v>
      </c>
    </row>
    <row r="11" customFormat="false" ht="15" hidden="false" customHeight="true" outlineLevel="0" collapsed="false">
      <c r="A11" s="12" t="s">
        <v>125</v>
      </c>
      <c r="B11" s="50" t="n">
        <f aca="false">'Quarterly IS'!J11</f>
        <v>0.671969957892164</v>
      </c>
      <c r="C11" s="3" t="s">
        <v>126</v>
      </c>
      <c r="D11" s="51" t="s">
        <v>127</v>
      </c>
      <c r="E11" s="0" t="s">
        <v>128</v>
      </c>
    </row>
    <row r="12" customFormat="false" ht="15" hidden="false" customHeight="false" outlineLevel="0" collapsed="false">
      <c r="A12" s="1" t="s">
        <v>125</v>
      </c>
      <c r="B12" s="51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2026-10-14T03:57:02Z</dcterms:created>
  <dc:creator>openpyxl</dc:creator>
  <dc:description/>
  <dc:language>en-US</dc:language>
  <cp:lastModifiedBy/>
  <dcterms:modified xsi:type="dcterms:W3CDTF">2026-10-14T07:52:43Z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