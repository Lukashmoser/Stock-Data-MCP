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erly IS" sheetId="1" state="visible" r:id="rId3"/>
    <sheet name="Annual Summary" sheetId="2" state="visible" r:id="rId4"/>
    <sheet name="Valuation" sheetId="3" state="visible" r:id="rId5"/>
    <sheet name="Assumptions" sheetId="4" state="visible" r:id="rId6"/>
    <sheet name="Est vs Actu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Source: stock-data MCP get_financials (SEC XBRL, us-gaap tags), pulled 2026-10-13. Revenue = us-gaap Revenues / RevenueFromContractWithCustomerExcludingAssessedTax. Q4 (June) quarters are derived by the tool as FY minus Q1-Q3.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9</xdr:row>
                <xdr:rowOff>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Actual opex = gross profit - operating income (us-gaap OperatingExpenses equivalent; tool reports OperatingExpenses only from FY2025Q1, and it ties to GP - OI).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6</xdr:row>
                <xdr:rowOff>6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Actual other income (expense), net = pretax income - operating income (from XBRL pretax and operating income).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16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Q4 diluted shares are not reported as a quarter; FY2024Q4 and FY2025Q4 use the annual FY weighted-average diluted shares (7,469 and 7,465). Other quarters are the reported quarterly weighted-average diluted shares.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9</xdr:row>
                <xdr:rowOff>6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Trailing-4-quarter average gross margin (prior 4 columns).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3</xdr:row>
                <xdr:rowOff>18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Latest actual (FY2026Q3: 7,445mm) less 0.3% per quarter, compounded.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-43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<sst xmlns="http://schemas.openxmlformats.org/spreadsheetml/2006/main" count="165" uniqueCount="118">
  <si>
    <t xml:space="preserve">Microsoft Corporation (MSFT): Quarterly Income Statement</t>
  </si>
  <si>
    <t xml:space="preserve">USD millions except per-share data. Fiscal year ends June 30. A = actual, E = estimate. Model updated 2026-10-14 for the FY2026Q4 print (10-K filed 2026-07-29); FY2027Q1 is the next quarter to report.</t>
  </si>
  <si>
    <t xml:space="preserve">Fiscal quarter</t>
  </si>
  <si>
    <t xml:space="preserve">FY2024Q4</t>
  </si>
  <si>
    <t xml:space="preserve">FY2025Q1</t>
  </si>
  <si>
    <t xml:space="preserve">FY2025Q2</t>
  </si>
  <si>
    <t xml:space="preserve">FY2025Q3</t>
  </si>
  <si>
    <t xml:space="preserve">FY2025Q4</t>
  </si>
  <si>
    <t xml:space="preserve">FY2026Q1</t>
  </si>
  <si>
    <t xml:space="preserve">FY2026Q2</t>
  </si>
  <si>
    <t xml:space="preserve">FY2026Q3</t>
  </si>
  <si>
    <t xml:space="preserve">FY2026Q4</t>
  </si>
  <si>
    <t xml:space="preserve">FY2027Q1</t>
  </si>
  <si>
    <t xml:space="preserve">FY2027Q2</t>
  </si>
  <si>
    <t xml:space="preserve">FY2027Q3</t>
  </si>
  <si>
    <t xml:space="preserve">FY2027Q4</t>
  </si>
  <si>
    <t xml:space="preserve">Actual / Estimate</t>
  </si>
  <si>
    <t xml:space="preserve">A</t>
  </si>
  <si>
    <t xml:space="preserve">E</t>
  </si>
  <si>
    <t xml:space="preserve">Period end</t>
  </si>
  <si>
    <t xml:space="preserve">2024-06-30</t>
  </si>
  <si>
    <t xml:space="preserve">2024-09-30</t>
  </si>
  <si>
    <t xml:space="preserve">2024-12-31</t>
  </si>
  <si>
    <t xml:space="preserve">2025-03-31</t>
  </si>
  <si>
    <t xml:space="preserve">2025-06-30</t>
  </si>
  <si>
    <t xml:space="preserve">2025-09-30</t>
  </si>
  <si>
    <t xml:space="preserve">2025-12-31</t>
  </si>
  <si>
    <t xml:space="preserve">2026-03-31</t>
  </si>
  <si>
    <t xml:space="preserve">2026-06-30</t>
  </si>
  <si>
    <t xml:space="preserve">2026-09-30</t>
  </si>
  <si>
    <t xml:space="preserve">2026-12-31</t>
  </si>
  <si>
    <t xml:space="preserve">2027-03-31</t>
  </si>
  <si>
    <t xml:space="preserve">2027-06-30</t>
  </si>
  <si>
    <t xml:space="preserve">Revenue ($mm)</t>
  </si>
  <si>
    <t xml:space="preserve">Cost of revenue ($mm)</t>
  </si>
  <si>
    <t xml:space="preserve">Gross profit ($mm)</t>
  </si>
  <si>
    <t xml:space="preserve">Gross margin %</t>
  </si>
  <si>
    <t xml:space="preserve">Operating expenses ($mm)</t>
  </si>
  <si>
    <t xml:space="preserve">Operating income ($mm)</t>
  </si>
  <si>
    <t xml:space="preserve">Operating margin %</t>
  </si>
  <si>
    <t xml:space="preserve">Other income (expense), net ($mm)</t>
  </si>
  <si>
    <t xml:space="preserve">Pretax income ($mm)</t>
  </si>
  <si>
    <t xml:space="preserve">Income tax ($mm)</t>
  </si>
  <si>
    <t xml:space="preserve">Effective tax rate %</t>
  </si>
  <si>
    <t xml:space="preserve">Net income ($mm)</t>
  </si>
  <si>
    <t xml:space="preserve">Diluted shares (mm)</t>
  </si>
  <si>
    <t xml:space="preserve">Diluted EPS ($)</t>
  </si>
  <si>
    <t xml:space="preserve">Revenue growth YoY %</t>
  </si>
  <si>
    <t xml:space="preserve">Source: stock-data MCP get_financials (SEC XBRL, us-gaap tags), pulled 2026-10-13; FY2026Q4 actuals pulled 2026-10-14 from the FY2026 10-K (filed 2026-07-29). FY Q4 (June quarter) values are annual minus Q1-Q3 (tool-derived). FY2026Q4 other income = pretax 44,047 - operating income 40,603. FY2026Q4 diluted shares (7,441) derived as 4 x FY2026 weighted diluted shares (7,453) - sum of Q1-Q3; not separately reported in XBRL.</t>
  </si>
  <si>
    <t xml:space="preserve">Estimates: revenue = same qtr LY x (1+12%); GM = trailing-4Q avg; opex = same qtr LY x (1+6%); tax 18.0%; other income 0; diluted shares = prior qtr x (1-0.3%). See Assumptions tab.</t>
  </si>
  <si>
    <t xml:space="preserve">MSFT Annual Summary (fiscal years ending June 30)</t>
  </si>
  <si>
    <t xml:space="preserve">USD millions except per share. Built from the Quarterly IS tab; FY2026 = 4 actual quarters; FY2027E = 4 estimate quarters.</t>
  </si>
  <si>
    <t xml:space="preserve">Fiscal year</t>
  </si>
  <si>
    <t xml:space="preserve">FY2025</t>
  </si>
  <si>
    <t xml:space="preserve">FY2026</t>
  </si>
  <si>
    <t xml:space="preserve">FY2027</t>
  </si>
  <si>
    <t xml:space="preserve">Composition</t>
  </si>
  <si>
    <t xml:space="preserve">4A</t>
  </si>
  <si>
    <t xml:space="preserve">4E</t>
  </si>
  <si>
    <t xml:space="preserve">Diluted shares (mm, avg of quarters)</t>
  </si>
  <si>
    <t xml:space="preserve">Diluted EPS ($, NI / avg shares)</t>
  </si>
  <si>
    <t xml:space="preserve">Revenue growth vs. prior FY %</t>
  </si>
  <si>
    <t xml:space="preserve">Annual diluted EPS = annual net income / average of the four quarterly diluted share counts, so it can differ slightly from the sum of quarterly EPS and from reported annual EPS.</t>
  </si>
  <si>
    <t xml:space="preserve">MSFT Valuation: NTM EPS x P/E</t>
  </si>
  <si>
    <t xml:space="preserve">NTM = the next four quarters after the last actual (FY2026Q4), i.e. FY2027Q1E-FY2027Q4E. Rolled forward 2026-10-14.</t>
  </si>
  <si>
    <t xml:space="preserve">Quarter</t>
  </si>
  <si>
    <t xml:space="preserve">NTM diluted EPS ($)</t>
  </si>
  <si>
    <t xml:space="preserve">Target P/E (x)</t>
  </si>
  <si>
    <t xml:space="preserve">Target price ($)</t>
  </si>
  <si>
    <t xml:space="preserve">Prior target price ($, model dated late July 2026)</t>
  </si>
  <si>
    <t xml:space="preserve">Prior NTM diluted EPS ($)</t>
  </si>
  <si>
    <t xml:space="preserve">Change in target price %</t>
  </si>
  <si>
    <t xml:space="preserve">Share price ($, stock-data get_quote, 2026-10-14)</t>
  </si>
  <si>
    <t xml:space="preserve">Upside / (downside) to target %</t>
  </si>
  <si>
    <t xml:space="preserve">Implied P/E on NTM EPS at current price (x)</t>
  </si>
  <si>
    <t xml:space="preserve">MSFT Quarterly Model: Estimate Assumptions</t>
  </si>
  <si>
    <t xml:space="preserve">Blue = hardcoded input; black = formula; green = link to another sheet. Yellow cells are the key levers; edit them to change the estimates.</t>
  </si>
  <si>
    <t xml:space="preserve">Assumption</t>
  </si>
  <si>
    <t xml:space="preserve">Value</t>
  </si>
  <si>
    <t xml:space="preserve">Basis</t>
  </si>
  <si>
    <t xml:space="preserve">Revenue growth vs. same quarter last year</t>
  </si>
  <si>
    <t xml:space="preserve">Estimate rule: revenue = same quarter last year x 1.12</t>
  </si>
  <si>
    <t xml:space="preserve">Opex growth vs. same quarter last year</t>
  </si>
  <si>
    <t xml:space="preserve">Estimate rule: operating expenses = same quarter last year x 1.06</t>
  </si>
  <si>
    <t xml:space="preserve">Tax rate (estimates)</t>
  </si>
  <si>
    <t xml:space="preserve">Estimate rule: tax rate 18.0%</t>
  </si>
  <si>
    <t xml:space="preserve">Diluted share reduction per quarter</t>
  </si>
  <si>
    <t xml:space="preserve">Estimate rule: diluted shares = latest actual minus 0.3% per quarter (compounded)</t>
  </si>
  <si>
    <t xml:space="preserve">Other income (expense), net - estimates ($mm)</t>
  </si>
  <si>
    <t xml:space="preserve">Modeling default (not in spec): non-operating items assumed zero in estimate quarters</t>
  </si>
  <si>
    <t xml:space="preserve">Target P/E multiple on NTM EPS (x)</t>
  </si>
  <si>
    <t xml:space="preserve">Valuation rule: NTM EPS x 30 = target price</t>
  </si>
  <si>
    <t xml:space="preserve">Gross margin method</t>
  </si>
  <si>
    <t xml:space="preserve">Trailing-4-quarter average</t>
  </si>
  <si>
    <t xml:space="preserve">Each estimate quarter's GM = average GM of the 4 preceding quarters (rolls forward through estimates)</t>
  </si>
  <si>
    <t xml:space="preserve">Update log</t>
  </si>
  <si>
    <t xml:space="preserve">2026-10-14: FY2026Q4 actuals entered (10-K filed 2026-07-29); NTM window rolled to FY2027Q1-Q4; estimate rules unchanged. See Est vs Actual tab.</t>
  </si>
  <si>
    <t xml:space="preserve">MSFT FY2026Q4 (quarter ended 2026-06-30): prior estimate vs. reported actual</t>
  </si>
  <si>
    <t xml:space="preserve">Prior estimate = values from the model before this update (hardcoded, blue). Actual = link to Quarterly IS column J (green). Filing: Form 10-K filed 2026-07-29; earnings 8-K (Item 2.02) filed 2026-07-29.</t>
  </si>
  <si>
    <t xml:space="preserve">Line item</t>
  </si>
  <si>
    <t xml:space="preserve">Prior estimate</t>
  </si>
  <si>
    <t xml:space="preserve">Actual</t>
  </si>
  <si>
    <t xml:space="preserve">Delta</t>
  </si>
  <si>
    <t xml:space="preserve">Delta %</t>
  </si>
  <si>
    <t xml:space="preserve">n/m (see Delta, pts)</t>
  </si>
  <si>
    <t xml:space="preserve">Estimate revisions (old model vs. updated model)</t>
  </si>
  <si>
    <t xml:space="preserve">Item</t>
  </si>
  <si>
    <t xml:space="preserve">Old</t>
  </si>
  <si>
    <t xml:space="preserve">New</t>
  </si>
  <si>
    <t xml:space="preserve">Change</t>
  </si>
  <si>
    <t xml:space="preserve">Change %</t>
  </si>
  <si>
    <t xml:space="preserve">FY2027Q1E revenue ($mm)</t>
  </si>
  <si>
    <t xml:space="preserve">FY2027Q1E diluted EPS ($)</t>
  </si>
  <si>
    <t xml:space="preserve">FY2026 revenue ($mm) (old = 3A+1E)</t>
  </si>
  <si>
    <t xml:space="preserve">FY2026 diluted EPS ($) (old = 3A+1E)</t>
  </si>
  <si>
    <t xml:space="preserve">FY2027E revenue ($mm)</t>
  </si>
  <si>
    <t xml:space="preserve">FY2027E diluted EPS ($)</t>
  </si>
  <si>
    <t xml:space="preserve">Estimate rules on the Assumptions tab were left unchanged; the roll-forward reflects only the new FY2026Q4 actual base (GM trailing average, FY2027Q4 revenue/opex base, share-count base) and the NTM window shift.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</si>
</sst>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\$0.00;&quot;($&quot;0.00\);\-"/>
    <numFmt numFmtId="168" formatCode="\$#,##0.00"/>
    <numFmt numFmtId="169" formatCode="0.0\x"/>
    <numFmt numFmtId="170" formatCode="0.0%"/>
    <numFmt numFmtId="171" formatCode="0.0\x"/>
    <numFmt numFmtId="172" formatCode="#,##0"/>
    <numFmt numFmtId="173" formatCode="\$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4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customFormat="false" ht="15" hidden="false" customHeight="true" outlineLevel="0" collapsed="false">
      <c r="A5" s="4" t="s">
        <v>16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6" t="s">
        <v>18</v>
      </c>
      <c r="L5" s="6" t="s">
        <v>18</v>
      </c>
      <c r="M5" s="6" t="s">
        <v>18</v>
      </c>
      <c r="N5" s="6" t="s">
        <v>18</v>
      </c>
    </row>
    <row r="6" customFormat="false" ht="15" hidden="false" customHeight="true" outlineLevel="0" collapsed="false">
      <c r="A6" s="4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7" t="s">
        <v>26</v>
      </c>
      <c r="I6" s="7" t="s">
        <v>27</v>
      </c>
      <c r="J6" s="7" t="s">
        <v>28</v>
      </c>
      <c r="K6" s="8" t="s">
        <v>29</v>
      </c>
      <c r="L6" s="8" t="s">
        <v>30</v>
      </c>
      <c r="M6" s="8" t="s">
        <v>31</v>
      </c>
      <c r="N6" s="8" t="s">
        <v>32</v>
      </c>
    </row>
    <row r="8" customFormat="false" ht="15" hidden="false" customHeight="true" outlineLevel="0" collapsed="false">
      <c r="A8" s="4" t="s">
        <v>33</v>
      </c>
      <c r="B8" s="9" t="n">
        <v>64727</v>
      </c>
      <c r="C8" s="9" t="n">
        <v>65585</v>
      </c>
      <c r="D8" s="9" t="n">
        <v>69632</v>
      </c>
      <c r="E8" s="9" t="n">
        <v>70066</v>
      </c>
      <c r="F8" s="9" t="n">
        <v>76441</v>
      </c>
      <c r="G8" s="9" t="n">
        <v>77673</v>
      </c>
      <c r="H8" s="9" t="n">
        <v>81273</v>
      </c>
      <c r="I8" s="9" t="n">
        <v>82886</v>
      </c>
      <c r="J8" s="9" t="n">
        <v>90007</v>
      </c>
      <c r="K8" s="10" t="n">
        <f aca="false">G8*(1+Assumptions!$B$5)</f>
        <v>86993.76</v>
      </c>
      <c r="L8" s="10" t="n">
        <f aca="false">H8*(1+Assumptions!$B$5)</f>
        <v>91025.76</v>
      </c>
      <c r="M8" s="10" t="n">
        <f aca="false">I8*(1+Assumptions!$B$5)</f>
        <v>92832.32</v>
      </c>
      <c r="N8" s="10" t="n">
        <f aca="false">J8*(1+Assumptions!$B$5)</f>
        <v>100807.84</v>
      </c>
    </row>
    <row r="9" customFormat="false" ht="15" hidden="false" customHeight="true" outlineLevel="0" collapsed="false">
      <c r="A9" s="11" t="s">
        <v>34</v>
      </c>
      <c r="B9" s="9" t="n">
        <v>19684</v>
      </c>
      <c r="C9" s="9" t="n">
        <v>20099</v>
      </c>
      <c r="D9" s="9" t="n">
        <v>21799</v>
      </c>
      <c r="E9" s="9" t="n">
        <v>21919</v>
      </c>
      <c r="F9" s="9" t="n">
        <v>24014</v>
      </c>
      <c r="G9" s="9" t="n">
        <v>24043</v>
      </c>
      <c r="H9" s="9" t="n">
        <v>25978</v>
      </c>
      <c r="I9" s="9" t="n">
        <v>26828</v>
      </c>
      <c r="J9" s="9" t="n">
        <v>29525</v>
      </c>
      <c r="K9" s="10" t="n">
        <f aca="false">K8-K10</f>
        <v>27857.2190733438</v>
      </c>
      <c r="L9" s="10" t="n">
        <f aca="false">L8-L10</f>
        <v>29391.379504652</v>
      </c>
      <c r="M9" s="10" t="n">
        <f aca="false">M8-M10</f>
        <v>30050.174717166</v>
      </c>
      <c r="N9" s="10" t="n">
        <f aca="false">N8-N10</f>
        <v>32632.6449802132</v>
      </c>
    </row>
    <row r="10" customFormat="false" ht="15" hidden="false" customHeight="true" outlineLevel="0" collapsed="false">
      <c r="A10" s="4" t="s">
        <v>35</v>
      </c>
      <c r="B10" s="12" t="n">
        <f aca="false">B8-B9</f>
        <v>45043</v>
      </c>
      <c r="C10" s="12" t="n">
        <f aca="false">C8-C9</f>
        <v>45486</v>
      </c>
      <c r="D10" s="12" t="n">
        <f aca="false">D8-D9</f>
        <v>47833</v>
      </c>
      <c r="E10" s="12" t="n">
        <f aca="false">E8-E9</f>
        <v>48147</v>
      </c>
      <c r="F10" s="12" t="n">
        <f aca="false">F8-F9</f>
        <v>52427</v>
      </c>
      <c r="G10" s="12" t="n">
        <f aca="false">G8-G9</f>
        <v>53630</v>
      </c>
      <c r="H10" s="12" t="n">
        <f aca="false">H8-H9</f>
        <v>55295</v>
      </c>
      <c r="I10" s="12" t="n">
        <f aca="false">I8-I9</f>
        <v>56058</v>
      </c>
      <c r="J10" s="12" t="n">
        <f aca="false">J8-J9</f>
        <v>60482</v>
      </c>
      <c r="K10" s="10" t="n">
        <f aca="false">K8*K11</f>
        <v>59136.5409266562</v>
      </c>
      <c r="L10" s="10" t="n">
        <f aca="false">L8*L11</f>
        <v>61634.380495348</v>
      </c>
      <c r="M10" s="10" t="n">
        <f aca="false">M8*M11</f>
        <v>62782.145282834</v>
      </c>
      <c r="N10" s="10" t="n">
        <f aca="false">N8*N11</f>
        <v>68175.1950197868</v>
      </c>
    </row>
    <row r="11" customFormat="false" ht="15" hidden="false" customHeight="true" outlineLevel="0" collapsed="false">
      <c r="A11" s="11" t="s">
        <v>36</v>
      </c>
      <c r="B11" s="13" t="n">
        <f aca="false">IF(B8=0,0,B10/B8)</f>
        <v>0.695891977072937</v>
      </c>
      <c r="C11" s="13" t="n">
        <f aca="false">IF(C8=0,0,C10/C8)</f>
        <v>0.693542730807349</v>
      </c>
      <c r="D11" s="13" t="n">
        <f aca="false">IF(D8=0,0,D10/D8)</f>
        <v>0.686939912683824</v>
      </c>
      <c r="E11" s="13" t="n">
        <f aca="false">IF(E8=0,0,E10/E8)</f>
        <v>0.687166385978934</v>
      </c>
      <c r="F11" s="13" t="n">
        <f aca="false">IF(F8=0,0,F10/F8)</f>
        <v>0.68584921704321</v>
      </c>
      <c r="G11" s="13" t="n">
        <f aca="false">IF(G8=0,0,G10/G8)</f>
        <v>0.690458717958621</v>
      </c>
      <c r="H11" s="13" t="n">
        <f aca="false">IF(H8=0,0,H10/H8)</f>
        <v>0.680361251584167</v>
      </c>
      <c r="I11" s="13" t="n">
        <f aca="false">IF(I8=0,0,I10/I8)</f>
        <v>0.676326520763458</v>
      </c>
      <c r="J11" s="13" t="n">
        <f aca="false">IF(J8=0,0,J10/J8)</f>
        <v>0.671969957892164</v>
      </c>
      <c r="K11" s="14" t="n">
        <f aca="false">AVERAGE(G11:J11)</f>
        <v>0.679779112049603</v>
      </c>
      <c r="L11" s="14" t="n">
        <f aca="false">AVERAGE(H11:K11)</f>
        <v>0.677109210572348</v>
      </c>
      <c r="M11" s="14" t="n">
        <f aca="false">AVERAGE(I11:L11)</f>
        <v>0.676296200319393</v>
      </c>
      <c r="N11" s="14" t="n">
        <f aca="false">AVERAGE(J11:M11)</f>
        <v>0.676288620208377</v>
      </c>
    </row>
    <row r="12" customFormat="false" ht="15" hidden="false" customHeight="true" outlineLevel="0" collapsed="false">
      <c r="A12" s="11" t="s">
        <v>37</v>
      </c>
      <c r="B12" s="9" t="n">
        <v>17118</v>
      </c>
      <c r="C12" s="9" t="n">
        <v>14934</v>
      </c>
      <c r="D12" s="9" t="n">
        <v>16180</v>
      </c>
      <c r="E12" s="9" t="n">
        <v>16147</v>
      </c>
      <c r="F12" s="9" t="n">
        <v>18104</v>
      </c>
      <c r="G12" s="9" t="n">
        <v>15669</v>
      </c>
      <c r="H12" s="9" t="n">
        <v>17020</v>
      </c>
      <c r="I12" s="9" t="n">
        <v>17660</v>
      </c>
      <c r="J12" s="9" t="n">
        <v>19879</v>
      </c>
      <c r="K12" s="10" t="n">
        <f aca="false">G12*(1+Assumptions!$B$6)</f>
        <v>16609.14</v>
      </c>
      <c r="L12" s="10" t="n">
        <f aca="false">H12*(1+Assumptions!$B$6)</f>
        <v>18041.2</v>
      </c>
      <c r="M12" s="10" t="n">
        <f aca="false">I12*(1+Assumptions!$B$6)</f>
        <v>18719.6</v>
      </c>
      <c r="N12" s="10" t="n">
        <f aca="false">J12*(1+Assumptions!$B$6)</f>
        <v>21071.74</v>
      </c>
    </row>
    <row r="13" customFormat="false" ht="15" hidden="false" customHeight="true" outlineLevel="0" collapsed="false">
      <c r="A13" s="4" t="s">
        <v>38</v>
      </c>
      <c r="B13" s="12" t="n">
        <f aca="false">B10-B12</f>
        <v>27925</v>
      </c>
      <c r="C13" s="12" t="n">
        <f aca="false">C10-C12</f>
        <v>30552</v>
      </c>
      <c r="D13" s="12" t="n">
        <f aca="false">D10-D12</f>
        <v>31653</v>
      </c>
      <c r="E13" s="12" t="n">
        <f aca="false">E10-E12</f>
        <v>32000</v>
      </c>
      <c r="F13" s="12" t="n">
        <f aca="false">F10-F12</f>
        <v>34323</v>
      </c>
      <c r="G13" s="12" t="n">
        <f aca="false">G10-G12</f>
        <v>37961</v>
      </c>
      <c r="H13" s="12" t="n">
        <f aca="false">H10-H12</f>
        <v>38275</v>
      </c>
      <c r="I13" s="12" t="n">
        <f aca="false">I10-I12</f>
        <v>38398</v>
      </c>
      <c r="J13" s="12" t="n">
        <f aca="false">J10-J12</f>
        <v>40603</v>
      </c>
      <c r="K13" s="10" t="n">
        <f aca="false">K10-K12</f>
        <v>42527.4009266562</v>
      </c>
      <c r="L13" s="10" t="n">
        <f aca="false">L10-L12</f>
        <v>43593.180495348</v>
      </c>
      <c r="M13" s="10" t="n">
        <f aca="false">M10-M12</f>
        <v>44062.545282834</v>
      </c>
      <c r="N13" s="10" t="n">
        <f aca="false">N10-N12</f>
        <v>47103.4550197868</v>
      </c>
    </row>
    <row r="14" customFormat="false" ht="15" hidden="false" customHeight="true" outlineLevel="0" collapsed="false">
      <c r="A14" s="11" t="s">
        <v>39</v>
      </c>
      <c r="B14" s="13" t="n">
        <f aca="false">IF(B8=0,0,B13/B8)</f>
        <v>0.431427379609746</v>
      </c>
      <c r="C14" s="13" t="n">
        <f aca="false">IF(C8=0,0,C13/C8)</f>
        <v>0.465838225203934</v>
      </c>
      <c r="D14" s="13" t="n">
        <f aca="false">IF(D8=0,0,D13/D8)</f>
        <v>0.454575482536765</v>
      </c>
      <c r="E14" s="13" t="n">
        <f aca="false">IF(E8=0,0,E13/E8)</f>
        <v>0.456712242742557</v>
      </c>
      <c r="F14" s="13" t="n">
        <f aca="false">IF(F8=0,0,F13/F8)</f>
        <v>0.449012964246936</v>
      </c>
      <c r="G14" s="13" t="n">
        <f aca="false">IF(G8=0,0,G13/G8)</f>
        <v>0.48872838695557</v>
      </c>
      <c r="H14" s="13" t="n">
        <f aca="false">IF(H8=0,0,H13/H8)</f>
        <v>0.470943609808916</v>
      </c>
      <c r="I14" s="13" t="n">
        <f aca="false">IF(I8=0,0,I13/I8)</f>
        <v>0.463262794681852</v>
      </c>
      <c r="J14" s="13" t="n">
        <f aca="false">IF(J8=0,0,J13/J8)</f>
        <v>0.451109358161032</v>
      </c>
      <c r="K14" s="14" t="n">
        <f aca="false">IF(K8=0,0,K13/K8)</f>
        <v>0.488855763064572</v>
      </c>
      <c r="L14" s="14" t="n">
        <f aca="false">IF(L8=0,0,L13/L8)</f>
        <v>0.478910371035057</v>
      </c>
      <c r="M14" s="14" t="n">
        <f aca="false">IF(M8=0,0,M13/M8)</f>
        <v>0.47464660242073</v>
      </c>
      <c r="N14" s="14" t="n">
        <f aca="false">IF(N8=0,0,N13/N8)</f>
        <v>0.467259838319984</v>
      </c>
    </row>
    <row r="15" customFormat="false" ht="15" hidden="false" customHeight="true" outlineLevel="0" collapsed="false">
      <c r="A15" s="11" t="s">
        <v>40</v>
      </c>
      <c r="B15" s="9" t="n">
        <v>-675</v>
      </c>
      <c r="C15" s="9" t="n">
        <v>-283</v>
      </c>
      <c r="D15" s="9" t="n">
        <v>-2288</v>
      </c>
      <c r="E15" s="9" t="n">
        <v>-623</v>
      </c>
      <c r="F15" s="9" t="n">
        <v>-1707</v>
      </c>
      <c r="G15" s="9" t="n">
        <v>-3660</v>
      </c>
      <c r="H15" s="9" t="n">
        <v>9971</v>
      </c>
      <c r="I15" s="9" t="n">
        <v>942</v>
      </c>
      <c r="J15" s="9" t="n">
        <v>3444</v>
      </c>
      <c r="K15" s="15" t="n">
        <f aca="false">Assumptions!$B$9</f>
        <v>0</v>
      </c>
      <c r="L15" s="15" t="n">
        <f aca="false">Assumptions!$B$9</f>
        <v>0</v>
      </c>
      <c r="M15" s="15" t="n">
        <f aca="false">Assumptions!$B$9</f>
        <v>0</v>
      </c>
      <c r="N15" s="15" t="n">
        <f aca="false">Assumptions!$B$9</f>
        <v>0</v>
      </c>
    </row>
    <row r="16" customFormat="false" ht="15" hidden="false" customHeight="true" outlineLevel="0" collapsed="false">
      <c r="A16" s="11" t="s">
        <v>41</v>
      </c>
      <c r="B16" s="12" t="n">
        <f aca="false">B13+B15</f>
        <v>27250</v>
      </c>
      <c r="C16" s="12" t="n">
        <f aca="false">C13+C15</f>
        <v>30269</v>
      </c>
      <c r="D16" s="12" t="n">
        <f aca="false">D13+D15</f>
        <v>29365</v>
      </c>
      <c r="E16" s="12" t="n">
        <f aca="false">E13+E15</f>
        <v>31377</v>
      </c>
      <c r="F16" s="12" t="n">
        <f aca="false">F13+F15</f>
        <v>32616</v>
      </c>
      <c r="G16" s="12" t="n">
        <f aca="false">G13+G15</f>
        <v>34301</v>
      </c>
      <c r="H16" s="12" t="n">
        <f aca="false">H13+H15</f>
        <v>48246</v>
      </c>
      <c r="I16" s="12" t="n">
        <f aca="false">I13+I15</f>
        <v>39340</v>
      </c>
      <c r="J16" s="12" t="n">
        <f aca="false">J13+J15</f>
        <v>44047</v>
      </c>
      <c r="K16" s="10" t="n">
        <f aca="false">K13+K15</f>
        <v>42527.4009266562</v>
      </c>
      <c r="L16" s="10" t="n">
        <f aca="false">L13+L15</f>
        <v>43593.180495348</v>
      </c>
      <c r="M16" s="10" t="n">
        <f aca="false">M13+M15</f>
        <v>44062.545282834</v>
      </c>
      <c r="N16" s="10" t="n">
        <f aca="false">N13+N15</f>
        <v>47103.4550197868</v>
      </c>
    </row>
    <row r="17" customFormat="false" ht="15" hidden="false" customHeight="true" outlineLevel="0" collapsed="false">
      <c r="A17" s="11" t="s">
        <v>42</v>
      </c>
      <c r="B17" s="9" t="n">
        <v>5214</v>
      </c>
      <c r="C17" s="9" t="n">
        <v>5602</v>
      </c>
      <c r="D17" s="9" t="n">
        <v>5257</v>
      </c>
      <c r="E17" s="9" t="n">
        <v>5553</v>
      </c>
      <c r="F17" s="9" t="n">
        <v>5383</v>
      </c>
      <c r="G17" s="9" t="n">
        <v>6554</v>
      </c>
      <c r="H17" s="9" t="n">
        <v>9788</v>
      </c>
      <c r="I17" s="9" t="n">
        <v>7562</v>
      </c>
      <c r="J17" s="9" t="n">
        <v>8281</v>
      </c>
      <c r="K17" s="10" t="n">
        <f aca="false">K16*K18</f>
        <v>7654.93216679812</v>
      </c>
      <c r="L17" s="10" t="n">
        <f aca="false">L16*L18</f>
        <v>7846.77248916264</v>
      </c>
      <c r="M17" s="10" t="n">
        <f aca="false">M16*M18</f>
        <v>7931.25815091012</v>
      </c>
      <c r="N17" s="10" t="n">
        <f aca="false">N16*N18</f>
        <v>8478.62190356163</v>
      </c>
    </row>
    <row r="18" customFormat="false" ht="15" hidden="false" customHeight="true" outlineLevel="0" collapsed="false">
      <c r="A18" s="11" t="s">
        <v>43</v>
      </c>
      <c r="B18" s="13" t="n">
        <f aca="false">IF(B16=0,0,B17/B16)</f>
        <v>0.191339449541284</v>
      </c>
      <c r="C18" s="13" t="n">
        <f aca="false">IF(C16=0,0,C17/C16)</f>
        <v>0.185073837919984</v>
      </c>
      <c r="D18" s="13" t="n">
        <f aca="false">IF(D16=0,0,D17/D16)</f>
        <v>0.179022646007151</v>
      </c>
      <c r="E18" s="13" t="n">
        <f aca="false">IF(E16=0,0,E17/E16)</f>
        <v>0.176976766421264</v>
      </c>
      <c r="F18" s="13" t="n">
        <f aca="false">IF(F16=0,0,F17/F16)</f>
        <v>0.165041697326466</v>
      </c>
      <c r="G18" s="13" t="n">
        <f aca="false">IF(G16=0,0,G17/G16)</f>
        <v>0.191073146555494</v>
      </c>
      <c r="H18" s="13" t="n">
        <f aca="false">IF(H16=0,0,H17/H16)</f>
        <v>0.202876922439166</v>
      </c>
      <c r="I18" s="13" t="n">
        <f aca="false">IF(I16=0,0,I17/I16)</f>
        <v>0.192221657346213</v>
      </c>
      <c r="J18" s="13" t="n">
        <f aca="false">IF(J16=0,0,J17/J16)</f>
        <v>0.188003723295571</v>
      </c>
      <c r="K18" s="16" t="n">
        <f aca="false">Assumptions!$B$7</f>
        <v>0.18</v>
      </c>
      <c r="L18" s="16" t="n">
        <f aca="false">Assumptions!$B$7</f>
        <v>0.18</v>
      </c>
      <c r="M18" s="16" t="n">
        <f aca="false">Assumptions!$B$7</f>
        <v>0.18</v>
      </c>
      <c r="N18" s="16" t="n">
        <f aca="false">Assumptions!$B$7</f>
        <v>0.18</v>
      </c>
    </row>
    <row r="19" customFormat="false" ht="15" hidden="false" customHeight="true" outlineLevel="0" collapsed="false">
      <c r="A19" s="4" t="s">
        <v>44</v>
      </c>
      <c r="B19" s="12" t="n">
        <f aca="false">B16-B17</f>
        <v>22036</v>
      </c>
      <c r="C19" s="12" t="n">
        <f aca="false">C16-C17</f>
        <v>24667</v>
      </c>
      <c r="D19" s="12" t="n">
        <f aca="false">D16-D17</f>
        <v>24108</v>
      </c>
      <c r="E19" s="12" t="n">
        <f aca="false">E16-E17</f>
        <v>25824</v>
      </c>
      <c r="F19" s="12" t="n">
        <f aca="false">F16-F17</f>
        <v>27233</v>
      </c>
      <c r="G19" s="12" t="n">
        <f aca="false">G16-G17</f>
        <v>27747</v>
      </c>
      <c r="H19" s="12" t="n">
        <f aca="false">H16-H17</f>
        <v>38458</v>
      </c>
      <c r="I19" s="12" t="n">
        <f aca="false">I16-I17</f>
        <v>31778</v>
      </c>
      <c r="J19" s="12" t="n">
        <f aca="false">J16-J17</f>
        <v>35766</v>
      </c>
      <c r="K19" s="10" t="n">
        <f aca="false">K16-K17</f>
        <v>34872.4687598581</v>
      </c>
      <c r="L19" s="10" t="n">
        <f aca="false">L16-L17</f>
        <v>35746.4080061854</v>
      </c>
      <c r="M19" s="10" t="n">
        <f aca="false">M16-M17</f>
        <v>36131.2871319239</v>
      </c>
      <c r="N19" s="10" t="n">
        <f aca="false">N16-N17</f>
        <v>38624.8331162252</v>
      </c>
    </row>
    <row r="20" customFormat="false" ht="15" hidden="false" customHeight="true" outlineLevel="0" collapsed="false">
      <c r="A20" s="11" t="s">
        <v>45</v>
      </c>
      <c r="B20" s="9" t="n">
        <v>7469</v>
      </c>
      <c r="C20" s="9" t="n">
        <v>7470</v>
      </c>
      <c r="D20" s="9" t="n">
        <v>7468</v>
      </c>
      <c r="E20" s="9" t="n">
        <v>7461</v>
      </c>
      <c r="F20" s="9" t="n">
        <v>7465</v>
      </c>
      <c r="G20" s="9" t="n">
        <v>7466</v>
      </c>
      <c r="H20" s="9" t="n">
        <v>7460</v>
      </c>
      <c r="I20" s="9" t="n">
        <v>7445</v>
      </c>
      <c r="J20" s="9" t="n">
        <v>7441</v>
      </c>
      <c r="K20" s="10" t="n">
        <f aca="false">J20*(1-Assumptions!$B$8)</f>
        <v>7418.677</v>
      </c>
      <c r="L20" s="10" t="n">
        <f aca="false">K20*(1-Assumptions!$B$8)</f>
        <v>7396.420969</v>
      </c>
      <c r="M20" s="10" t="n">
        <f aca="false">L20*(1-Assumptions!$B$8)</f>
        <v>7374.231706093</v>
      </c>
      <c r="N20" s="10" t="n">
        <f aca="false">M20*(1-Assumptions!$B$8)</f>
        <v>7352.10901097472</v>
      </c>
    </row>
    <row r="21" customFormat="false" ht="15" hidden="false" customHeight="true" outlineLevel="0" collapsed="false">
      <c r="A21" s="4" t="s">
        <v>46</v>
      </c>
      <c r="B21" s="17" t="n">
        <f aca="false">IF(B20=0,0,B19/B20)</f>
        <v>2.95032802249297</v>
      </c>
      <c r="C21" s="17" t="n">
        <f aca="false">IF(C20=0,0,C19/C20)</f>
        <v>3.30214190093708</v>
      </c>
      <c r="D21" s="17" t="n">
        <f aca="false">IF(D20=0,0,D19/D20)</f>
        <v>3.22817354043921</v>
      </c>
      <c r="E21" s="17" t="n">
        <f aca="false">IF(E20=0,0,E19/E20)</f>
        <v>3.46119823080016</v>
      </c>
      <c r="F21" s="17" t="n">
        <f aca="false">IF(F20=0,0,F19/F20)</f>
        <v>3.64809109176155</v>
      </c>
      <c r="G21" s="17" t="n">
        <f aca="false">IF(G20=0,0,G19/G20)</f>
        <v>3.71644789713367</v>
      </c>
      <c r="H21" s="17" t="n">
        <f aca="false">IF(H20=0,0,H19/H20)</f>
        <v>5.15522788203753</v>
      </c>
      <c r="I21" s="17" t="n">
        <f aca="false">IF(I20=0,0,I19/I20)</f>
        <v>4.2683680322364</v>
      </c>
      <c r="J21" s="17" t="n">
        <f aca="false">IF(J20=0,0,J19/J20)</f>
        <v>4.80661201451418</v>
      </c>
      <c r="K21" s="18" t="n">
        <f aca="false">IF(K20=0,0,K19/K20)</f>
        <v>4.70063176491686</v>
      </c>
      <c r="L21" s="18" t="n">
        <f aca="false">IF(L20=0,0,L19/L20)</f>
        <v>4.83293313833898</v>
      </c>
      <c r="M21" s="18" t="n">
        <f aca="false">IF(M20=0,0,M19/M20)</f>
        <v>4.8996680023046</v>
      </c>
      <c r="N21" s="18" t="n">
        <f aca="false">IF(N20=0,0,N19/N20)</f>
        <v>5.25357187421578</v>
      </c>
    </row>
    <row r="22" customFormat="false" ht="15" hidden="false" customHeight="true" outlineLevel="0" collapsed="false">
      <c r="A22" s="11" t="s">
        <v>47</v>
      </c>
      <c r="F22" s="13" t="n">
        <f aca="false">IF(B8=0,0,F8/B8-1)</f>
        <v>0.180975481638265</v>
      </c>
      <c r="G22" s="13" t="n">
        <f aca="false">IF(C8=0,0,G8/C8-1)</f>
        <v>0.184310436837692</v>
      </c>
      <c r="H22" s="13" t="n">
        <f aca="false">IF(D8=0,0,H8/D8-1)</f>
        <v>0.167178883272059</v>
      </c>
      <c r="I22" s="13" t="n">
        <f aca="false">IF(E8=0,0,I8/E8-1)</f>
        <v>0.182970342248737</v>
      </c>
      <c r="J22" s="13" t="n">
        <f aca="false">IF(F8=0,0,J8/F8-1)</f>
        <v>0.177470205779621</v>
      </c>
      <c r="K22" s="14" t="n">
        <f aca="false">IF(G8=0,0,K8/G8-1)</f>
        <v>0.12</v>
      </c>
      <c r="L22" s="14" t="n">
        <f aca="false">IF(H8=0,0,L8/H8-1)</f>
        <v>0.12</v>
      </c>
      <c r="M22" s="14" t="n">
        <f aca="false">IF(I8=0,0,M8/I8-1)</f>
        <v>0.12</v>
      </c>
      <c r="N22" s="14" t="n">
        <f aca="false">IF(J8=0,0,N8/J8-1)</f>
        <v>0.12</v>
      </c>
    </row>
    <row r="24" customFormat="false" ht="15" hidden="false" customHeight="true" outlineLevel="0" collapsed="false">
      <c r="A24" s="3" t="s">
        <v>48</v>
      </c>
    </row>
    <row r="25" customFormat="false" ht="15" hidden="false" customHeight="true" outlineLevel="0" collapsed="false">
      <c r="A25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2" t="s">
        <v>50</v>
      </c>
    </row>
    <row r="2" customFormat="false" ht="15" hidden="false" customHeight="true" outlineLevel="0" collapsed="false">
      <c r="A2" s="3" t="s">
        <v>51</v>
      </c>
    </row>
    <row r="4" customFormat="false" ht="15" hidden="false" customHeight="true" outlineLevel="0" collapsed="false">
      <c r="A4" s="4" t="s">
        <v>52</v>
      </c>
      <c r="B4" s="4" t="s">
        <v>53</v>
      </c>
      <c r="C4" s="4" t="s">
        <v>54</v>
      </c>
      <c r="D4" s="4" t="s">
        <v>55</v>
      </c>
    </row>
    <row r="5" customFormat="false" ht="15" hidden="false" customHeight="true" outlineLevel="0" collapsed="false">
      <c r="A5" s="4" t="s">
        <v>16</v>
      </c>
      <c r="B5" s="4" t="s">
        <v>17</v>
      </c>
      <c r="C5" s="4" t="s">
        <v>17</v>
      </c>
      <c r="D5" s="4" t="s">
        <v>18</v>
      </c>
    </row>
    <row r="6" customFormat="false" ht="15" hidden="false" customHeight="true" outlineLevel="0" collapsed="false">
      <c r="A6" s="4" t="s">
        <v>56</v>
      </c>
      <c r="B6" s="11" t="s">
        <v>57</v>
      </c>
      <c r="C6" s="11" t="s">
        <v>57</v>
      </c>
      <c r="D6" s="11" t="s">
        <v>58</v>
      </c>
    </row>
    <row r="8" customFormat="false" ht="15" hidden="false" customHeight="true" outlineLevel="0" collapsed="false">
      <c r="A8" s="11" t="s">
        <v>33</v>
      </c>
      <c r="B8" s="19" t="n">
        <f aca="false">SUM('Quarterly IS'!C8:F8)</f>
        <v>281724</v>
      </c>
      <c r="C8" s="19" t="n">
        <f aca="false">SUM('Quarterly IS'!G8:J8)</f>
        <v>331839</v>
      </c>
      <c r="D8" s="19" t="n">
        <f aca="false">SUM('Quarterly IS'!K8:N8)</f>
        <v>371659.68</v>
      </c>
    </row>
    <row r="9" customFormat="false" ht="15" hidden="false" customHeight="true" outlineLevel="0" collapsed="false">
      <c r="A9" s="11" t="s">
        <v>34</v>
      </c>
      <c r="B9" s="19" t="n">
        <f aca="false">SUM('Quarterly IS'!C9:F9)</f>
        <v>87831</v>
      </c>
      <c r="C9" s="19" t="n">
        <f aca="false">SUM('Quarterly IS'!G9:J9)</f>
        <v>106374</v>
      </c>
      <c r="D9" s="19" t="n">
        <f aca="false">SUM('Quarterly IS'!K9:N9)</f>
        <v>119931.418275375</v>
      </c>
    </row>
    <row r="10" customFormat="false" ht="15" hidden="false" customHeight="true" outlineLevel="0" collapsed="false">
      <c r="A10" s="11" t="s">
        <v>35</v>
      </c>
      <c r="B10" s="19" t="n">
        <f aca="false">SUM('Quarterly IS'!C10:F10)</f>
        <v>193893</v>
      </c>
      <c r="C10" s="19" t="n">
        <f aca="false">SUM('Quarterly IS'!G10:J10)</f>
        <v>225465</v>
      </c>
      <c r="D10" s="19" t="n">
        <f aca="false">SUM('Quarterly IS'!K10:N10)</f>
        <v>251728.261724625</v>
      </c>
    </row>
    <row r="11" customFormat="false" ht="15" hidden="false" customHeight="true" outlineLevel="0" collapsed="false">
      <c r="A11" s="11" t="s">
        <v>36</v>
      </c>
      <c r="B11" s="13" t="n">
        <f aca="false">IF(B8=0,0,B10/B8)</f>
        <v>0.688237423861652</v>
      </c>
      <c r="C11" s="13" t="n">
        <f aca="false">IF(C8=0,0,C10/C8)</f>
        <v>0.679440933705803</v>
      </c>
      <c r="D11" s="13" t="n">
        <f aca="false">IF(D8=0,0,D10/D8)</f>
        <v>0.677308503641356</v>
      </c>
    </row>
    <row r="12" customFormat="false" ht="15" hidden="false" customHeight="true" outlineLevel="0" collapsed="false">
      <c r="A12" s="11" t="s">
        <v>37</v>
      </c>
      <c r="B12" s="19" t="n">
        <f aca="false">SUM('Quarterly IS'!C12:F12)</f>
        <v>65365</v>
      </c>
      <c r="C12" s="19" t="n">
        <f aca="false">SUM('Quarterly IS'!G12:J12)</f>
        <v>70228</v>
      </c>
      <c r="D12" s="19" t="n">
        <f aca="false">SUM('Quarterly IS'!K12:N12)</f>
        <v>74441.68</v>
      </c>
    </row>
    <row r="13" customFormat="false" ht="15" hidden="false" customHeight="true" outlineLevel="0" collapsed="false">
      <c r="A13" s="11" t="s">
        <v>38</v>
      </c>
      <c r="B13" s="19" t="n">
        <f aca="false">SUM('Quarterly IS'!C13:F13)</f>
        <v>128528</v>
      </c>
      <c r="C13" s="19" t="n">
        <f aca="false">SUM('Quarterly IS'!G13:J13)</f>
        <v>155237</v>
      </c>
      <c r="D13" s="19" t="n">
        <f aca="false">SUM('Quarterly IS'!K13:N13)</f>
        <v>177286.581724625</v>
      </c>
    </row>
    <row r="14" customFormat="false" ht="15" hidden="false" customHeight="true" outlineLevel="0" collapsed="false">
      <c r="A14" s="11" t="s">
        <v>39</v>
      </c>
      <c r="B14" s="13" t="n">
        <f aca="false">IF(B8=0,0,B13/B8)</f>
        <v>0.456219562408599</v>
      </c>
      <c r="C14" s="13" t="n">
        <f aca="false">IF(C8=0,0,C13/C8)</f>
        <v>0.467808184089272</v>
      </c>
      <c r="D14" s="13" t="n">
        <f aca="false">IF(D8=0,0,D13/D8)</f>
        <v>0.477013222754282</v>
      </c>
    </row>
    <row r="15" customFormat="false" ht="15" hidden="false" customHeight="true" outlineLevel="0" collapsed="false">
      <c r="A15" s="11" t="s">
        <v>40</v>
      </c>
      <c r="B15" s="19" t="n">
        <f aca="false">SUM('Quarterly IS'!C15:F15)</f>
        <v>-4901</v>
      </c>
      <c r="C15" s="19" t="n">
        <f aca="false">SUM('Quarterly IS'!G15:J15)</f>
        <v>10697</v>
      </c>
      <c r="D15" s="19" t="n">
        <f aca="false">SUM('Quarterly IS'!K15:N15)</f>
        <v>0</v>
      </c>
    </row>
    <row r="16" customFormat="false" ht="15" hidden="false" customHeight="true" outlineLevel="0" collapsed="false">
      <c r="A16" s="11" t="s">
        <v>41</v>
      </c>
      <c r="B16" s="19" t="n">
        <f aca="false">SUM('Quarterly IS'!C16:F16)</f>
        <v>123627</v>
      </c>
      <c r="C16" s="19" t="n">
        <f aca="false">SUM('Quarterly IS'!G16:J16)</f>
        <v>165934</v>
      </c>
      <c r="D16" s="19" t="n">
        <f aca="false">SUM('Quarterly IS'!K16:N16)</f>
        <v>177286.581724625</v>
      </c>
    </row>
    <row r="17" customFormat="false" ht="15" hidden="false" customHeight="true" outlineLevel="0" collapsed="false">
      <c r="A17" s="11" t="s">
        <v>42</v>
      </c>
      <c r="B17" s="19" t="n">
        <f aca="false">SUM('Quarterly IS'!C17:F17)</f>
        <v>21795</v>
      </c>
      <c r="C17" s="19" t="n">
        <f aca="false">SUM('Quarterly IS'!G17:J17)</f>
        <v>32185</v>
      </c>
      <c r="D17" s="19" t="n">
        <f aca="false">SUM('Quarterly IS'!K17:N17)</f>
        <v>31911.5847104325</v>
      </c>
    </row>
    <row r="18" customFormat="false" ht="15" hidden="false" customHeight="true" outlineLevel="0" collapsed="false">
      <c r="A18" s="11" t="s">
        <v>43</v>
      </c>
      <c r="B18" s="13" t="n">
        <f aca="false">IF(B16=0,0,B17/B16)</f>
        <v>0.176296440098037</v>
      </c>
      <c r="C18" s="13" t="n">
        <f aca="false">IF(C16=0,0,C17/C16)</f>
        <v>0.193962659852713</v>
      </c>
      <c r="D18" s="13" t="n">
        <f aca="false">IF(D16=0,0,D17/D16)</f>
        <v>0.18</v>
      </c>
    </row>
    <row r="19" customFormat="false" ht="15" hidden="false" customHeight="true" outlineLevel="0" collapsed="false">
      <c r="A19" s="11" t="s">
        <v>44</v>
      </c>
      <c r="B19" s="19" t="n">
        <f aca="false">SUM('Quarterly IS'!C19:F19)</f>
        <v>101832</v>
      </c>
      <c r="C19" s="19" t="n">
        <f aca="false">SUM('Quarterly IS'!G19:J19)</f>
        <v>133749</v>
      </c>
      <c r="D19" s="19" t="n">
        <f aca="false">SUM('Quarterly IS'!K19:N19)</f>
        <v>145374.997014193</v>
      </c>
    </row>
    <row r="20" customFormat="false" ht="15" hidden="false" customHeight="true" outlineLevel="0" collapsed="false">
      <c r="A20" s="11" t="s">
        <v>59</v>
      </c>
      <c r="B20" s="19" t="n">
        <f aca="false">AVERAGE('Quarterly IS'!C20:F20)</f>
        <v>7466</v>
      </c>
      <c r="C20" s="19" t="n">
        <f aca="false">AVERAGE('Quarterly IS'!G20:J20)</f>
        <v>7453</v>
      </c>
      <c r="D20" s="19" t="n">
        <f aca="false">AVERAGE('Quarterly IS'!K20:N20)</f>
        <v>7385.35967151693</v>
      </c>
    </row>
    <row r="21" customFormat="false" ht="15" hidden="false" customHeight="true" outlineLevel="0" collapsed="false">
      <c r="A21" s="11" t="s">
        <v>60</v>
      </c>
      <c r="B21" s="17" t="n">
        <f aca="false">IF(B20=0,0,B19/B20)</f>
        <v>13.6394320921511</v>
      </c>
      <c r="C21" s="17" t="n">
        <f aca="false">IF(C20=0,0,C19/C20)</f>
        <v>17.9456594659869</v>
      </c>
      <c r="D21" s="17" t="n">
        <f aca="false">IF(D20=0,0,D19/D20)</f>
        <v>19.6842135630658</v>
      </c>
    </row>
    <row r="22" customFormat="false" ht="15" hidden="false" customHeight="true" outlineLevel="0" collapsed="false">
      <c r="A22" s="11" t="s">
        <v>61</v>
      </c>
      <c r="C22" s="13" t="n">
        <f aca="false">IF(B8=0,0,C8/B8-1)</f>
        <v>0.177886867998467</v>
      </c>
      <c r="D22" s="13" t="n">
        <f aca="false">IF(C8=0,0,D8/C8-1)</f>
        <v>0.12</v>
      </c>
    </row>
    <row r="24" customFormat="false" ht="15" hidden="false" customHeight="true" outlineLevel="0" collapsed="false">
      <c r="A24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63</v>
      </c>
    </row>
    <row r="2" customFormat="false" ht="15" hidden="false" customHeight="true" outlineLevel="0" collapsed="false">
      <c r="A2" s="3" t="s">
        <v>64</v>
      </c>
    </row>
    <row r="4" customFormat="false" ht="15" hidden="false" customHeight="true" outlineLevel="0" collapsed="false">
      <c r="A4" s="4" t="s">
        <v>65</v>
      </c>
      <c r="B4" s="4" t="s">
        <v>46</v>
      </c>
    </row>
    <row r="5" customFormat="false" ht="15" hidden="false" customHeight="true" outlineLevel="0" collapsed="false">
      <c r="A5" s="20" t="str">
        <f aca="false">'Quarterly IS'!K4</f>
        <v>FY2027Q1</v>
      </c>
      <c r="B5" s="21" t="n">
        <f aca="false">'Quarterly IS'!K21</f>
        <v>4.70063176491686</v>
      </c>
    </row>
    <row r="6" customFormat="false" ht="15" hidden="false" customHeight="true" outlineLevel="0" collapsed="false">
      <c r="A6" s="20" t="str">
        <f aca="false">'Quarterly IS'!L4</f>
        <v>FY2027Q2</v>
      </c>
      <c r="B6" s="21" t="n">
        <f aca="false">'Quarterly IS'!L21</f>
        <v>4.83293313833898</v>
      </c>
    </row>
    <row r="7" customFormat="false" ht="15" hidden="false" customHeight="true" outlineLevel="0" collapsed="false">
      <c r="A7" s="20" t="str">
        <f aca="false">'Quarterly IS'!M4</f>
        <v>FY2027Q3</v>
      </c>
      <c r="B7" s="21" t="n">
        <f aca="false">'Quarterly IS'!M21</f>
        <v>4.8996680023046</v>
      </c>
    </row>
    <row r="8" customFormat="false" ht="15" hidden="false" customHeight="true" outlineLevel="0" collapsed="false">
      <c r="A8" s="20" t="str">
        <f aca="false">'Quarterly IS'!N4</f>
        <v>FY2027Q4</v>
      </c>
      <c r="B8" s="21" t="n">
        <f aca="false">'Quarterly IS'!N21</f>
        <v>5.25357187421578</v>
      </c>
    </row>
    <row r="10" customFormat="false" ht="15" hidden="false" customHeight="true" outlineLevel="0" collapsed="false">
      <c r="A10" s="4" t="s">
        <v>66</v>
      </c>
      <c r="B10" s="22" t="n">
        <f aca="false">SUM(B5:B8)</f>
        <v>19.6868047797762</v>
      </c>
    </row>
    <row r="11" customFormat="false" ht="15" hidden="false" customHeight="true" outlineLevel="0" collapsed="false">
      <c r="A11" s="1" t="s">
        <v>67</v>
      </c>
      <c r="B11" s="23" t="n">
        <f aca="false">Assumptions!$B$10</f>
        <v>30</v>
      </c>
    </row>
    <row r="12" customFormat="false" ht="15" hidden="false" customHeight="true" outlineLevel="0" collapsed="false">
      <c r="A12" s="4" t="s">
        <v>68</v>
      </c>
      <c r="B12" s="22" t="n">
        <f aca="false">B10*B11</f>
        <v>590.604143393286</v>
      </c>
    </row>
    <row r="14" customFormat="false" ht="15" hidden="false" customHeight="false" outlineLevel="0" collapsed="false">
      <c r="A14" s="1" t="s">
        <v>69</v>
      </c>
      <c r="B14" s="24" t="n">
        <v>567.584312518069</v>
      </c>
    </row>
    <row r="15" customFormat="false" ht="15" hidden="false" customHeight="false" outlineLevel="0" collapsed="false">
      <c r="A15" s="1" t="s">
        <v>70</v>
      </c>
      <c r="B15" s="24" t="n">
        <v>18.9194770839356</v>
      </c>
    </row>
    <row r="16" customFormat="false" ht="15" hidden="false" customHeight="false" outlineLevel="0" collapsed="false">
      <c r="A16" s="1" t="s">
        <v>71</v>
      </c>
      <c r="B16" s="25" t="n">
        <f aca="false">IF(B14=0,0,B12/B14-1)</f>
        <v>0.0405575530674742</v>
      </c>
    </row>
    <row r="17" customFormat="false" ht="15" hidden="false" customHeight="false" outlineLevel="0" collapsed="false">
      <c r="A17" s="1" t="s">
        <v>72</v>
      </c>
      <c r="B17" s="24" t="n">
        <v>543.45</v>
      </c>
    </row>
    <row r="18" customFormat="false" ht="15" hidden="false" customHeight="false" outlineLevel="0" collapsed="false">
      <c r="A18" s="1" t="s">
        <v>73</v>
      </c>
      <c r="B18" s="25" t="n">
        <f aca="false">IF(B17=0,0,B12/B17-1)</f>
        <v>0.0867681357867078</v>
      </c>
    </row>
    <row r="19" customFormat="false" ht="15" hidden="false" customHeight="false" outlineLevel="0" collapsed="false">
      <c r="A19" s="1" t="s">
        <v>74</v>
      </c>
      <c r="B19" s="26" t="n">
        <f aca="false">IF(B10=0,0,B17/B10)</f>
        <v>27.6047843252996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3" min="3" style="1" width="95"/>
  </cols>
  <sheetData>
    <row r="1" customFormat="false" ht="17.25" hidden="false" customHeight="true" outlineLevel="0" collapsed="false">
      <c r="A1" s="2" t="s">
        <v>75</v>
      </c>
    </row>
    <row r="2" customFormat="false" ht="15" hidden="false" customHeight="true" outlineLevel="0" collapsed="false">
      <c r="A2" s="3" t="s">
        <v>76</v>
      </c>
    </row>
    <row r="4" customFormat="false" ht="15" hidden="false" customHeight="true" outlineLevel="0" collapsed="false">
      <c r="A4" s="4" t="s">
        <v>77</v>
      </c>
      <c r="B4" s="4" t="s">
        <v>78</v>
      </c>
      <c r="C4" s="4" t="s">
        <v>79</v>
      </c>
    </row>
    <row r="5" customFormat="false" ht="15" hidden="false" customHeight="true" outlineLevel="0" collapsed="false">
      <c r="A5" s="11" t="s">
        <v>80</v>
      </c>
      <c r="B5" s="27" t="n">
        <v>0.12</v>
      </c>
      <c r="C5" s="3" t="s">
        <v>81</v>
      </c>
    </row>
    <row r="6" customFormat="false" ht="15" hidden="false" customHeight="true" outlineLevel="0" collapsed="false">
      <c r="A6" s="11" t="s">
        <v>82</v>
      </c>
      <c r="B6" s="27" t="n">
        <v>0.06</v>
      </c>
      <c r="C6" s="3" t="s">
        <v>83</v>
      </c>
    </row>
    <row r="7" customFormat="false" ht="15" hidden="false" customHeight="true" outlineLevel="0" collapsed="false">
      <c r="A7" s="11" t="s">
        <v>84</v>
      </c>
      <c r="B7" s="27" t="n">
        <v>0.18</v>
      </c>
      <c r="C7" s="3" t="s">
        <v>85</v>
      </c>
    </row>
    <row r="8" customFormat="false" ht="15" hidden="false" customHeight="true" outlineLevel="0" collapsed="false">
      <c r="A8" s="11" t="s">
        <v>86</v>
      </c>
      <c r="B8" s="27" t="n">
        <v>0.003</v>
      </c>
      <c r="C8" s="3" t="s">
        <v>87</v>
      </c>
    </row>
    <row r="9" customFormat="false" ht="15" hidden="false" customHeight="true" outlineLevel="0" collapsed="false">
      <c r="A9" s="11" t="s">
        <v>88</v>
      </c>
      <c r="B9" s="28" t="n">
        <v>0</v>
      </c>
      <c r="C9" s="3" t="s">
        <v>89</v>
      </c>
    </row>
    <row r="10" customFormat="false" ht="15" hidden="false" customHeight="true" outlineLevel="0" collapsed="false">
      <c r="A10" s="11" t="s">
        <v>90</v>
      </c>
      <c r="B10" s="29" t="n">
        <v>30</v>
      </c>
      <c r="C10" s="3" t="s">
        <v>91</v>
      </c>
    </row>
    <row r="11" customFormat="false" ht="15" hidden="false" customHeight="true" outlineLevel="0" collapsed="false">
      <c r="A11" s="11" t="s">
        <v>92</v>
      </c>
      <c r="B11" s="30" t="s">
        <v>93</v>
      </c>
      <c r="C11" s="3" t="s">
        <v>94</v>
      </c>
    </row>
    <row r="13" customFormat="false" ht="15" hidden="false" customHeight="false" outlineLevel="0" collapsed="false">
      <c r="A13" s="31" t="s">
        <v>95</v>
      </c>
    </row>
    <row r="14" customFormat="false" ht="15" hidden="false" customHeight="false" outlineLevel="0" collapsed="false">
      <c r="A14" s="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32" t="s">
        <v>97</v>
      </c>
    </row>
    <row r="2" customFormat="false" ht="15" hidden="false" customHeight="false" outlineLevel="0" collapsed="false">
      <c r="A2" s="1" t="s">
        <v>98</v>
      </c>
    </row>
    <row r="4" customFormat="false" ht="15" hidden="false" customHeight="false" outlineLevel="0" collapsed="false">
      <c r="A4" s="31" t="s">
        <v>99</v>
      </c>
      <c r="B4" s="31" t="s">
        <v>100</v>
      </c>
      <c r="C4" s="31" t="s">
        <v>101</v>
      </c>
      <c r="D4" s="31" t="s">
        <v>102</v>
      </c>
      <c r="E4" s="31" t="s">
        <v>103</v>
      </c>
    </row>
    <row r="5" customFormat="false" ht="15" hidden="false" customHeight="false" outlineLevel="0" collapsed="false">
      <c r="A5" s="1" t="s">
        <v>33</v>
      </c>
      <c r="B5" s="33" t="n">
        <v>85613.92</v>
      </c>
      <c r="C5" s="34" t="n">
        <f aca="false">'Quarterly IS'!J8</f>
        <v>90007</v>
      </c>
      <c r="D5" s="35" t="n">
        <f aca="false">C5-B5</f>
        <v>4393.08</v>
      </c>
      <c r="E5" s="25" t="n">
        <f aca="false">IF(B5=0,"n/m",C5/B5-1)</f>
        <v>0.0513126837318043</v>
      </c>
    </row>
    <row r="6" customFormat="false" ht="15" hidden="false" customHeight="false" outlineLevel="0" collapsed="false">
      <c r="A6" s="1" t="s">
        <v>34</v>
      </c>
      <c r="B6" s="33" t="n">
        <v>27118.3010376601</v>
      </c>
      <c r="C6" s="34" t="n">
        <f aca="false">'Quarterly IS'!J9</f>
        <v>29525</v>
      </c>
      <c r="D6" s="35" t="n">
        <f aca="false">C6-B6</f>
        <v>2406.6989623399</v>
      </c>
      <c r="E6" s="25" t="n">
        <f aca="false">IF(B6=0,"n/m",C6/B6-1)</f>
        <v>0.0887481468325628</v>
      </c>
    </row>
    <row r="7" customFormat="false" ht="15" hidden="false" customHeight="false" outlineLevel="0" collapsed="false">
      <c r="A7" s="1" t="s">
        <v>35</v>
      </c>
      <c r="B7" s="33" t="n">
        <v>58495.61896234</v>
      </c>
      <c r="C7" s="34" t="n">
        <f aca="false">'Quarterly IS'!J10</f>
        <v>60482</v>
      </c>
      <c r="D7" s="35" t="n">
        <f aca="false">C7-B7</f>
        <v>1986.38103766</v>
      </c>
      <c r="E7" s="25" t="n">
        <f aca="false">IF(B7=0,"n/m",C7/B7-1)</f>
        <v>0.0339577744948532</v>
      </c>
    </row>
    <row r="8" customFormat="false" ht="15" hidden="false" customHeight="false" outlineLevel="0" collapsed="false">
      <c r="A8" s="1" t="s">
        <v>36</v>
      </c>
      <c r="B8" s="36" t="n">
        <v>0.683248926837364</v>
      </c>
      <c r="C8" s="37" t="n">
        <f aca="false">'Quarterly IS'!J11</f>
        <v>0.671969957892164</v>
      </c>
      <c r="D8" s="25" t="n">
        <f aca="false">C8-B8</f>
        <v>-0.0112789689452001</v>
      </c>
      <c r="E8" s="25" t="s">
        <v>104</v>
      </c>
    </row>
    <row r="9" customFormat="false" ht="15" hidden="false" customHeight="false" outlineLevel="0" collapsed="false">
      <c r="A9" s="1" t="s">
        <v>37</v>
      </c>
      <c r="B9" s="33" t="n">
        <v>19190.24</v>
      </c>
      <c r="C9" s="34" t="n">
        <f aca="false">'Quarterly IS'!J12</f>
        <v>19879</v>
      </c>
      <c r="D9" s="35" t="n">
        <f aca="false">C9-B9</f>
        <v>688.759999999998</v>
      </c>
      <c r="E9" s="25" t="n">
        <f aca="false">IF(B9=0,"n/m",C9/B9-1)</f>
        <v>0.0358911613403479</v>
      </c>
    </row>
    <row r="10" customFormat="false" ht="15" hidden="false" customHeight="false" outlineLevel="0" collapsed="false">
      <c r="A10" s="1" t="s">
        <v>38</v>
      </c>
      <c r="B10" s="33" t="n">
        <v>39305.37896234</v>
      </c>
      <c r="C10" s="34" t="n">
        <f aca="false">'Quarterly IS'!J13</f>
        <v>40603</v>
      </c>
      <c r="D10" s="35" t="n">
        <f aca="false">C10-B10</f>
        <v>1297.62103766</v>
      </c>
      <c r="E10" s="25" t="n">
        <f aca="false">IF(B10=0,"n/m",C10/B10-1)</f>
        <v>0.0330138284356272</v>
      </c>
    </row>
    <row r="11" customFormat="false" ht="15" hidden="false" customHeight="false" outlineLevel="0" collapsed="false">
      <c r="A11" s="1" t="s">
        <v>39</v>
      </c>
      <c r="B11" s="36" t="n">
        <v>0.45910033044089</v>
      </c>
      <c r="C11" s="37" t="n">
        <f aca="false">'Quarterly IS'!J14</f>
        <v>0.451109358161032</v>
      </c>
      <c r="D11" s="25" t="n">
        <f aca="false">C11-B11</f>
        <v>-0.00799097227985807</v>
      </c>
      <c r="E11" s="25" t="s">
        <v>104</v>
      </c>
    </row>
    <row r="12" customFormat="false" ht="15" hidden="false" customHeight="false" outlineLevel="0" collapsed="false">
      <c r="A12" s="1" t="s">
        <v>40</v>
      </c>
      <c r="B12" s="33" t="n">
        <v>0</v>
      </c>
      <c r="C12" s="34" t="n">
        <f aca="false">'Quarterly IS'!J15</f>
        <v>3444</v>
      </c>
      <c r="D12" s="35" t="n">
        <f aca="false">C12-B12</f>
        <v>3444</v>
      </c>
      <c r="E12" s="25" t="str">
        <f aca="false">IF(B12=0,"n/m",C12/B12-1)</f>
        <v>n/m</v>
      </c>
    </row>
    <row r="13" customFormat="false" ht="15" hidden="false" customHeight="false" outlineLevel="0" collapsed="false">
      <c r="A13" s="1" t="s">
        <v>41</v>
      </c>
      <c r="B13" s="33" t="n">
        <v>39305.37896234</v>
      </c>
      <c r="C13" s="34" t="n">
        <f aca="false">'Quarterly IS'!J16</f>
        <v>44047</v>
      </c>
      <c r="D13" s="35" t="n">
        <f aca="false">C13-B13</f>
        <v>4741.62103766</v>
      </c>
      <c r="E13" s="25" t="n">
        <f aca="false">IF(B13=0,"n/m",C13/B13-1)</f>
        <v>0.120635423518067</v>
      </c>
    </row>
    <row r="14" customFormat="false" ht="15" hidden="false" customHeight="false" outlineLevel="0" collapsed="false">
      <c r="A14" s="1" t="s">
        <v>42</v>
      </c>
      <c r="B14" s="33" t="n">
        <v>7074.96821322119</v>
      </c>
      <c r="C14" s="34" t="n">
        <f aca="false">'Quarterly IS'!J17</f>
        <v>8281</v>
      </c>
      <c r="D14" s="35" t="n">
        <f aca="false">C14-B14</f>
        <v>1206.03178677881</v>
      </c>
      <c r="E14" s="25" t="n">
        <f aca="false">IF(B14=0,"n/m",C14/B14-1)</f>
        <v>0.170464622657253</v>
      </c>
    </row>
    <row r="15" customFormat="false" ht="15" hidden="false" customHeight="false" outlineLevel="0" collapsed="false">
      <c r="A15" s="1" t="s">
        <v>43</v>
      </c>
      <c r="B15" s="36" t="n">
        <v>0.18</v>
      </c>
      <c r="C15" s="37" t="n">
        <f aca="false">'Quarterly IS'!J18</f>
        <v>0.188003723295571</v>
      </c>
      <c r="D15" s="25" t="n">
        <f aca="false">C15-B15</f>
        <v>0.00800372329557064</v>
      </c>
      <c r="E15" s="25" t="s">
        <v>104</v>
      </c>
    </row>
    <row r="16" customFormat="false" ht="15" hidden="false" customHeight="false" outlineLevel="0" collapsed="false">
      <c r="A16" s="1" t="s">
        <v>44</v>
      </c>
      <c r="B16" s="33" t="n">
        <v>32230.4107491188</v>
      </c>
      <c r="C16" s="34" t="n">
        <f aca="false">'Quarterly IS'!J19</f>
        <v>35766</v>
      </c>
      <c r="D16" s="35" t="n">
        <f aca="false">C16-B16</f>
        <v>3535.5892508812</v>
      </c>
      <c r="E16" s="25" t="n">
        <f aca="false">IF(B16=0,"n/m",C16/B16-1)</f>
        <v>0.109697306633856</v>
      </c>
    </row>
    <row r="17" customFormat="false" ht="15" hidden="false" customHeight="false" outlineLevel="0" collapsed="false">
      <c r="A17" s="1" t="s">
        <v>45</v>
      </c>
      <c r="B17" s="33" t="n">
        <v>7422.665</v>
      </c>
      <c r="C17" s="34" t="n">
        <f aca="false">'Quarterly IS'!J20</f>
        <v>7441</v>
      </c>
      <c r="D17" s="35" t="n">
        <f aca="false">C17-B17</f>
        <v>18.335</v>
      </c>
      <c r="E17" s="25" t="n">
        <f aca="false">IF(B17=0,"n/m",C17/B17-1)</f>
        <v>0.00247013707340971</v>
      </c>
    </row>
    <row r="18" customFormat="false" ht="15" hidden="false" customHeight="false" outlineLevel="0" collapsed="false">
      <c r="A18" s="1" t="s">
        <v>46</v>
      </c>
      <c r="B18" s="38" t="n">
        <v>4.34216157527233</v>
      </c>
      <c r="C18" s="39" t="n">
        <f aca="false">'Quarterly IS'!J21</f>
        <v>4.80661201451418</v>
      </c>
      <c r="D18" s="40" t="n">
        <f aca="false">C18-B18</f>
        <v>0.464450439241849</v>
      </c>
      <c r="E18" s="25" t="n">
        <f aca="false">IF(B18=0,"n/m",C18/B18-1)</f>
        <v>0.10696295639637</v>
      </c>
    </row>
    <row r="21" customFormat="false" ht="15" hidden="false" customHeight="false" outlineLevel="0" collapsed="false">
      <c r="A21" s="31" t="s">
        <v>105</v>
      </c>
    </row>
    <row r="22" customFormat="false" ht="15" hidden="false" customHeight="false" outlineLevel="0" collapsed="false">
      <c r="A22" s="31" t="s">
        <v>106</v>
      </c>
      <c r="B22" s="31" t="s">
        <v>107</v>
      </c>
      <c r="C22" s="31" t="s">
        <v>108</v>
      </c>
      <c r="D22" s="31" t="s">
        <v>109</v>
      </c>
      <c r="E22" s="31" t="s">
        <v>110</v>
      </c>
    </row>
    <row r="23" customFormat="false" ht="15" hidden="false" customHeight="false" outlineLevel="0" collapsed="false">
      <c r="A23" s="1" t="s">
        <v>111</v>
      </c>
      <c r="B23" s="33" t="n">
        <v>86993.76</v>
      </c>
      <c r="C23" s="34" t="n">
        <f aca="false">'Quarterly IS'!K8</f>
        <v>86993.76</v>
      </c>
      <c r="D23" s="35" t="n">
        <f aca="false">C23-B23</f>
        <v>0</v>
      </c>
      <c r="E23" s="25" t="n">
        <f aca="false">IF(B23=0,"n/m",C23/B23-1)</f>
        <v>0</v>
      </c>
    </row>
    <row r="24" customFormat="false" ht="15" hidden="false" customHeight="false" outlineLevel="0" collapsed="false">
      <c r="A24" s="1" t="s">
        <v>112</v>
      </c>
      <c r="B24" s="38" t="n">
        <v>4.73942340110153</v>
      </c>
      <c r="C24" s="39" t="n">
        <f aca="false">'Quarterly IS'!K21</f>
        <v>4.70063176491686</v>
      </c>
      <c r="D24" s="40" t="n">
        <f aca="false">C24-B24</f>
        <v>-0.0387916361846692</v>
      </c>
      <c r="E24" s="25" t="n">
        <f aca="false">IF(B24=0,"n/m",C24/B24-1)</f>
        <v>-0.00818488514354998</v>
      </c>
    </row>
    <row r="25" customFormat="false" ht="15" hidden="false" customHeight="false" outlineLevel="0" collapsed="false">
      <c r="A25" s="1" t="s">
        <v>113</v>
      </c>
      <c r="B25" s="33" t="n">
        <v>327445.92</v>
      </c>
      <c r="C25" s="34" t="n">
        <f aca="false">'Annual Summary'!C8</f>
        <v>331839</v>
      </c>
      <c r="D25" s="35" t="n">
        <f aca="false">C25-B25</f>
        <v>4393.08000000002</v>
      </c>
      <c r="E25" s="25" t="n">
        <f aca="false">IF(B25=0,"n/m",C25/B25-1)</f>
        <v>0.0134162001468823</v>
      </c>
    </row>
    <row r="26" customFormat="false" ht="15" hidden="false" customHeight="false" outlineLevel="0" collapsed="false">
      <c r="A26" s="1" t="s">
        <v>114</v>
      </c>
      <c r="B26" s="38" t="n">
        <v>17.482026564925</v>
      </c>
      <c r="C26" s="39" t="n">
        <f aca="false">'Annual Summary'!C21</f>
        <v>17.9456594659869</v>
      </c>
      <c r="D26" s="40" t="n">
        <f aca="false">C26-B26</f>
        <v>0.46363290106185</v>
      </c>
      <c r="E26" s="25" t="n">
        <f aca="false">IF(B26=0,"n/m",C26/B26-1)</f>
        <v>0.0265205466505845</v>
      </c>
    </row>
    <row r="27" customFormat="false" ht="15" hidden="false" customHeight="false" outlineLevel="0" collapsed="false">
      <c r="A27" s="1" t="s">
        <v>115</v>
      </c>
      <c r="B27" s="33" t="n">
        <v>366739.4304</v>
      </c>
      <c r="C27" s="34" t="n">
        <f aca="false">'Annual Summary'!D8</f>
        <v>371659.68</v>
      </c>
      <c r="D27" s="35" t="n">
        <f aca="false">C27-B27</f>
        <v>4920.24960000004</v>
      </c>
      <c r="E27" s="25" t="n">
        <f aca="false">IF(B27=0,"n/m",C27/B27-1)</f>
        <v>0.0134162001468823</v>
      </c>
    </row>
    <row r="28" customFormat="false" ht="15" hidden="false" customHeight="false" outlineLevel="0" collapsed="false">
      <c r="A28" s="1" t="s">
        <v>116</v>
      </c>
      <c r="B28" s="38" t="n">
        <v>19.6110467214869</v>
      </c>
      <c r="C28" s="39" t="n">
        <f aca="false">'Annual Summary'!D21</f>
        <v>19.6842135630658</v>
      </c>
      <c r="D28" s="40" t="n">
        <f aca="false">C28-B28</f>
        <v>0.0731668415788818</v>
      </c>
      <c r="E28" s="25" t="n">
        <f aca="false">IF(B28=0,"n/m",C28/B28-1)</f>
        <v>0.00373089935575521</v>
      </c>
    </row>
    <row r="29" customFormat="false" ht="15" hidden="false" customHeight="false" outlineLevel="0" collapsed="false">
      <c r="A29" s="1" t="s">
        <v>66</v>
      </c>
      <c r="B29" s="38" t="n">
        <v>18.9194770839356</v>
      </c>
      <c r="C29" s="39" t="n">
        <f aca="false">Valuation!B10</f>
        <v>19.6868047797762</v>
      </c>
      <c r="D29" s="40" t="n">
        <f aca="false">C29-B29</f>
        <v>0.767327695840613</v>
      </c>
      <c r="E29" s="25" t="n">
        <f aca="false">IF(B29=0,"n/m",C29/B29-1)</f>
        <v>0.040557553067476</v>
      </c>
    </row>
    <row r="30" customFormat="false" ht="15" hidden="false" customHeight="false" outlineLevel="0" collapsed="false">
      <c r="A30" s="1" t="s">
        <v>68</v>
      </c>
      <c r="B30" s="38" t="n">
        <v>567.584312518069</v>
      </c>
      <c r="C30" s="39" t="n">
        <f aca="false">Valuation!B12</f>
        <v>590.604143393286</v>
      </c>
      <c r="D30" s="40" t="n">
        <f aca="false">C30-B30</f>
        <v>23.0198308752174</v>
      </c>
      <c r="E30" s="25" t="n">
        <f aca="false">IF(B30=0,"n/m",C30/B30-1)</f>
        <v>0.0405575530674742</v>
      </c>
    </row>
    <row r="32" customFormat="false" ht="15" hidden="false" customHeight="false" outlineLevel="0" collapsed="false">
      <c r="A32" s="1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2026-10-14T03:57:02Z</dcterms:created>
  <dc:creator>openpyxl</dc:creator>
  <dc:description/>
  <dc:language>en-US</dc:language>
  <cp:lastModifiedBy/>
  <dcterms:modified xsi:type="dcterms:W3CDTF">2026-10-14T07:51:04Z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