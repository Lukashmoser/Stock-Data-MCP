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napshot" sheetId="2" state="visible" r:id="rId2"/>
    <sheet xmlns:r="http://schemas.openxmlformats.org/officeDocument/2006/relationships" name="Top 3" sheetId="3" state="visible" r:id="rId3"/>
  </sheets>
  <definedNames>
    <definedName name="_xlnm._FilterDatabase" localSheetId="0" hidden="1">'Calendar'!$A$1:$I$22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4" customWidth="1" min="3" max="3"/>
    <col width="16" customWidth="1" min="4" max="4"/>
    <col width="10" customWidth="1" min="5" max="5"/>
    <col width="11" customWidth="1" min="6" max="6"/>
    <col width="11" customWidth="1" min="7" max="7"/>
    <col width="60" customWidth="1" min="8" max="8"/>
    <col width="34" customWidth="1" min="9" max="9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Company/Sector</t>
        </is>
      </c>
      <c r="D1" s="1" t="inlineStr">
        <is>
          <t>Type</t>
        </is>
      </c>
      <c r="E1" s="1" t="inlineStr">
        <is>
          <t>Impact (H/M/L)</t>
        </is>
      </c>
      <c r="F1" s="1" t="inlineStr">
        <is>
          <t>Status</t>
        </is>
      </c>
      <c r="G1" s="1" t="inlineStr">
        <is>
          <t>Positioning</t>
        </is>
      </c>
      <c r="H1" s="1" t="inlineStr">
        <is>
          <t>Notes</t>
        </is>
      </c>
      <c r="I1" s="1" t="inlineStr">
        <is>
          <t>Source</t>
        </is>
      </c>
    </row>
    <row r="2">
      <c r="A2" t="inlineStr">
        <is>
          <t>2026-10-13</t>
        </is>
      </c>
      <c r="B2" t="inlineStr">
        <is>
          <t>Apple "Welcome Home" event (HomeView, new Apple TV 4K)</t>
        </is>
      </c>
      <c r="C2" t="inlineStr">
        <is>
          <t>AAPL</t>
        </is>
      </c>
      <c r="D2" t="inlineStr">
        <is>
          <t>Corp/Product</t>
        </is>
      </c>
      <c r="E2" s="2" t="inlineStr">
        <is>
          <t>L</t>
        </is>
      </c>
      <c r="F2" t="inlineStr">
        <is>
          <t>Held</t>
        </is>
      </c>
      <c r="G2" t="inlineStr">
        <is>
          <t>Neutral</t>
        </is>
      </c>
      <c r="H2" t="inlineStr">
        <is>
          <t>Same day as calendar build</t>
        </is>
      </c>
      <c r="I2" t="inlineStr">
        <is>
          <t>macrumors.com</t>
        </is>
      </c>
    </row>
    <row r="3">
      <c r="A3" t="inlineStr">
        <is>
          <t>2026-10-14</t>
        </is>
      </c>
      <c r="B3" t="inlineStr">
        <is>
          <t>CPI (Sep data), 08:30 ET</t>
        </is>
      </c>
      <c r="C3" t="inlineStr">
        <is>
          <t>Macro</t>
        </is>
      </c>
      <c r="D3" t="inlineStr">
        <is>
          <t>Macro</t>
        </is>
      </c>
      <c r="E3" s="3" t="inlineStr">
        <is>
          <t>H</t>
        </is>
      </c>
      <c r="F3" t="inlineStr">
        <is>
          <t>Confirmed</t>
        </is>
      </c>
      <c r="G3" t="inlineStr">
        <is>
          <t>Neutral</t>
        </is>
      </c>
      <c r="H3" t="inlineStr">
        <is>
          <t>First inflation print after 10y hit ~5.2%</t>
        </is>
      </c>
      <c r="I3" t="inlineStr">
        <is>
          <t>fedratecalc.com</t>
        </is>
      </c>
    </row>
    <row r="4">
      <c r="A4" t="inlineStr">
        <is>
          <t>2026-10-15</t>
        </is>
      </c>
      <c r="B4" t="inlineStr">
        <is>
          <t>PPI + Retail Sales (Sep), 08:30 ET</t>
        </is>
      </c>
      <c r="C4" t="inlineStr">
        <is>
          <t>Macro</t>
        </is>
      </c>
      <c r="D4" t="inlineStr">
        <is>
          <t>Macro</t>
        </is>
      </c>
      <c r="E4" s="4" t="inlineStr">
        <is>
          <t>M</t>
        </is>
      </c>
      <c r="F4" t="inlineStr">
        <is>
          <t>Confirmed</t>
        </is>
      </c>
      <c r="G4" t="inlineStr">
        <is>
          <t>Neutral</t>
        </is>
      </c>
      <c r="H4" t="inlineStr">
        <is>
          <t>Retail sales read for AMZN</t>
        </is>
      </c>
      <c r="I4" t="inlineStr">
        <is>
          <t>fedratecalc.com</t>
        </is>
      </c>
    </row>
    <row r="5">
      <c r="A5" t="inlineStr">
        <is>
          <t>2026-10-16</t>
        </is>
      </c>
      <c r="B5" t="inlineStr">
        <is>
          <t>iPhone Duo pre-orders open</t>
        </is>
      </c>
      <c r="C5" t="inlineStr">
        <is>
          <t>AAPL</t>
        </is>
      </c>
      <c r="D5" t="inlineStr">
        <is>
          <t>Corp/Product</t>
        </is>
      </c>
      <c r="E5" s="4" t="inlineStr">
        <is>
          <t>M</t>
        </is>
      </c>
      <c r="F5" t="inlineStr">
        <is>
          <t>Confirmed</t>
        </is>
      </c>
      <c r="G5" t="inlineStr">
        <is>
          <t>Neutral</t>
        </is>
      </c>
      <c r="H5" t="inlineStr">
        <is>
          <t>Demand signal into FQ1 guide</t>
        </is>
      </c>
      <c r="I5" t="inlineStr">
        <is>
          <t>macrumors.com</t>
        </is>
      </c>
    </row>
    <row r="6">
      <c r="A6" t="inlineStr">
        <is>
          <t>2026-10-20</t>
        </is>
      </c>
      <c r="B6" t="inlineStr">
        <is>
          <t>Netflix Q3 2026 earnings (after close)</t>
        </is>
      </c>
      <c r="C6" t="inlineStr">
        <is>
          <t>NFLX</t>
        </is>
      </c>
      <c r="D6" t="inlineStr">
        <is>
          <t>Earnings</t>
        </is>
      </c>
      <c r="E6" s="3" t="inlineStr">
        <is>
          <t>H</t>
        </is>
      </c>
      <c r="F6" t="inlineStr">
        <is>
          <t>Confirmed</t>
        </is>
      </c>
      <c r="G6" t="inlineStr">
        <is>
          <t>Neutral</t>
        </is>
      </c>
      <c r="H6" t="inlineStr">
        <is>
          <t>Stock at 6.0% of 52w range; consensus EPS ~$0.82 (post-split)</t>
        </is>
      </c>
      <c r="I6" t="inlineStr">
        <is>
          <t>insiderfinance.io; stockhub.kr</t>
        </is>
      </c>
    </row>
    <row r="7">
      <c r="A7" t="inlineStr">
        <is>
          <t>2026-10-23</t>
        </is>
      </c>
      <c r="B7" t="inlineStr">
        <is>
          <t>iPhone Duo launch</t>
        </is>
      </c>
      <c r="C7" t="inlineStr">
        <is>
          <t>AAPL</t>
        </is>
      </c>
      <c r="D7" t="inlineStr">
        <is>
          <t>Corp/Product</t>
        </is>
      </c>
      <c r="E7" s="4" t="inlineStr">
        <is>
          <t>M</t>
        </is>
      </c>
      <c r="F7" t="inlineStr">
        <is>
          <t>Confirmed</t>
        </is>
      </c>
      <c r="G7" t="inlineStr">
        <is>
          <t>Neutral</t>
        </is>
      </c>
      <c r="H7" t="inlineStr"/>
      <c r="I7" t="inlineStr">
        <is>
          <t>macrumors.com</t>
        </is>
      </c>
    </row>
    <row r="8">
      <c r="A8" t="inlineStr">
        <is>
          <t>2026-10-28</t>
        </is>
      </c>
      <c r="B8" t="inlineStr">
        <is>
          <t>Microsoft FY27 Q1 earnings (after close; call 14:30 PT)</t>
        </is>
      </c>
      <c r="C8" t="inlineStr">
        <is>
          <t>MSFT</t>
        </is>
      </c>
      <c r="D8" t="inlineStr">
        <is>
          <t>Earnings</t>
        </is>
      </c>
      <c r="E8" s="3" t="inlineStr">
        <is>
          <t>H</t>
        </is>
      </c>
      <c r="F8" t="inlineStr">
        <is>
          <t>Confirmed</t>
        </is>
      </c>
      <c r="G8" t="inlineStr">
        <is>
          <t>Neutral</t>
        </is>
      </c>
      <c r="H8" t="inlineStr">
        <is>
          <t>Azure growth, AI capex</t>
        </is>
      </c>
      <c r="I8" t="inlineStr">
        <is>
          <t>finviz.com (MSFT release 2026-10-07)</t>
        </is>
      </c>
    </row>
    <row r="9">
      <c r="A9" t="inlineStr">
        <is>
          <t>2026-10-28</t>
        </is>
      </c>
      <c r="B9" t="inlineStr">
        <is>
          <t>Meta Q3 2026 earnings (after close; call 16:30 ET)</t>
        </is>
      </c>
      <c r="C9" t="inlineStr">
        <is>
          <t>META</t>
        </is>
      </c>
      <c r="D9" t="inlineStr">
        <is>
          <t>Earnings</t>
        </is>
      </c>
      <c r="E9" s="3" t="inlineStr">
        <is>
          <t>H</t>
        </is>
      </c>
      <c r="F9" t="inlineStr">
        <is>
          <t>Confirmed</t>
        </is>
      </c>
      <c r="G9" t="inlineStr">
        <is>
          <t>Neutral</t>
        </is>
      </c>
      <c r="H9" t="inlineStr">
        <is>
          <t>Rev guide $61.0-64.0B; 2027 capex outlook</t>
        </is>
      </c>
      <c r="I9" t="inlineStr">
        <is>
          <t>cmelitegroup.com</t>
        </is>
      </c>
    </row>
    <row r="10">
      <c r="A10" t="inlineStr">
        <is>
          <t>2026-10-28</t>
        </is>
      </c>
      <c r="B10" t="inlineStr">
        <is>
          <t>Alphabet Q3 2026 earnings (after close)</t>
        </is>
      </c>
      <c r="C10" t="inlineStr">
        <is>
          <t>GOOGL</t>
        </is>
      </c>
      <c r="D10" t="inlineStr">
        <is>
          <t>Earnings</t>
        </is>
      </c>
      <c r="E10" s="3" t="inlineStr">
        <is>
          <t>H</t>
        </is>
      </c>
      <c r="F10" t="inlineStr">
        <is>
          <t>Estimated</t>
        </is>
      </c>
      <c r="G10" t="inlineStr">
        <is>
          <t>Neutral</t>
        </is>
      </c>
      <c r="H10" t="inlineStr">
        <is>
          <t>Cloud, capex, ad-tech remedy commentary</t>
        </is>
      </c>
      <c r="I10" t="inlineStr">
        <is>
          <t>days.to; stockhub.kr</t>
        </is>
      </c>
    </row>
    <row r="11">
      <c r="A11" t="inlineStr">
        <is>
          <t>2026-10-28</t>
        </is>
      </c>
      <c r="B11" t="inlineStr">
        <is>
          <t>FOMC rate decision (meeting 10-27/28), 14:00 ET</t>
        </is>
      </c>
      <c r="C11" t="inlineStr">
        <is>
          <t>Macro</t>
        </is>
      </c>
      <c r="D11" t="inlineStr">
        <is>
          <t>Macro</t>
        </is>
      </c>
      <c r="E11" s="3" t="inlineStr">
        <is>
          <t>H</t>
        </is>
      </c>
      <c r="F11" t="inlineStr">
        <is>
          <t>Confirmed</t>
        </is>
      </c>
      <c r="G11" t="inlineStr">
        <is>
          <t>Neutral</t>
        </is>
      </c>
      <c r="H11" t="inlineStr">
        <is>
          <t>Same day as MSFT/META/GOOGL prints</t>
        </is>
      </c>
      <c r="I11" t="inlineStr">
        <is>
          <t>fedratecalc.com</t>
        </is>
      </c>
    </row>
    <row r="12">
      <c r="A12" t="inlineStr">
        <is>
          <t>2026-10-29</t>
        </is>
      </c>
      <c r="B12" t="inlineStr">
        <is>
          <t>GDP advance Q3 + PCE (Sep), 08:30 ET</t>
        </is>
      </c>
      <c r="C12" t="inlineStr">
        <is>
          <t>Macro</t>
        </is>
      </c>
      <c r="D12" t="inlineStr">
        <is>
          <t>Macro</t>
        </is>
      </c>
      <c r="E12" s="4" t="inlineStr">
        <is>
          <t>M</t>
        </is>
      </c>
      <c r="F12" t="inlineStr">
        <is>
          <t>Confirmed</t>
        </is>
      </c>
      <c r="G12" t="inlineStr">
        <is>
          <t>Neutral</t>
        </is>
      </c>
      <c r="H12" t="inlineStr"/>
      <c r="I12" t="inlineStr">
        <is>
          <t>fedratecalc.com</t>
        </is>
      </c>
    </row>
    <row r="13">
      <c r="A13" t="inlineStr">
        <is>
          <t>2026-10-29</t>
        </is>
      </c>
      <c r="B13" t="inlineStr">
        <is>
          <t>Amazon Q3 2026 earnings (after close)</t>
        </is>
      </c>
      <c r="C13" t="inlineStr">
        <is>
          <t>AMZN</t>
        </is>
      </c>
      <c r="D13" t="inlineStr">
        <is>
          <t>Earnings</t>
        </is>
      </c>
      <c r="E13" s="3" t="inlineStr">
        <is>
          <t>H</t>
        </is>
      </c>
      <c r="F13" t="inlineStr">
        <is>
          <t>Estimated</t>
        </is>
      </c>
      <c r="G13" t="inlineStr">
        <is>
          <t>Neutral</t>
        </is>
      </c>
      <c r="H13" t="inlineStr">
        <is>
          <t>AWS growth, capex</t>
        </is>
      </c>
      <c r="I13" t="inlineStr">
        <is>
          <t>days.to; stockhub.kr</t>
        </is>
      </c>
    </row>
    <row r="14">
      <c r="A14" t="inlineStr">
        <is>
          <t>2026-10-30</t>
        </is>
      </c>
      <c r="B14" t="inlineStr">
        <is>
          <t>HomePod mini 2 launch</t>
        </is>
      </c>
      <c r="C14" t="inlineStr">
        <is>
          <t>AAPL</t>
        </is>
      </c>
      <c r="D14" t="inlineStr">
        <is>
          <t>Corp/Product</t>
        </is>
      </c>
      <c r="E14" s="2" t="inlineStr">
        <is>
          <t>L</t>
        </is>
      </c>
      <c r="F14" t="inlineStr">
        <is>
          <t>Confirmed</t>
        </is>
      </c>
      <c r="G14" t="inlineStr">
        <is>
          <t>Neutral</t>
        </is>
      </c>
      <c r="H14" t="inlineStr"/>
      <c r="I14" t="inlineStr">
        <is>
          <t>macrumors.com</t>
        </is>
      </c>
    </row>
    <row r="15">
      <c r="A15" t="inlineStr">
        <is>
          <t>2026-11-02</t>
        </is>
      </c>
      <c r="B15" t="inlineStr">
        <is>
          <t>Apple FQ4 2026 earnings (16:30 ET release; call 17:00 ET)</t>
        </is>
      </c>
      <c r="C15" t="inlineStr">
        <is>
          <t>AAPL</t>
        </is>
      </c>
      <c r="D15" t="inlineStr">
        <is>
          <t>Earnings</t>
        </is>
      </c>
      <c r="E15" s="3" t="inlineStr">
        <is>
          <t>H</t>
        </is>
      </c>
      <c r="F15" t="inlineStr">
        <is>
          <t>Confirmed</t>
        </is>
      </c>
      <c r="G15" t="inlineStr">
        <is>
          <t>Neutral</t>
        </is>
      </c>
      <c r="H15" t="inlineStr">
        <is>
          <t>First call with CEO John Ternus; stock at 52w high</t>
        </is>
      </c>
      <c r="I15" t="inlineStr">
        <is>
          <t>macrumors.com (citing Apple IR)</t>
        </is>
      </c>
    </row>
    <row r="16">
      <c r="A16" t="inlineStr">
        <is>
          <t>2026-11-03</t>
        </is>
      </c>
      <c r="B16" t="inlineStr">
        <is>
          <t>AMD Q3 2026 earnings (after close; call 17:00 ET)</t>
        </is>
      </c>
      <c r="C16" t="inlineStr">
        <is>
          <t>AMD</t>
        </is>
      </c>
      <c r="D16" t="inlineStr">
        <is>
          <t>Earnings</t>
        </is>
      </c>
      <c r="E16" s="3" t="inlineStr">
        <is>
          <t>H</t>
        </is>
      </c>
      <c r="F16" t="inlineStr">
        <is>
          <t>Confirmed</t>
        </is>
      </c>
      <c r="G16" t="inlineStr">
        <is>
          <t>Neutral</t>
        </is>
      </c>
      <c r="H16" t="inlineStr">
        <is>
          <t>MI-series AI GPU ramp; read-through to NVDA</t>
        </is>
      </c>
      <c r="I16" t="inlineStr">
        <is>
          <t>ir.amd.com (release 2026-10-06)</t>
        </is>
      </c>
    </row>
    <row r="17">
      <c r="A17" t="inlineStr">
        <is>
          <t>2026-11-06</t>
        </is>
      </c>
      <c r="B17" t="inlineStr">
        <is>
          <t>Employment Situation (Oct), 08:30 ET</t>
        </is>
      </c>
      <c r="C17" t="inlineStr">
        <is>
          <t>Macro</t>
        </is>
      </c>
      <c r="D17" t="inlineStr">
        <is>
          <t>Macro</t>
        </is>
      </c>
      <c r="E17" s="3" t="inlineStr">
        <is>
          <t>H</t>
        </is>
      </c>
      <c r="F17" t="inlineStr">
        <is>
          <t>Confirmed</t>
        </is>
      </c>
      <c r="G17" t="inlineStr">
        <is>
          <t>Neutral</t>
        </is>
      </c>
      <c r="H17" t="inlineStr"/>
      <c r="I17" t="inlineStr">
        <is>
          <t>fedratecalc.com</t>
        </is>
      </c>
    </row>
    <row r="18">
      <c r="A18" t="inlineStr">
        <is>
          <t>2026-11-10</t>
        </is>
      </c>
      <c r="B18" t="inlineStr">
        <is>
          <t>CPI (Oct data), 08:30 ET</t>
        </is>
      </c>
      <c r="C18" t="inlineStr">
        <is>
          <t>Macro</t>
        </is>
      </c>
      <c r="D18" t="inlineStr">
        <is>
          <t>Macro</t>
        </is>
      </c>
      <c r="E18" s="3" t="inlineStr">
        <is>
          <t>H</t>
        </is>
      </c>
      <c r="F18" t="inlineStr">
        <is>
          <t>Confirmed</t>
        </is>
      </c>
      <c r="G18" t="inlineStr">
        <is>
          <t>Neutral</t>
        </is>
      </c>
      <c r="H18" t="inlineStr">
        <is>
          <t>Last day of window</t>
        </is>
      </c>
      <c r="I18" t="inlineStr">
        <is>
          <t>fedratecalc.com</t>
        </is>
      </c>
    </row>
    <row r="19">
      <c r="A19" t="inlineStr">
        <is>
          <t>~2026-10 to 2026-11 (est.)</t>
        </is>
      </c>
      <c r="B19" t="inlineStr">
        <is>
          <t>Google ad-tech case: final judgment entry / notice of appeal</t>
        </is>
      </c>
      <c r="C19" t="inlineStr">
        <is>
          <t>GOOGL</t>
        </is>
      </c>
      <c r="D19" t="inlineStr">
        <is>
          <t>Regulatory</t>
        </is>
      </c>
      <c r="E19" s="4" t="inlineStr">
        <is>
          <t>M</t>
        </is>
      </c>
      <c r="F19" t="inlineStr">
        <is>
          <t>Estimated</t>
        </is>
      </c>
      <c r="G19" t="inlineStr">
        <is>
          <t>Neutral</t>
        </is>
      </c>
      <c r="H19" t="inlineStr">
        <is>
          <t>Remedies opinion unsealed 2026-09-16 (no AdX divestiture, 6-yr monitor); proposed final judgment due 30 days after bottom-line ruling; Google plans appeal</t>
        </is>
      </c>
      <c r="I19" t="inlineStr">
        <is>
          <t>thestar.com.my (Reuters)</t>
        </is>
      </c>
    </row>
    <row r="20">
      <c r="A20" t="inlineStr">
        <is>
          <t>2026-11-17 to 11-20</t>
        </is>
      </c>
      <c r="B20" t="inlineStr">
        <is>
          <t>Microsoft Ignite, Moscone SF (just outside window)</t>
        </is>
      </c>
      <c r="C20" t="inlineStr">
        <is>
          <t>MSFT</t>
        </is>
      </c>
      <c r="D20" t="inlineStr">
        <is>
          <t>Industry/Dev conf</t>
        </is>
      </c>
      <c r="E20" s="4" t="inlineStr">
        <is>
          <t>M</t>
        </is>
      </c>
      <c r="F20" t="inlineStr">
        <is>
          <t>Confirmed</t>
        </is>
      </c>
      <c r="G20" t="inlineStr">
        <is>
          <t>Neutral</t>
        </is>
      </c>
      <c r="H20" t="inlineStr">
        <is>
          <t>Outside 4-week window; listed for heads-up</t>
        </is>
      </c>
      <c r="I20" t="inlineStr">
        <is>
          <t>moscone.com</t>
        </is>
      </c>
    </row>
    <row r="21">
      <c r="A21" t="inlineStr">
        <is>
          <t>2026-11-18</t>
        </is>
      </c>
      <c r="B21" t="inlineStr">
        <is>
          <t>Nvidia Q3 FY2027 earnings (just outside window)</t>
        </is>
      </c>
      <c r="C21" t="inlineStr">
        <is>
          <t>NVDA</t>
        </is>
      </c>
      <c r="D21" t="inlineStr">
        <is>
          <t>Earnings</t>
        </is>
      </c>
      <c r="E21" s="3" t="inlineStr">
        <is>
          <t>H</t>
        </is>
      </c>
      <c r="F21" t="inlineStr">
        <is>
          <t>Estimated</t>
        </is>
      </c>
      <c r="G21" t="inlineStr">
        <is>
          <t>Neutral</t>
        </is>
      </c>
      <c r="H21" t="inlineStr">
        <is>
          <t>Outside window; stockhub also shows 11-19 KST</t>
        </is>
      </c>
      <c r="I21" t="inlineStr">
        <is>
          <t>days.to</t>
        </is>
      </c>
    </row>
    <row r="22">
      <c r="A22" t="inlineStr">
        <is>
          <t>2026-11-30 to 12-03</t>
        </is>
      </c>
      <c r="B22" t="inlineStr">
        <is>
          <t>NVIDIA GTC Washington DC (outside window)</t>
        </is>
      </c>
      <c r="C22" t="inlineStr">
        <is>
          <t>NVDA</t>
        </is>
      </c>
      <c r="D22" t="inlineStr">
        <is>
          <t>Industry/Dev conf</t>
        </is>
      </c>
      <c r="E22" s="4" t="inlineStr">
        <is>
          <t>M</t>
        </is>
      </c>
      <c r="F22" t="inlineStr">
        <is>
          <t>Unverified</t>
        </is>
      </c>
      <c r="G22" t="inlineStr">
        <is>
          <t>Neutral</t>
        </is>
      </c>
      <c r="H22" t="inlineStr">
        <is>
          <t>Third-party countdown site only</t>
        </is>
      </c>
      <c r="I22" t="inlineStr">
        <is>
          <t>days.to</t>
        </is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18" customWidth="1" min="10" max="10"/>
    <col width="18" customWidth="1" min="11" max="11"/>
  </cols>
  <sheetData>
    <row r="1">
      <c r="A1" s="1" t="inlineStr">
        <is>
          <t>Ticker</t>
        </is>
      </c>
      <c r="B1" s="1" t="inlineStr">
        <is>
          <t>Price (USD, close 2026-10-13)</t>
        </is>
      </c>
      <c r="C1" s="1" t="inlineStr">
        <is>
          <t>52w low</t>
        </is>
      </c>
      <c r="D1" s="1" t="inlineStr">
        <is>
          <t>52w high</t>
        </is>
      </c>
      <c r="E1" s="1" t="inlineStr">
        <is>
          <t>% of 52w range</t>
        </is>
      </c>
      <c r="F1" s="1" t="inlineStr">
        <is>
          <t>% below 52w high</t>
        </is>
      </c>
      <c r="G1" s="1" t="inlineStr">
        <is>
          <t>Latest SEC filing</t>
        </is>
      </c>
      <c r="H1" s="1" t="inlineStr">
        <is>
          <t>Filing date</t>
        </is>
      </c>
      <c r="I1" s="1" t="inlineStr">
        <is>
          <t>Note</t>
        </is>
      </c>
      <c r="J1" s="1" t="inlineStr">
        <is>
          <t>Next earnings</t>
        </is>
      </c>
      <c r="K1" s="1" t="inlineStr">
        <is>
          <t>Earnings status</t>
        </is>
      </c>
    </row>
    <row r="2">
      <c r="A2" t="inlineStr">
        <is>
          <t>AAPL</t>
        </is>
      </c>
      <c r="B2" t="n">
        <v>341.27</v>
      </c>
      <c r="C2" t="n">
        <v>246.63</v>
      </c>
      <c r="D2" t="n">
        <v>341.27</v>
      </c>
      <c r="E2">
        <f>ROUND((B2-C2)/(D2-C2)*100,1)</f>
        <v/>
      </c>
      <c r="F2">
        <f>ROUND((B2/D2-1)*100,1)</f>
        <v/>
      </c>
      <c r="G2" t="inlineStr">
        <is>
          <t>10-Q</t>
        </is>
      </c>
      <c r="H2" t="inlineStr">
        <is>
          <t>2026-07-31</t>
        </is>
      </c>
      <c r="I2" t="inlineStr">
        <is>
          <t>8-K/A 2026-09-01 also listed</t>
        </is>
      </c>
      <c r="J2" t="inlineStr">
        <is>
          <t>2026-11-02</t>
        </is>
      </c>
      <c r="K2" t="inlineStr">
        <is>
          <t>Confirmed</t>
        </is>
      </c>
    </row>
    <row r="3">
      <c r="A3" t="inlineStr">
        <is>
          <t>MSFT</t>
        </is>
      </c>
      <c r="B3" t="n">
        <v>543.45</v>
      </c>
      <c r="C3" t="n">
        <v>352.83</v>
      </c>
      <c r="D3" t="n">
        <v>543.45</v>
      </c>
      <c r="E3">
        <f>ROUND((B3-C3)/(D3-C3)*100,1)</f>
        <v/>
      </c>
      <c r="F3">
        <f>ROUND((B3/D3-1)*100,1)</f>
        <v/>
      </c>
      <c r="G3" t="inlineStr">
        <is>
          <t>8-K</t>
        </is>
      </c>
      <c r="H3" t="inlineStr">
        <is>
          <t>2026-09-02</t>
        </is>
      </c>
      <c r="I3" t="inlineStr">
        <is>
          <t>10-K filed 2026-07-29</t>
        </is>
      </c>
      <c r="J3" t="inlineStr">
        <is>
          <t>2026-10-28</t>
        </is>
      </c>
      <c r="K3" t="inlineStr">
        <is>
          <t>Confirmed</t>
        </is>
      </c>
    </row>
    <row r="4">
      <c r="A4" t="inlineStr">
        <is>
          <t>GOOGL</t>
        </is>
      </c>
      <c r="B4" t="n">
        <v>353.78</v>
      </c>
      <c r="C4" t="n">
        <v>244.15</v>
      </c>
      <c r="D4" t="n">
        <v>402.62</v>
      </c>
      <c r="E4">
        <f>ROUND((B4-C4)/(D4-C4)*100,1)</f>
        <v/>
      </c>
      <c r="F4">
        <f>ROUND((B4/D4-1)*100,1)</f>
        <v/>
      </c>
      <c r="G4" t="inlineStr">
        <is>
          <t>10-Q</t>
        </is>
      </c>
      <c r="H4" t="inlineStr">
        <is>
          <t>2026-07-23</t>
        </is>
      </c>
      <c r="I4" t="inlineStr"/>
      <c r="J4" t="inlineStr">
        <is>
          <t>2026-10-28</t>
        </is>
      </c>
      <c r="K4" t="inlineStr">
        <is>
          <t>Estimated</t>
        </is>
      </c>
    </row>
    <row r="5">
      <c r="A5" t="inlineStr">
        <is>
          <t>AMZN</t>
        </is>
      </c>
      <c r="B5" t="n">
        <v>258.58</v>
      </c>
      <c r="C5" t="n">
        <v>198.79</v>
      </c>
      <c r="D5" t="n">
        <v>284.02</v>
      </c>
      <c r="E5">
        <f>ROUND((B5-C5)/(D5-C5)*100,1)</f>
        <v/>
      </c>
      <c r="F5">
        <f>ROUND((B5/D5-1)*100,1)</f>
        <v/>
      </c>
      <c r="G5" t="inlineStr">
        <is>
          <t>8-K</t>
        </is>
      </c>
      <c r="H5" t="inlineStr">
        <is>
          <t>2026-09-14</t>
        </is>
      </c>
      <c r="I5" t="inlineStr">
        <is>
          <t>10-Q filed 2026-07-31</t>
        </is>
      </c>
      <c r="J5" t="inlineStr">
        <is>
          <t>2026-10-29</t>
        </is>
      </c>
      <c r="K5" t="inlineStr">
        <is>
          <t>Estimated</t>
        </is>
      </c>
    </row>
    <row r="6">
      <c r="A6" t="inlineStr">
        <is>
          <t>META</t>
        </is>
      </c>
      <c r="B6" t="n">
        <v>762.5</v>
      </c>
      <c r="C6" t="n">
        <v>525.72</v>
      </c>
      <c r="D6" t="n">
        <v>777.59</v>
      </c>
      <c r="E6">
        <f>ROUND((B6-C6)/(D6-C6)*100,1)</f>
        <v/>
      </c>
      <c r="F6">
        <f>ROUND((B6/D6-1)*100,1)</f>
        <v/>
      </c>
      <c r="G6" t="inlineStr">
        <is>
          <t>10-Q</t>
        </is>
      </c>
      <c r="H6" t="inlineStr">
        <is>
          <t>2026-07-30</t>
        </is>
      </c>
      <c r="I6" t="inlineStr"/>
      <c r="J6" t="inlineStr">
        <is>
          <t>2026-10-28</t>
        </is>
      </c>
      <c r="K6" t="inlineStr">
        <is>
          <t>Confirmed</t>
        </is>
      </c>
    </row>
    <row r="7">
      <c r="A7" t="inlineStr">
        <is>
          <t>NVDA</t>
        </is>
      </c>
      <c r="B7" t="n">
        <v>228.52</v>
      </c>
      <c r="C7" t="n">
        <v>165.17</v>
      </c>
      <c r="D7" t="n">
        <v>239.24</v>
      </c>
      <c r="E7">
        <f>ROUND((B7-C7)/(D7-C7)*100,1)</f>
        <v/>
      </c>
      <c r="F7">
        <f>ROUND((B7/D7-1)*100,1)</f>
        <v/>
      </c>
      <c r="G7" t="inlineStr">
        <is>
          <t>10-Q</t>
        </is>
      </c>
      <c r="H7" t="inlineStr">
        <is>
          <t>2026-08-26</t>
        </is>
      </c>
      <c r="I7" t="inlineStr"/>
      <c r="J7" t="inlineStr">
        <is>
          <t>2026-11-18</t>
        </is>
      </c>
      <c r="K7" t="inlineStr">
        <is>
          <t>Estimated</t>
        </is>
      </c>
    </row>
    <row r="8">
      <c r="A8" t="inlineStr">
        <is>
          <t>NFLX</t>
        </is>
      </c>
      <c r="B8" t="n">
        <v>70.45999999999999</v>
      </c>
      <c r="C8" t="n">
        <v>67.06</v>
      </c>
      <c r="D8" t="n">
        <v>124.14</v>
      </c>
      <c r="E8">
        <f>ROUND((B8-C8)/(D8-C8)*100,1)</f>
        <v/>
      </c>
      <c r="F8">
        <f>ROUND((B8/D8-1)*100,1)</f>
        <v/>
      </c>
      <c r="G8" t="inlineStr">
        <is>
          <t>8-K</t>
        </is>
      </c>
      <c r="H8" t="inlineStr">
        <is>
          <t>2026-07-30</t>
        </is>
      </c>
      <c r="I8" t="inlineStr">
        <is>
          <t>10-Q filed 2026-07-17</t>
        </is>
      </c>
      <c r="J8" t="inlineStr">
        <is>
          <t>2026-10-20</t>
        </is>
      </c>
      <c r="K8" t="inlineStr">
        <is>
          <t>Confirmed</t>
        </is>
      </c>
    </row>
    <row r="9">
      <c r="A9" t="inlineStr">
        <is>
          <t>AMD</t>
        </is>
      </c>
      <c r="B9" t="n">
        <v>605.53</v>
      </c>
      <c r="C9" t="n">
        <v>190.95</v>
      </c>
      <c r="D9" t="n">
        <v>649.42</v>
      </c>
      <c r="E9">
        <f>ROUND((B9-C9)/(D9-C9)*100,1)</f>
        <v/>
      </c>
      <c r="F9">
        <f>ROUND((B9/D9-1)*100,1)</f>
        <v/>
      </c>
      <c r="G9" t="inlineStr">
        <is>
          <t>8-K</t>
        </is>
      </c>
      <c r="H9" t="inlineStr">
        <is>
          <t>2026-09-28</t>
        </is>
      </c>
      <c r="I9" t="inlineStr">
        <is>
          <t>10-Q filed 2026-08-05</t>
        </is>
      </c>
      <c r="J9" t="inlineStr">
        <is>
          <t>2026-11-03</t>
        </is>
      </c>
      <c r="K9" t="inlineStr">
        <is>
          <t>Confirmed</t>
        </is>
      </c>
    </row>
    <row r="11">
      <c r="A11" t="inlineStr">
        <is>
          <t>Source: equibles.com summary pages (closing-price 52w range); filings cross-check recommended on EDGAR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90" customWidth="1" min="4" max="4"/>
  </cols>
  <sheetData>
    <row r="1">
      <c r="A1" s="1" t="inlineStr">
        <is>
          <t>Rank</t>
        </is>
      </c>
      <c r="B1" s="1" t="inlineStr">
        <is>
          <t>Catalyst</t>
        </is>
      </c>
      <c r="C1" s="1" t="inlineStr">
        <is>
          <t>Date</t>
        </is>
      </c>
      <c r="D1" s="1" t="inlineStr">
        <is>
          <t>Why it moves the group</t>
        </is>
      </c>
    </row>
    <row r="2">
      <c r="A2" t="n">
        <v>1</v>
      </c>
      <c r="B2" t="inlineStr">
        <is>
          <t>Hyperscaler earnings cluster: MSFT, META, GOOGL (+AMZN next day)</t>
        </is>
      </c>
      <c r="C2" t="inlineStr">
        <is>
          <t>2026-10-28/29</t>
        </is>
      </c>
      <c r="D2" t="inlineStr">
        <is>
          <t>2027 AI capex guides set the demand line for NVDA/AMD and test multiples of the 4 largest names</t>
        </is>
      </c>
    </row>
    <row r="3">
      <c r="A3" t="n">
        <v>2</v>
      </c>
      <c r="B3" t="inlineStr">
        <is>
          <t>FOMC decision</t>
        </is>
      </c>
      <c r="C3" t="inlineStr">
        <is>
          <t>2026-10-28</t>
        </is>
      </c>
      <c r="D3" t="inlineStr">
        <is>
          <t>10y at ~5.2%: rate path is the main multiple driver; lands hours before 3 mega-cap prints</t>
        </is>
      </c>
    </row>
    <row r="4">
      <c r="A4" t="n">
        <v>3</v>
      </c>
      <c r="B4" t="inlineStr">
        <is>
          <t>September CPI</t>
        </is>
      </c>
      <c r="C4" t="inlineStr">
        <is>
          <t>2026-10-14</t>
        </is>
      </c>
      <c r="D4" t="inlineStr">
        <is>
          <t>First inflation print in window; sets FOMC pricing and yield direction into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2026-10-14T04:07:20Z</dcterms:created>
  <dcterms:modified xmlns:dcterms="http://purl.org/dc/terms/" xmlns:xsi="http://www.w3.org/2001/XMLSchema-instance" xsi:type="dcterms:W3CDTF">2026-10-14T04:07:20Z</dcterms:modified>
</cp:coreProperties>
</file>