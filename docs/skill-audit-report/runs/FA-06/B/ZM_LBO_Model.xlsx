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Sources &amp; Uses" sheetId="2" state="visible" r:id="rId4"/>
    <sheet name="Operating Model" sheetId="3" state="visible" r:id="rId5"/>
    <sheet name="Debt Schedule" sheetId="4" state="visible" r:id="rId6"/>
    <sheet name="Retur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<sst xmlns="http://schemas.openxmlformats.org/spreadsheetml/2006/main" count="207" uniqueCount="168">
  <si>
    <t xml:space="preserve">Zoom Communications (ZM) - Take-Private LBO: Inputs</t>
  </si>
  <si>
    <t xml:space="preserve">USD millions except per-share; blue = hard-coded input, black = formula, purple = same-tab link, green = cross-tab link</t>
  </si>
  <si>
    <t xml:space="preserve">MARKET DATA</t>
  </si>
  <si>
    <t xml:space="preserve">Current share price (USD)</t>
  </si>
  <si>
    <t xml:space="preserve">stock-data get_quote, close 2026-10-15</t>
  </si>
  <si>
    <t xml:space="preserve">Price date</t>
  </si>
  <si>
    <t xml:space="preserve">2026-10-15</t>
  </si>
  <si>
    <t xml:space="preserve">Basic shares outstanding (m)</t>
  </si>
  <si>
    <t xml:space="preserve">10-Q filed 2026-08-26 cover: 263.233m Cl.A + 28.551m Cl.B as of 2026-08-14</t>
  </si>
  <si>
    <t xml:space="preserve">Dilutive securities, treasury method (m)</t>
  </si>
  <si>
    <t xml:space="preserve">Estimate: FY27Q2 weighted diluted 299.746m less basic 292.879m</t>
  </si>
  <si>
    <t xml:space="preserve">Diluted shares (m)</t>
  </si>
  <si>
    <t xml:space="preserve">Cash &amp; cash equivalents</t>
  </si>
  <si>
    <t xml:space="preserve">10-Q 2026-07-31</t>
  </si>
  <si>
    <t xml:space="preserve">Short-term marketable securities</t>
  </si>
  <si>
    <t xml:space="preserve">Existing debt</t>
  </si>
  <si>
    <t xml:space="preserve">10-Q 2026-07-31: no borrowings</t>
  </si>
  <si>
    <t xml:space="preserve">SOFR</t>
  </si>
  <si>
    <t xml:space="preserve">FRED SOFR, 2026-10-14</t>
  </si>
  <si>
    <t xml:space="preserve">High-yield OAS (ICE BofA US HY)</t>
  </si>
  <si>
    <t xml:space="preserve">FRED BAMLH0A0HYM2, 2026-10-14</t>
  </si>
  <si>
    <t xml:space="preserve">7-year US Treasury yield</t>
  </si>
  <si>
    <t xml:space="preserve">FRED DGS7, 2026-10-14</t>
  </si>
  <si>
    <t xml:space="preserve">LTM FINANCIALS (four fiscal quarters to 2026-07-31; source: SEC XBRL via stock-data get_financials)</t>
  </si>
  <si>
    <t xml:space="preserve">USD m</t>
  </si>
  <si>
    <t xml:space="preserve">FY26Q3</t>
  </si>
  <si>
    <t xml:space="preserve">FY26Q4</t>
  </si>
  <si>
    <t xml:space="preserve">FY27Q1</t>
  </si>
  <si>
    <t xml:space="preserve">FY27Q2</t>
  </si>
  <si>
    <t xml:space="preserve">LTM</t>
  </si>
  <si>
    <t xml:space="preserve">Revenue</t>
  </si>
  <si>
    <t xml:space="preserve">Operating income (GAAP)</t>
  </si>
  <si>
    <t xml:space="preserve">Depreciation &amp; amortization</t>
  </si>
  <si>
    <t xml:space="preserve">Stock-based compensation</t>
  </si>
  <si>
    <t xml:space="preserve">Capital expenditures</t>
  </si>
  <si>
    <t xml:space="preserve">EBITDA = Op. income + D&amp;A (SBC expensed)</t>
  </si>
  <si>
    <t xml:space="preserve">Adj. EBITDA incl. SBC add-back (memo)</t>
  </si>
  <si>
    <t xml:space="preserve">EBITDA margin</t>
  </si>
  <si>
    <t xml:space="preserve">TRANSACTION &amp; FINANCING ASSUMPTIONS</t>
  </si>
  <si>
    <t xml:space="preserve">Offer premium to current price</t>
  </si>
  <si>
    <t xml:space="preserve">Per user</t>
  </si>
  <si>
    <t xml:space="preserve">Minimum operating cash retained</t>
  </si>
  <si>
    <t xml:space="preserve">Default (~10% of LTM revenue)</t>
  </si>
  <si>
    <t xml:space="preserve">Transaction / advisory fees (% of EV)</t>
  </si>
  <si>
    <t xml:space="preserve">Default</t>
  </si>
  <si>
    <t xml:space="preserve">Financing fees (% of debt raised)</t>
  </si>
  <si>
    <t xml:space="preserve">Term Loan B size (x LTM EBITDA)</t>
  </si>
  <si>
    <t xml:space="preserve">Term Loan B spread over SOFR</t>
  </si>
  <si>
    <t xml:space="preserve">Default (single-B software TLB)</t>
  </si>
  <si>
    <t xml:space="preserve">Term Loan B mandatory amortization (% p.a.)</t>
  </si>
  <si>
    <t xml:space="preserve">Market standard</t>
  </si>
  <si>
    <t xml:space="preserve">Senior notes size (x LTM EBITDA)</t>
  </si>
  <si>
    <t xml:space="preserve">Excess cash sweep to Term Loan B</t>
  </si>
  <si>
    <t xml:space="preserve">Cash tax rate</t>
  </si>
  <si>
    <t xml:space="preserve">Default (21% federal + state)</t>
  </si>
  <si>
    <t xml:space="preserve">Exit multiple vs entry multiple (+/- x)</t>
  </si>
  <si>
    <t xml:space="preserve">Per user: exit at entry EV/EBITDA</t>
  </si>
  <si>
    <t xml:space="preserve">Holding period (years)</t>
  </si>
  <si>
    <t xml:space="preserve">OPERATING ASSUMPTIONS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</si>
  <si>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</si>
  <si>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</si>
  <si>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</si>
  <si>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</si>
  <si>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</si>
  <si>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 growth</t>
  </si>
  <si>
    <t xml:space="preserve">EBITDA margin (SBC expensed)</t>
  </si>
  <si>
    <t xml:space="preserve">D&amp;A (% of revenue)</t>
  </si>
  <si>
    <t xml:space="preserve">Capex (% of revenue)</t>
  </si>
  <si>
    <t xml:space="preserve">Change in NWC (% of revenue change)</t>
  </si>
  <si>
    <t xml:space="preserve">NWC: negative % = cash inflow from growth in deferred revenue (Zoom bills annual plans in advance).</t>
  </si>
  <si>
    <t xml:space="preserve">Sources &amp; Uses</t>
  </si>
  <si>
    <t xml:space="preserve">PURCHASE PRICE</t>
  </si>
  <si>
    <t xml:space="preserve">Offer premium</t>
  </si>
  <si>
    <t xml:space="preserve">Offer price per share (USD)</t>
  </si>
  <si>
    <t xml:space="preserve">Equity purchase price</t>
  </si>
  <si>
    <t xml:space="preserve">Less: cash &amp; short-term investments</t>
  </si>
  <si>
    <t xml:space="preserve">Plus: existing debt</t>
  </si>
  <si>
    <t xml:space="preserve">Entry enterprise value</t>
  </si>
  <si>
    <t xml:space="preserve">LTM EBITDA (SBC expensed)</t>
  </si>
  <si>
    <t xml:space="preserve">Entry EV / LTM EBITDA</t>
  </si>
  <si>
    <t xml:space="preserve">Entry EV / LTM Adj. EBITDA (SBC added back)</t>
  </si>
  <si>
    <t xml:space="preserve">Entry EV / LTM revenue</t>
  </si>
  <si>
    <t xml:space="preserve">SOURCES</t>
  </si>
  <si>
    <t xml:space="preserve">Source</t>
  </si>
  <si>
    <t xml:space="preserve">% of total</t>
  </si>
  <si>
    <t xml:space="preserve">x EBITDA</t>
  </si>
  <si>
    <t xml:space="preserve">Term Loan B (SOFR + spread)</t>
  </si>
  <si>
    <t xml:space="preserve">Senior unsecured notes (UST + HY OAS)</t>
  </si>
  <si>
    <t xml:space="preserve">Existing cash used (above minimum)</t>
  </si>
  <si>
    <t xml:space="preserve">Sponsor equity (plug)</t>
  </si>
  <si>
    <t xml:space="preserve">Total sources</t>
  </si>
  <si>
    <t xml:space="preserve">USES</t>
  </si>
  <si>
    <t xml:space="preserve">Use</t>
  </si>
  <si>
    <t xml:space="preserve">Purchase of diluted equity</t>
  </si>
  <si>
    <t xml:space="preserve">Refinance existing debt</t>
  </si>
  <si>
    <t xml:space="preserve">Transaction / advisory fees</t>
  </si>
  <si>
    <t xml:space="preserve">Financing fees</t>
  </si>
  <si>
    <t xml:space="preserve">Total uses</t>
  </si>
  <si>
    <t xml:space="preserve">Check: sources - uses (must be 0)</t>
  </si>
  <si>
    <t xml:space="preserve">CAPITAL STRUCTURE AT CLOSE</t>
  </si>
  <si>
    <t xml:space="preserve">Total debt raised</t>
  </si>
  <si>
    <t xml:space="preserve">Total leverage (x LTM EBITDA)</t>
  </si>
  <si>
    <t xml:space="preserve">Total leverage (x LTM Adj. EBITDA)</t>
  </si>
  <si>
    <t xml:space="preserve">Net leverage (x LTM EBITDA, after minimum cash)</t>
  </si>
  <si>
    <t xml:space="preserve">Sponsor equity % of total capitalization</t>
  </si>
  <si>
    <t xml:space="preserve">Operating Model (USD m)</t>
  </si>
  <si>
    <t xml:space="preserve">LTM Jul-26</t>
  </si>
  <si>
    <t xml:space="preserve">INCOME STATEMENT</t>
  </si>
  <si>
    <t xml:space="preserve">  growth %</t>
  </si>
  <si>
    <t xml:space="preserve">EBITDA (SBC expensed)</t>
  </si>
  <si>
    <t xml:space="preserve">  margin %</t>
  </si>
  <si>
    <t xml:space="preserve">EBIT</t>
  </si>
  <si>
    <t xml:space="preserve">Interest expense</t>
  </si>
  <si>
    <t xml:space="preserve">Pre-tax income</t>
  </si>
  <si>
    <t xml:space="preserve">Taxes</t>
  </si>
  <si>
    <t xml:space="preserve">Net income</t>
  </si>
  <si>
    <t xml:space="preserve">FREE CASH FLOW</t>
  </si>
  <si>
    <t xml:space="preserve">Plus: D&amp;A</t>
  </si>
  <si>
    <t xml:space="preserve">Less: capex</t>
  </si>
  <si>
    <t xml:space="preserve">Less: increase in NWC</t>
  </si>
  <si>
    <t xml:space="preserve">Free cash flow available for debt service</t>
  </si>
  <si>
    <t xml:space="preserve">Memo: FCF / EBITDA</t>
  </si>
  <si>
    <t xml:space="preserve">Debt Schedule (USD m) - interest on beginning balances (no circularity)</t>
  </si>
  <si>
    <t xml:space="preserve">Close</t>
  </si>
  <si>
    <t xml:space="preserve">FCF available for debt service</t>
  </si>
  <si>
    <t xml:space="preserve">CASH</t>
  </si>
  <si>
    <t xml:space="preserve">Beginning cash</t>
  </si>
  <si>
    <t xml:space="preserve">Plus: FCF</t>
  </si>
  <si>
    <t xml:space="preserve">Less: debt repayment</t>
  </si>
  <si>
    <t xml:space="preserve">Ending cash</t>
  </si>
  <si>
    <t xml:space="preserve">TERM LOAN B</t>
  </si>
  <si>
    <t xml:space="preserve">Beginning balance</t>
  </si>
  <si>
    <t xml:space="preserve">Mandatory amortization</t>
  </si>
  <si>
    <t xml:space="preserve">Optional repayment (cash sweep)</t>
  </si>
  <si>
    <t xml:space="preserve">Ending balance</t>
  </si>
  <si>
    <t xml:space="preserve">Interest rate (SOFR + spread)</t>
  </si>
  <si>
    <t xml:space="preserve">SENIOR UNSECURED NOTES (bullet)</t>
  </si>
  <si>
    <t xml:space="preserve">Coupon (7Y UST + HY OAS)</t>
  </si>
  <si>
    <t xml:space="preserve">SUMMARY</t>
  </si>
  <si>
    <t xml:space="preserve">Total debt (ending)</t>
  </si>
  <si>
    <t xml:space="preserve">Total interest expense</t>
  </si>
  <si>
    <t xml:space="preserve">Total debt / EBITDA</t>
  </si>
  <si>
    <t xml:space="preserve">Net debt / EBITDA</t>
  </si>
  <si>
    <t xml:space="preserve">EBITDA / interest</t>
  </si>
  <si>
    <t xml:space="preserve">Cumulative Term Loan B repaid (%)</t>
  </si>
  <si>
    <t xml:space="preserve">Returns Analysis</t>
  </si>
  <si>
    <t xml:space="preserve">EXIT (END OF YEAR 5)</t>
  </si>
  <si>
    <t xml:space="preserve">Year 5 EBITDA</t>
  </si>
  <si>
    <t xml:space="preserve">Exit EV / EBITDA (= entry multiple + adj.)</t>
  </si>
  <si>
    <t xml:space="preserve">Exit enterprise value</t>
  </si>
  <si>
    <t xml:space="preserve">Less: debt at exit</t>
  </si>
  <si>
    <t xml:space="preserve">Plus: cash at exit</t>
  </si>
  <si>
    <t xml:space="preserve">Exit equity value</t>
  </si>
  <si>
    <t xml:space="preserve">Sponsor equity invested</t>
  </si>
  <si>
    <t xml:space="preserve">MOIC</t>
  </si>
  <si>
    <t xml:space="preserve">IRR</t>
  </si>
  <si>
    <t xml:space="preserve">Sponsor cash flows</t>
  </si>
  <si>
    <t xml:space="preserve">Year 0</t>
  </si>
  <si>
    <t xml:space="preserve">Period</t>
  </si>
  <si>
    <t xml:space="preserve">Cash flow to / (from) sponsor</t>
  </si>
  <si>
    <t xml:space="preserve">SENSITIVITY: IRR</t>
  </si>
  <si>
    <t xml:space="preserve">Rows: offer premium to current price; columns: exit EV/EBITDA. Center = base case.</t>
  </si>
  <si>
    <t xml:space="preserve">Premium \ Exit multiple</t>
  </si>
  <si>
    <t xml:space="preserve">Sponsor equity</t>
  </si>
  <si>
    <t xml:space="preserve">Entry EV/EBITDA</t>
  </si>
  <si>
    <t xml:space="preserve">SENSITIVITY: MOIC</t>
  </si>
  <si>
    <t xml:space="preserve">Check: center IRR - model IRR</t>
  </si>
  <si>
    <t xml:space="preserve">Check: center MOIC - model MOIC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</si>
</sst>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"/>
    <numFmt numFmtId="166" formatCode="#,##0.000"/>
    <numFmt numFmtId="167" formatCode="#,##0.0;\(#,##0.0\);\-"/>
    <numFmt numFmtId="168" formatCode="0.00%"/>
    <numFmt numFmtId="169" formatCode="0.0%"/>
    <numFmt numFmtId="170" formatCode="0.0\x"/>
    <numFmt numFmtId="171" formatCode="0"/>
    <numFmt numFmtId="172" formatCode="0.00\x"/>
    <numFmt numFmtId="173" formatCode="0.0000%"/>
    <numFmt numFmtId="174" formatCode="0.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800080"/>
      <name val="Cambria"/>
      <family val="0"/>
      <charset val="1"/>
    </font>
    <font>
      <b val="true"/>
      <sz val="11"/>
      <color rgb="FF008000"/>
      <name val="Cambria"/>
      <family val="0"/>
      <charset val="1"/>
    </font>
    <font>
      <b val="true"/>
      <sz val="11"/>
      <color rgb="FF80008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BDD7EE"/>
      </patternFill>
    </fill>
    <fill>
      <patternFill patternType="solid">
        <fgColor rgb="FFBDD7EE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4" t="s">
        <v>3</v>
      </c>
      <c r="B4" s="5" t="n">
        <v>98.51</v>
      </c>
      <c r="C4" s="2" t="s">
        <v>4</v>
      </c>
    </row>
    <row r="5" customFormat="false" ht="15" hidden="false" customHeight="false" outlineLevel="0" collapsed="false">
      <c r="A5" s="4" t="s">
        <v>5</v>
      </c>
      <c r="B5" s="6" t="s">
        <v>6</v>
      </c>
      <c r="C5" s="2"/>
    </row>
    <row r="6" customFormat="false" ht="15" hidden="false" customHeight="false" outlineLevel="0" collapsed="false">
      <c r="A6" s="4" t="s">
        <v>7</v>
      </c>
      <c r="B6" s="7" t="n">
        <v>291.783711</v>
      </c>
      <c r="C6" s="2" t="s">
        <v>8</v>
      </c>
    </row>
    <row r="7" customFormat="false" ht="15" hidden="false" customHeight="false" outlineLevel="0" collapsed="false">
      <c r="A7" s="4" t="s">
        <v>9</v>
      </c>
      <c r="B7" s="7" t="n">
        <v>6.867</v>
      </c>
      <c r="C7" s="2" t="s">
        <v>10</v>
      </c>
    </row>
    <row r="8" customFormat="false" ht="15" hidden="false" customHeight="false" outlineLevel="0" collapsed="false">
      <c r="A8" s="4" t="s">
        <v>11</v>
      </c>
      <c r="B8" s="8" t="n">
        <f aca="false">B6+B7</f>
        <v>298.650711</v>
      </c>
      <c r="C8" s="2"/>
    </row>
    <row r="9" customFormat="false" ht="15" hidden="false" customHeight="false" outlineLevel="0" collapsed="false">
      <c r="A9" s="4" t="s">
        <v>12</v>
      </c>
      <c r="B9" s="9" t="n">
        <v>931.99</v>
      </c>
      <c r="C9" s="2" t="s">
        <v>13</v>
      </c>
    </row>
    <row r="10" customFormat="false" ht="15" hidden="false" customHeight="false" outlineLevel="0" collapsed="false">
      <c r="A10" s="4" t="s">
        <v>14</v>
      </c>
      <c r="B10" s="9" t="n">
        <v>6317.73</v>
      </c>
      <c r="C10" s="2" t="s">
        <v>13</v>
      </c>
    </row>
    <row r="11" customFormat="false" ht="15" hidden="false" customHeight="false" outlineLevel="0" collapsed="false">
      <c r="A11" s="4" t="s">
        <v>15</v>
      </c>
      <c r="B11" s="9" t="n">
        <v>0</v>
      </c>
      <c r="C11" s="2" t="s">
        <v>16</v>
      </c>
    </row>
    <row r="12" customFormat="false" ht="15" hidden="false" customHeight="false" outlineLevel="0" collapsed="false">
      <c r="A12" s="4" t="s">
        <v>17</v>
      </c>
      <c r="B12" s="10" t="n">
        <v>0.0388</v>
      </c>
      <c r="C12" s="2" t="s">
        <v>18</v>
      </c>
    </row>
    <row r="13" customFormat="false" ht="15" hidden="false" customHeight="false" outlineLevel="0" collapsed="false">
      <c r="A13" s="4" t="s">
        <v>19</v>
      </c>
      <c r="B13" s="10" t="n">
        <v>0.0325</v>
      </c>
      <c r="C13" s="2" t="s">
        <v>20</v>
      </c>
    </row>
    <row r="14" customFormat="false" ht="15" hidden="false" customHeight="false" outlineLevel="0" collapsed="false">
      <c r="A14" s="4" t="s">
        <v>21</v>
      </c>
      <c r="B14" s="10" t="n">
        <v>0.0509</v>
      </c>
      <c r="C14" s="2" t="s">
        <v>22</v>
      </c>
    </row>
    <row r="16" customFormat="false" ht="15" hidden="false" customHeight="false" outlineLevel="0" collapsed="false">
      <c r="A16" s="3" t="s">
        <v>23</v>
      </c>
      <c r="B16" s="3"/>
      <c r="C16" s="3"/>
      <c r="D16" s="3"/>
      <c r="E16" s="3"/>
      <c r="F16" s="3"/>
      <c r="G16" s="3"/>
    </row>
    <row r="17" customFormat="false" ht="15" hidden="false" customHeight="false" outlineLevel="0" collapsed="false">
      <c r="A17" s="11" t="s">
        <v>24</v>
      </c>
      <c r="B17" s="12" t="s">
        <v>25</v>
      </c>
      <c r="C17" s="12" t="s">
        <v>26</v>
      </c>
      <c r="D17" s="12" t="s">
        <v>27</v>
      </c>
      <c r="E17" s="12" t="s">
        <v>28</v>
      </c>
      <c r="F17" s="12" t="s">
        <v>29</v>
      </c>
    </row>
    <row r="18" customFormat="false" ht="15" hidden="false" customHeight="false" outlineLevel="0" collapsed="false">
      <c r="A18" s="4" t="s">
        <v>30</v>
      </c>
      <c r="B18" s="9" t="n">
        <v>1229.84</v>
      </c>
      <c r="C18" s="9" t="n">
        <v>1246.99</v>
      </c>
      <c r="D18" s="9" t="n">
        <v>1239.01</v>
      </c>
      <c r="E18" s="9" t="n">
        <v>1277.22</v>
      </c>
      <c r="F18" s="13" t="n">
        <f aca="false">SUM(B18:E18)</f>
        <v>4993.06</v>
      </c>
    </row>
    <row r="19" customFormat="false" ht="15" hidden="false" customHeight="false" outlineLevel="0" collapsed="false">
      <c r="A19" s="4" t="s">
        <v>31</v>
      </c>
      <c r="B19" s="9" t="n">
        <v>310.41</v>
      </c>
      <c r="C19" s="9" t="n">
        <v>249.89</v>
      </c>
      <c r="D19" s="9" t="n">
        <v>310.47</v>
      </c>
      <c r="E19" s="9" t="n">
        <v>314.32</v>
      </c>
      <c r="F19" s="13" t="n">
        <f aca="false">SUM(B19:E19)</f>
        <v>1185.09</v>
      </c>
    </row>
    <row r="20" customFormat="false" ht="15" hidden="false" customHeight="false" outlineLevel="0" collapsed="false">
      <c r="A20" s="4" t="s">
        <v>32</v>
      </c>
      <c r="B20" s="9" t="n">
        <v>32.39</v>
      </c>
      <c r="C20" s="9" t="n">
        <v>32.96</v>
      </c>
      <c r="D20" s="9" t="n">
        <v>32.78</v>
      </c>
      <c r="E20" s="9" t="n">
        <v>32.33</v>
      </c>
      <c r="F20" s="13" t="n">
        <f aca="false">SUM(B20:E20)</f>
        <v>130.46</v>
      </c>
    </row>
    <row r="21" customFormat="false" ht="15" hidden="false" customHeight="false" outlineLevel="0" collapsed="false">
      <c r="A21" s="4" t="s">
        <v>33</v>
      </c>
      <c r="B21" s="9" t="n">
        <v>185.28</v>
      </c>
      <c r="C21" s="9" t="n">
        <v>185.23</v>
      </c>
      <c r="D21" s="9" t="n">
        <v>178.95</v>
      </c>
      <c r="E21" s="9" t="n">
        <v>179.78</v>
      </c>
      <c r="F21" s="13" t="n">
        <f aca="false">SUM(B21:E21)</f>
        <v>729.24</v>
      </c>
    </row>
    <row r="22" customFormat="false" ht="15" hidden="false" customHeight="false" outlineLevel="0" collapsed="false">
      <c r="A22" s="4" t="s">
        <v>34</v>
      </c>
      <c r="B22" s="9" t="n">
        <v>15.01</v>
      </c>
      <c r="C22" s="9" t="n">
        <v>16.08</v>
      </c>
      <c r="D22" s="9" t="n">
        <v>21.11</v>
      </c>
      <c r="E22" s="9" t="n">
        <v>22.35</v>
      </c>
      <c r="F22" s="13" t="n">
        <f aca="false">SUM(B22:E22)</f>
        <v>74.55</v>
      </c>
    </row>
    <row r="23" customFormat="false" ht="15" hidden="false" customHeight="false" outlineLevel="0" collapsed="false">
      <c r="A23" s="14" t="s">
        <v>35</v>
      </c>
      <c r="B23" s="15" t="n">
        <f aca="false">B19+B20</f>
        <v>342.8</v>
      </c>
      <c r="C23" s="15" t="n">
        <f aca="false">C19+C20</f>
        <v>282.85</v>
      </c>
      <c r="D23" s="15" t="n">
        <f aca="false">D19+D20</f>
        <v>343.25</v>
      </c>
      <c r="E23" s="15" t="n">
        <f aca="false">E19+E20</f>
        <v>346.65</v>
      </c>
      <c r="F23" s="16" t="n">
        <f aca="false">F19+F20</f>
        <v>1315.55</v>
      </c>
    </row>
    <row r="24" customFormat="false" ht="15" hidden="false" customHeight="false" outlineLevel="0" collapsed="false">
      <c r="A24" s="4" t="s">
        <v>36</v>
      </c>
      <c r="B24" s="13" t="n">
        <f aca="false">B23+B21</f>
        <v>528.08</v>
      </c>
      <c r="C24" s="13" t="n">
        <f aca="false">C23+C21</f>
        <v>468.08</v>
      </c>
      <c r="D24" s="13" t="n">
        <f aca="false">D23+D21</f>
        <v>522.2</v>
      </c>
      <c r="E24" s="13" t="n">
        <f aca="false">E23+E21</f>
        <v>526.43</v>
      </c>
      <c r="F24" s="13" t="n">
        <f aca="false">F23+F21</f>
        <v>2044.79</v>
      </c>
    </row>
    <row r="25" customFormat="false" ht="15" hidden="false" customHeight="false" outlineLevel="0" collapsed="false">
      <c r="A25" s="4" t="s">
        <v>37</v>
      </c>
      <c r="B25" s="17" t="n">
        <f aca="false">B23/B18</f>
        <v>0.278735445261172</v>
      </c>
      <c r="C25" s="17" t="n">
        <f aca="false">C23/C18</f>
        <v>0.22682619748354</v>
      </c>
      <c r="D25" s="17" t="n">
        <f aca="false">D23/D18</f>
        <v>0.277035697855546</v>
      </c>
      <c r="E25" s="17" t="n">
        <f aca="false">E23/E18</f>
        <v>0.271409780617278</v>
      </c>
      <c r="F25" s="17" t="n">
        <f aca="false">F23/F18</f>
        <v>0.263475704277537</v>
      </c>
    </row>
    <row r="27" customFormat="false" ht="15" hidden="false" customHeight="false" outlineLevel="0" collapsed="false">
      <c r="A27" s="3" t="s">
        <v>38</v>
      </c>
      <c r="B27" s="3"/>
      <c r="C27" s="3"/>
      <c r="D27" s="3"/>
      <c r="E27" s="3"/>
      <c r="F27" s="3"/>
      <c r="G27" s="3"/>
    </row>
    <row r="28" customFormat="false" ht="15" hidden="false" customHeight="false" outlineLevel="0" collapsed="false">
      <c r="A28" s="4" t="s">
        <v>39</v>
      </c>
      <c r="B28" s="18" t="n">
        <v>0.3</v>
      </c>
      <c r="C28" s="2" t="s">
        <v>40</v>
      </c>
    </row>
    <row r="29" customFormat="false" ht="15" hidden="false" customHeight="false" outlineLevel="0" collapsed="false">
      <c r="A29" s="4" t="s">
        <v>41</v>
      </c>
      <c r="B29" s="9" t="n">
        <v>500</v>
      </c>
      <c r="C29" s="2" t="s">
        <v>42</v>
      </c>
    </row>
    <row r="30" customFormat="false" ht="15" hidden="false" customHeight="false" outlineLevel="0" collapsed="false">
      <c r="A30" s="4" t="s">
        <v>43</v>
      </c>
      <c r="B30" s="18" t="n">
        <v>0.02</v>
      </c>
      <c r="C30" s="2" t="s">
        <v>44</v>
      </c>
    </row>
    <row r="31" customFormat="false" ht="15" hidden="false" customHeight="false" outlineLevel="0" collapsed="false">
      <c r="A31" s="4" t="s">
        <v>45</v>
      </c>
      <c r="B31" s="18" t="n">
        <v>0.025</v>
      </c>
      <c r="C31" s="2" t="s">
        <v>44</v>
      </c>
    </row>
    <row r="32" customFormat="false" ht="15" hidden="false" customHeight="false" outlineLevel="0" collapsed="false">
      <c r="A32" s="4" t="s">
        <v>46</v>
      </c>
      <c r="B32" s="19" t="n">
        <v>4</v>
      </c>
      <c r="C32" s="2" t="s">
        <v>44</v>
      </c>
    </row>
    <row r="33" customFormat="false" ht="15" hidden="false" customHeight="false" outlineLevel="0" collapsed="false">
      <c r="A33" s="4" t="s">
        <v>47</v>
      </c>
      <c r="B33" s="10" t="n">
        <v>0.0325</v>
      </c>
      <c r="C33" s="2" t="s">
        <v>48</v>
      </c>
    </row>
    <row r="34" customFormat="false" ht="15" hidden="false" customHeight="false" outlineLevel="0" collapsed="false">
      <c r="A34" s="4" t="s">
        <v>49</v>
      </c>
      <c r="B34" s="18" t="n">
        <v>0.01</v>
      </c>
      <c r="C34" s="2" t="s">
        <v>50</v>
      </c>
    </row>
    <row r="35" customFormat="false" ht="15" hidden="false" customHeight="false" outlineLevel="0" collapsed="false">
      <c r="A35" s="4" t="s">
        <v>51</v>
      </c>
      <c r="B35" s="19" t="n">
        <v>2</v>
      </c>
      <c r="C35" s="2" t="s">
        <v>44</v>
      </c>
    </row>
    <row r="36" customFormat="false" ht="15" hidden="false" customHeight="false" outlineLevel="0" collapsed="false">
      <c r="A36" s="4" t="s">
        <v>52</v>
      </c>
      <c r="B36" s="18" t="n">
        <v>1</v>
      </c>
      <c r="C36" s="2" t="s">
        <v>44</v>
      </c>
    </row>
    <row r="37" customFormat="false" ht="15" hidden="false" customHeight="false" outlineLevel="0" collapsed="false">
      <c r="A37" s="4" t="s">
        <v>53</v>
      </c>
      <c r="B37" s="18" t="n">
        <v>0.23</v>
      </c>
      <c r="C37" s="2" t="s">
        <v>54</v>
      </c>
    </row>
    <row r="38" customFormat="false" ht="15" hidden="false" customHeight="false" outlineLevel="0" collapsed="false">
      <c r="A38" s="4" t="s">
        <v>55</v>
      </c>
      <c r="B38" s="19" t="n">
        <v>0</v>
      </c>
      <c r="C38" s="2" t="s">
        <v>56</v>
      </c>
    </row>
    <row r="39" customFormat="false" ht="15" hidden="false" customHeight="false" outlineLevel="0" collapsed="false">
      <c r="A39" s="4" t="s">
        <v>57</v>
      </c>
      <c r="B39" s="20" t="n">
        <v>5</v>
      </c>
      <c r="C39" s="2" t="s">
        <v>40</v>
      </c>
    </row>
    <row r="41" customFormat="false" ht="15" hidden="false" customHeight="false" outlineLevel="0" collapsed="false">
      <c r="A41" s="3" t="s">
        <v>58</v>
      </c>
      <c r="B41" s="3"/>
      <c r="C41" s="3"/>
      <c r="D41" s="3"/>
      <c r="E41" s="3"/>
      <c r="F41" s="3"/>
      <c r="G41" s="3"/>
    </row>
    <row r="42" customFormat="false" ht="15" hidden="false" customHeight="false" outlineLevel="0" collapsed="false">
      <c r="A42" s="11"/>
      <c r="B42" s="12" t="s">
        <v>59</v>
      </c>
      <c r="C42" s="12" t="s">
        <v>60</v>
      </c>
      <c r="D42" s="12" t="s">
        <v>61</v>
      </c>
      <c r="E42" s="12" t="s">
        <v>62</v>
      </c>
      <c r="F42" s="12" t="s">
        <v>63</v>
      </c>
    </row>
    <row r="43" customFormat="false" ht="15" hidden="false" customHeight="false" outlineLevel="0" collapsed="false">
      <c r="A43" s="4" t="s">
        <v>64</v>
      </c>
      <c r="B43" s="18" t="n">
        <v>0.045</v>
      </c>
      <c r="C43" s="18" t="n">
        <v>0.045</v>
      </c>
      <c r="D43" s="18" t="n">
        <v>0.04</v>
      </c>
      <c r="E43" s="18" t="n">
        <v>0.04</v>
      </c>
      <c r="F43" s="18" t="n">
        <v>0.035</v>
      </c>
    </row>
    <row r="44" customFormat="false" ht="15" hidden="false" customHeight="false" outlineLevel="0" collapsed="false">
      <c r="A44" s="4" t="s">
        <v>65</v>
      </c>
      <c r="B44" s="18" t="n">
        <v>0.265</v>
      </c>
      <c r="C44" s="18" t="n">
        <v>0.27</v>
      </c>
      <c r="D44" s="18" t="n">
        <v>0.275</v>
      </c>
      <c r="E44" s="18" t="n">
        <v>0.28</v>
      </c>
      <c r="F44" s="18" t="n">
        <v>0.285</v>
      </c>
    </row>
    <row r="45" customFormat="false" ht="15" hidden="false" customHeight="false" outlineLevel="0" collapsed="false">
      <c r="A45" s="4" t="s">
        <v>66</v>
      </c>
      <c r="B45" s="18" t="n">
        <v>0.026</v>
      </c>
      <c r="C45" s="18" t="n">
        <v>0.026</v>
      </c>
      <c r="D45" s="18" t="n">
        <v>0.026</v>
      </c>
      <c r="E45" s="18" t="n">
        <v>0.026</v>
      </c>
      <c r="F45" s="18" t="n">
        <v>0.026</v>
      </c>
    </row>
    <row r="46" customFormat="false" ht="15" hidden="false" customHeight="false" outlineLevel="0" collapsed="false">
      <c r="A46" s="4" t="s">
        <v>67</v>
      </c>
      <c r="B46" s="18" t="n">
        <v>0.015</v>
      </c>
      <c r="C46" s="18" t="n">
        <v>0.015</v>
      </c>
      <c r="D46" s="18" t="n">
        <v>0.015</v>
      </c>
      <c r="E46" s="18" t="n">
        <v>0.015</v>
      </c>
      <c r="F46" s="18" t="n">
        <v>0.015</v>
      </c>
    </row>
    <row r="47" customFormat="false" ht="15" hidden="false" customHeight="false" outlineLevel="0" collapsed="false">
      <c r="A47" s="4" t="s">
        <v>68</v>
      </c>
      <c r="B47" s="18" t="n">
        <v>-0.1</v>
      </c>
      <c r="C47" s="18" t="n">
        <v>-0.1</v>
      </c>
      <c r="D47" s="18" t="n">
        <v>-0.1</v>
      </c>
      <c r="E47" s="18" t="n">
        <v>-0.1</v>
      </c>
      <c r="F47" s="18" t="n">
        <v>-0.1</v>
      </c>
    </row>
    <row r="48" customFormat="false" ht="15" hidden="false" customHeight="false" outlineLevel="0" collapsed="false">
      <c r="A48" s="2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70</v>
      </c>
    </row>
    <row r="3" customFormat="false" ht="15" hidden="false" customHeight="false" outlineLevel="0" collapsed="false">
      <c r="A3" s="3" t="s">
        <v>71</v>
      </c>
      <c r="B3" s="3"/>
      <c r="C3" s="3"/>
      <c r="D3" s="3"/>
    </row>
    <row r="4" customFormat="false" ht="15" hidden="false" customHeight="false" outlineLevel="0" collapsed="false">
      <c r="A4" s="4" t="s">
        <v>3</v>
      </c>
      <c r="B4" s="21" t="n">
        <f aca="false">Inputs!B4</f>
        <v>98.51</v>
      </c>
    </row>
    <row r="5" customFormat="false" ht="15" hidden="false" customHeight="false" outlineLevel="0" collapsed="false">
      <c r="A5" s="4" t="s">
        <v>72</v>
      </c>
      <c r="B5" s="22" t="n">
        <f aca="false">Inputs!B28</f>
        <v>0.3</v>
      </c>
    </row>
    <row r="6" customFormat="false" ht="15" hidden="false" customHeight="false" outlineLevel="0" collapsed="false">
      <c r="A6" s="14" t="s">
        <v>73</v>
      </c>
      <c r="B6" s="23" t="n">
        <f aca="false">B4*(1+B5)</f>
        <v>128.063</v>
      </c>
    </row>
    <row r="7" customFormat="false" ht="15" hidden="false" customHeight="false" outlineLevel="0" collapsed="false">
      <c r="A7" s="4" t="s">
        <v>11</v>
      </c>
      <c r="B7" s="24" t="n">
        <f aca="false">Inputs!B8</f>
        <v>298.650711</v>
      </c>
    </row>
    <row r="8" customFormat="false" ht="15" hidden="false" customHeight="false" outlineLevel="0" collapsed="false">
      <c r="A8" s="14" t="s">
        <v>74</v>
      </c>
      <c r="B8" s="15" t="n">
        <f aca="false">B6*B7</f>
        <v>38246.106002793</v>
      </c>
    </row>
    <row r="9" customFormat="false" ht="15" hidden="false" customHeight="false" outlineLevel="0" collapsed="false">
      <c r="A9" s="4" t="s">
        <v>75</v>
      </c>
      <c r="B9" s="13" t="n">
        <f aca="false">-(Inputs!B9+Inputs!B10)</f>
        <v>-7249.72</v>
      </c>
    </row>
    <row r="10" customFormat="false" ht="15" hidden="false" customHeight="false" outlineLevel="0" collapsed="false">
      <c r="A10" s="4" t="s">
        <v>76</v>
      </c>
      <c r="B10" s="25" t="n">
        <f aca="false">Inputs!B11</f>
        <v>0</v>
      </c>
    </row>
    <row r="11" customFormat="false" ht="15" hidden="false" customHeight="false" outlineLevel="0" collapsed="false">
      <c r="A11" s="14" t="s">
        <v>77</v>
      </c>
      <c r="B11" s="16" t="n">
        <f aca="false">B8+B9+B10</f>
        <v>30996.386002793</v>
      </c>
    </row>
    <row r="12" customFormat="false" ht="15" hidden="false" customHeight="false" outlineLevel="0" collapsed="false">
      <c r="A12" s="4" t="s">
        <v>78</v>
      </c>
      <c r="B12" s="25" t="n">
        <f aca="false">Inputs!F23</f>
        <v>1315.55</v>
      </c>
    </row>
    <row r="13" customFormat="false" ht="15" hidden="false" customHeight="false" outlineLevel="0" collapsed="false">
      <c r="A13" s="14" t="s">
        <v>79</v>
      </c>
      <c r="B13" s="26" t="n">
        <f aca="false">B11/B12</f>
        <v>23.5615415626871</v>
      </c>
    </row>
    <row r="14" customFormat="false" ht="15" hidden="false" customHeight="false" outlineLevel="0" collapsed="false">
      <c r="A14" s="4" t="s">
        <v>80</v>
      </c>
      <c r="B14" s="27" t="n">
        <f aca="false">B11/Inputs!F24</f>
        <v>15.1587136100984</v>
      </c>
    </row>
    <row r="15" customFormat="false" ht="15" hidden="false" customHeight="false" outlineLevel="0" collapsed="false">
      <c r="A15" s="4" t="s">
        <v>81</v>
      </c>
      <c r="B15" s="27" t="n">
        <f aca="false">B11/Inputs!F18</f>
        <v>6.20789375709345</v>
      </c>
    </row>
    <row r="17" customFormat="false" ht="15" hidden="false" customHeight="false" outlineLevel="0" collapsed="false">
      <c r="A17" s="3" t="s">
        <v>82</v>
      </c>
      <c r="B17" s="3"/>
      <c r="C17" s="3"/>
      <c r="D17" s="3"/>
    </row>
    <row r="18" customFormat="false" ht="15" hidden="false" customHeight="false" outlineLevel="0" collapsed="false">
      <c r="A18" s="11" t="s">
        <v>83</v>
      </c>
      <c r="B18" s="12" t="s">
        <v>24</v>
      </c>
      <c r="C18" s="12" t="s">
        <v>84</v>
      </c>
      <c r="D18" s="12" t="s">
        <v>85</v>
      </c>
    </row>
    <row r="19" customFormat="false" ht="15" hidden="false" customHeight="false" outlineLevel="0" collapsed="false">
      <c r="A19" s="4" t="s">
        <v>86</v>
      </c>
      <c r="B19" s="13" t="n">
        <f aca="false">Inputs!B32*B12</f>
        <v>5262.2</v>
      </c>
      <c r="C19" s="17" t="n">
        <f aca="false">B19/$B$23</f>
        <v>0.134709332779469</v>
      </c>
      <c r="D19" s="27" t="n">
        <f aca="false">B19/$B$12</f>
        <v>4</v>
      </c>
    </row>
    <row r="20" customFormat="false" ht="15" hidden="false" customHeight="false" outlineLevel="0" collapsed="false">
      <c r="A20" s="4" t="s">
        <v>87</v>
      </c>
      <c r="B20" s="13" t="n">
        <f aca="false">Inputs!B35*B12</f>
        <v>2631.1</v>
      </c>
      <c r="C20" s="17" t="n">
        <f aca="false">B20/$B$23</f>
        <v>0.0673546663897343</v>
      </c>
      <c r="D20" s="27" t="n">
        <f aca="false">B20/$B$12</f>
        <v>2</v>
      </c>
    </row>
    <row r="21" customFormat="false" ht="15" hidden="false" customHeight="false" outlineLevel="0" collapsed="false">
      <c r="A21" s="4" t="s">
        <v>88</v>
      </c>
      <c r="B21" s="13" t="n">
        <f aca="false">Inputs!B9+Inputs!B10-Inputs!B29</f>
        <v>6749.72</v>
      </c>
      <c r="C21" s="17" t="n">
        <f aca="false">B21/$B$23</f>
        <v>0.172789000351229</v>
      </c>
      <c r="D21" s="27" t="n">
        <f aca="false">B21/$B$12</f>
        <v>5.1307209912204</v>
      </c>
    </row>
    <row r="22" customFormat="false" ht="15" hidden="false" customHeight="false" outlineLevel="0" collapsed="false">
      <c r="A22" s="14" t="s">
        <v>89</v>
      </c>
      <c r="B22" s="16" t="n">
        <f aca="false">B31-B19-B20-B21</f>
        <v>24420.3462228489</v>
      </c>
      <c r="C22" s="17" t="n">
        <f aca="false">B22/$B$23</f>
        <v>0.625147000479569</v>
      </c>
      <c r="D22" s="27" t="n">
        <f aca="false">B22/$B$12</f>
        <v>18.5628415665302</v>
      </c>
    </row>
    <row r="23" customFormat="false" ht="15" hidden="false" customHeight="false" outlineLevel="0" collapsed="false">
      <c r="A23" s="14" t="s">
        <v>90</v>
      </c>
      <c r="B23" s="15" t="n">
        <f aca="false">SUM(B19:B22)</f>
        <v>39063.3662228489</v>
      </c>
      <c r="C23" s="17" t="n">
        <f aca="false">B23/$B$23</f>
        <v>1</v>
      </c>
      <c r="D23" s="27" t="n">
        <f aca="false">B23/$B$12</f>
        <v>29.6935625577506</v>
      </c>
    </row>
    <row r="25" customFormat="false" ht="15" hidden="false" customHeight="false" outlineLevel="0" collapsed="false">
      <c r="A25" s="3" t="s">
        <v>91</v>
      </c>
      <c r="B25" s="3"/>
      <c r="C25" s="3"/>
      <c r="D25" s="3"/>
    </row>
    <row r="26" customFormat="false" ht="15" hidden="false" customHeight="false" outlineLevel="0" collapsed="false">
      <c r="A26" s="11" t="s">
        <v>92</v>
      </c>
      <c r="B26" s="12" t="s">
        <v>24</v>
      </c>
      <c r="C26" s="12" t="s">
        <v>84</v>
      </c>
      <c r="D26" s="12"/>
    </row>
    <row r="27" customFormat="false" ht="15" hidden="false" customHeight="false" outlineLevel="0" collapsed="false">
      <c r="A27" s="4" t="s">
        <v>93</v>
      </c>
      <c r="B27" s="28" t="n">
        <f aca="false">B8</f>
        <v>38246.106002793</v>
      </c>
      <c r="C27" s="17" t="n">
        <f aca="false">B27/$B$31</f>
        <v>0.979078602304944</v>
      </c>
    </row>
    <row r="28" customFormat="false" ht="15" hidden="false" customHeight="false" outlineLevel="0" collapsed="false">
      <c r="A28" s="4" t="s">
        <v>94</v>
      </c>
      <c r="B28" s="28" t="n">
        <f aca="false">B10</f>
        <v>0</v>
      </c>
      <c r="C28" s="17" t="n">
        <f aca="false">B28/$B$31</f>
        <v>0</v>
      </c>
    </row>
    <row r="29" customFormat="false" ht="15" hidden="false" customHeight="false" outlineLevel="0" collapsed="false">
      <c r="A29" s="4" t="s">
        <v>95</v>
      </c>
      <c r="B29" s="13" t="n">
        <f aca="false">Inputs!B30*B11</f>
        <v>619.92772005586</v>
      </c>
      <c r="C29" s="17" t="n">
        <f aca="false">B29/$B$31</f>
        <v>0.0158697977158265</v>
      </c>
    </row>
    <row r="30" customFormat="false" ht="15" hidden="false" customHeight="false" outlineLevel="0" collapsed="false">
      <c r="A30" s="4" t="s">
        <v>96</v>
      </c>
      <c r="B30" s="13" t="n">
        <f aca="false">Inputs!B31*(B19+B20)</f>
        <v>197.3325</v>
      </c>
      <c r="C30" s="17" t="n">
        <f aca="false">B30/$B$31</f>
        <v>0.00505159997923007</v>
      </c>
    </row>
    <row r="31" customFormat="false" ht="15" hidden="false" customHeight="false" outlineLevel="0" collapsed="false">
      <c r="A31" s="14" t="s">
        <v>97</v>
      </c>
      <c r="B31" s="15" t="n">
        <f aca="false">SUM(B27:B30)</f>
        <v>39063.3662228489</v>
      </c>
      <c r="C31" s="17" t="n">
        <f aca="false">B31/$B$31</f>
        <v>1</v>
      </c>
    </row>
    <row r="32" customFormat="false" ht="15" hidden="false" customHeight="false" outlineLevel="0" collapsed="false">
      <c r="A32" s="4" t="s">
        <v>98</v>
      </c>
      <c r="B32" s="13" t="n">
        <f aca="false">ROUND(B23-B31,6)</f>
        <v>0</v>
      </c>
    </row>
    <row r="34" customFormat="false" ht="15" hidden="false" customHeight="false" outlineLevel="0" collapsed="false">
      <c r="A34" s="3" t="s">
        <v>99</v>
      </c>
      <c r="B34" s="3"/>
      <c r="C34" s="3"/>
      <c r="D34" s="3"/>
    </row>
    <row r="35" customFormat="false" ht="15" hidden="false" customHeight="false" outlineLevel="0" collapsed="false">
      <c r="A35" s="4" t="s">
        <v>100</v>
      </c>
      <c r="B35" s="15" t="n">
        <f aca="false">B19+B20</f>
        <v>7893.3</v>
      </c>
    </row>
    <row r="36" customFormat="false" ht="15" hidden="false" customHeight="false" outlineLevel="0" collapsed="false">
      <c r="A36" s="4" t="s">
        <v>101</v>
      </c>
      <c r="B36" s="27" t="n">
        <f aca="false">B35/B12</f>
        <v>6</v>
      </c>
    </row>
    <row r="37" customFormat="false" ht="15" hidden="false" customHeight="false" outlineLevel="0" collapsed="false">
      <c r="A37" s="4" t="s">
        <v>102</v>
      </c>
      <c r="B37" s="27" t="n">
        <f aca="false">B35/Inputs!F24</f>
        <v>3.86020080301645</v>
      </c>
    </row>
    <row r="38" customFormat="false" ht="15" hidden="false" customHeight="false" outlineLevel="0" collapsed="false">
      <c r="A38" s="4" t="s">
        <v>103</v>
      </c>
      <c r="B38" s="27" t="n">
        <f aca="false">(B35-Inputs!B29)/B12</f>
        <v>5.61993082741059</v>
      </c>
    </row>
    <row r="39" customFormat="false" ht="15" hidden="false" customHeight="false" outlineLevel="0" collapsed="false">
      <c r="A39" s="4" t="s">
        <v>104</v>
      </c>
      <c r="B39" s="17" t="n">
        <f aca="false">B22/(B22+B35)</f>
        <v>0.755728587681985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1" t="s">
        <v>105</v>
      </c>
    </row>
    <row r="3" customFormat="false" ht="15" hidden="false" customHeight="false" outlineLevel="0" collapsed="false">
      <c r="A3" s="11" t="s">
        <v>24</v>
      </c>
      <c r="B3" s="12" t="s">
        <v>106</v>
      </c>
      <c r="C3" s="12" t="s">
        <v>59</v>
      </c>
      <c r="D3" s="12" t="s">
        <v>60</v>
      </c>
      <c r="E3" s="12" t="s">
        <v>61</v>
      </c>
      <c r="F3" s="12" t="s">
        <v>62</v>
      </c>
      <c r="G3" s="12" t="s">
        <v>63</v>
      </c>
    </row>
    <row r="4" customFormat="false" ht="15" hidden="false" customHeight="false" outlineLevel="0" collapsed="false">
      <c r="A4" s="3" t="s">
        <v>107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14" t="s">
        <v>30</v>
      </c>
      <c r="B5" s="29" t="n">
        <f aca="false">Inputs!F18</f>
        <v>4993.06</v>
      </c>
      <c r="C5" s="15" t="n">
        <f aca="false">B5*(1+Inputs!B43)</f>
        <v>5217.7477</v>
      </c>
      <c r="D5" s="15" t="n">
        <f aca="false">C5*(1+Inputs!C43)</f>
        <v>5452.5463465</v>
      </c>
      <c r="E5" s="15" t="n">
        <f aca="false">D5*(1+Inputs!D43)</f>
        <v>5670.64820036</v>
      </c>
      <c r="F5" s="15" t="n">
        <f aca="false">E5*(1+Inputs!E43)</f>
        <v>5897.4741283744</v>
      </c>
      <c r="G5" s="15" t="n">
        <f aca="false">F5*(1+Inputs!F43)</f>
        <v>6103.8857228675</v>
      </c>
    </row>
    <row r="6" customFormat="false" ht="15" hidden="false" customHeight="false" outlineLevel="0" collapsed="false">
      <c r="A6" s="4" t="s">
        <v>108</v>
      </c>
      <c r="C6" s="17" t="n">
        <f aca="false">C5/B5-1</f>
        <v>0.0449999999999999</v>
      </c>
      <c r="D6" s="17" t="n">
        <f aca="false">D5/C5-1</f>
        <v>0.0449999999999999</v>
      </c>
      <c r="E6" s="17" t="n">
        <f aca="false">E5/D5-1</f>
        <v>0.04</v>
      </c>
      <c r="F6" s="17" t="n">
        <f aca="false">F5/E5-1</f>
        <v>0.04</v>
      </c>
      <c r="G6" s="17" t="n">
        <f aca="false">G5/F5-1</f>
        <v>0.0349999999999999</v>
      </c>
    </row>
    <row r="7" customFormat="false" ht="15" hidden="false" customHeight="false" outlineLevel="0" collapsed="false">
      <c r="A7" s="14" t="s">
        <v>109</v>
      </c>
      <c r="B7" s="29" t="n">
        <f aca="false">Inputs!F23</f>
        <v>1315.55</v>
      </c>
      <c r="C7" s="15" t="n">
        <f aca="false">C5*Inputs!B44</f>
        <v>1382.7031405</v>
      </c>
      <c r="D7" s="15" t="n">
        <f aca="false">D5*Inputs!C44</f>
        <v>1472.187513555</v>
      </c>
      <c r="E7" s="15" t="n">
        <f aca="false">E5*Inputs!D44</f>
        <v>1559.428255099</v>
      </c>
      <c r="F7" s="15" t="n">
        <f aca="false">F5*Inputs!E44</f>
        <v>1651.29275594483</v>
      </c>
      <c r="G7" s="15" t="n">
        <f aca="false">G5*Inputs!F44</f>
        <v>1739.60743101724</v>
      </c>
    </row>
    <row r="8" customFormat="false" ht="15" hidden="false" customHeight="false" outlineLevel="0" collapsed="false">
      <c r="A8" s="4" t="s">
        <v>110</v>
      </c>
      <c r="B8" s="17" t="n">
        <f aca="false">B7/B5</f>
        <v>0.263475704277537</v>
      </c>
      <c r="C8" s="17" t="n">
        <f aca="false">C7/C5</f>
        <v>0.265</v>
      </c>
      <c r="D8" s="17" t="n">
        <f aca="false">D7/D5</f>
        <v>0.27</v>
      </c>
      <c r="E8" s="17" t="n">
        <f aca="false">E7/E5</f>
        <v>0.275</v>
      </c>
      <c r="F8" s="17" t="n">
        <f aca="false">F7/F5</f>
        <v>0.28</v>
      </c>
      <c r="G8" s="17" t="n">
        <f aca="false">G7/G5</f>
        <v>0.285</v>
      </c>
    </row>
    <row r="9" customFormat="false" ht="15" hidden="false" customHeight="false" outlineLevel="0" collapsed="false">
      <c r="A9" s="4" t="s">
        <v>32</v>
      </c>
      <c r="B9" s="25" t="n">
        <f aca="false">Inputs!F20</f>
        <v>130.46</v>
      </c>
      <c r="C9" s="13" t="n">
        <f aca="false">C5*Inputs!B45</f>
        <v>135.6614402</v>
      </c>
      <c r="D9" s="13" t="n">
        <f aca="false">D5*Inputs!C45</f>
        <v>141.766205009</v>
      </c>
      <c r="E9" s="13" t="n">
        <f aca="false">E5*Inputs!D45</f>
        <v>147.43685320936</v>
      </c>
      <c r="F9" s="13" t="n">
        <f aca="false">F5*Inputs!E45</f>
        <v>153.334327337734</v>
      </c>
      <c r="G9" s="13" t="n">
        <f aca="false">G5*Inputs!F45</f>
        <v>158.701028794555</v>
      </c>
    </row>
    <row r="10" customFormat="false" ht="15" hidden="false" customHeight="false" outlineLevel="0" collapsed="false">
      <c r="A10" s="4" t="s">
        <v>111</v>
      </c>
      <c r="B10" s="13" t="n">
        <f aca="false">B7-B9</f>
        <v>1185.09</v>
      </c>
      <c r="C10" s="13" t="n">
        <f aca="false">C7-C9</f>
        <v>1247.0417003</v>
      </c>
      <c r="D10" s="13" t="n">
        <f aca="false">D7-D9</f>
        <v>1330.421308546</v>
      </c>
      <c r="E10" s="13" t="n">
        <f aca="false">E7-E9</f>
        <v>1411.99140188964</v>
      </c>
      <c r="F10" s="13" t="n">
        <f aca="false">F7-F9</f>
        <v>1497.9584286071</v>
      </c>
      <c r="G10" s="13" t="n">
        <f aca="false">G7-G9</f>
        <v>1580.90640222268</v>
      </c>
    </row>
    <row r="11" customFormat="false" ht="15" hidden="false" customHeight="false" outlineLevel="0" collapsed="false">
      <c r="A11" s="4" t="s">
        <v>112</v>
      </c>
      <c r="C11" s="25" t="n">
        <f aca="false">'Debt Schedule'!C26</f>
        <v>594.6286</v>
      </c>
      <c r="D11" s="25" t="n">
        <f aca="false">'Debt Schedule'!D26</f>
        <v>553.11616555832</v>
      </c>
      <c r="E11" s="25" t="n">
        <f aca="false">'Debt Schedule'!E26</f>
        <v>504.490789454048</v>
      </c>
      <c r="F11" s="25" t="n">
        <f aca="false">'Debt Schedule'!F26</f>
        <v>448.665542729157</v>
      </c>
      <c r="G11" s="25" t="n">
        <f aca="false">'Debt Schedule'!G26</f>
        <v>384.815656175946</v>
      </c>
    </row>
    <row r="12" customFormat="false" ht="15" hidden="false" customHeight="false" outlineLevel="0" collapsed="false">
      <c r="A12" s="4" t="s">
        <v>113</v>
      </c>
      <c r="C12" s="13" t="n">
        <f aca="false">C10-C11</f>
        <v>652.4131003</v>
      </c>
      <c r="D12" s="13" t="n">
        <f aca="false">D10-D11</f>
        <v>777.30514298768</v>
      </c>
      <c r="E12" s="13" t="n">
        <f aca="false">E10-E11</f>
        <v>907.500612435592</v>
      </c>
      <c r="F12" s="13" t="n">
        <f aca="false">F10-F11</f>
        <v>1049.29288587794</v>
      </c>
      <c r="G12" s="13" t="n">
        <f aca="false">G10-G11</f>
        <v>1196.09074604674</v>
      </c>
    </row>
    <row r="13" customFormat="false" ht="15" hidden="false" customHeight="false" outlineLevel="0" collapsed="false">
      <c r="A13" s="4" t="s">
        <v>114</v>
      </c>
      <c r="C13" s="13" t="n">
        <f aca="false">MAX(0,C12)*Inputs!$B$37</f>
        <v>150.055013069</v>
      </c>
      <c r="D13" s="13" t="n">
        <f aca="false">MAX(0,D12)*Inputs!$B$37</f>
        <v>178.780182887166</v>
      </c>
      <c r="E13" s="13" t="n">
        <f aca="false">MAX(0,E12)*Inputs!$B$37</f>
        <v>208.725140860186</v>
      </c>
      <c r="F13" s="13" t="n">
        <f aca="false">MAX(0,F12)*Inputs!$B$37</f>
        <v>241.337363751926</v>
      </c>
      <c r="G13" s="13" t="n">
        <f aca="false">MAX(0,G12)*Inputs!$B$37</f>
        <v>275.10087159075</v>
      </c>
    </row>
    <row r="14" customFormat="false" ht="15" hidden="false" customHeight="false" outlineLevel="0" collapsed="false">
      <c r="A14" s="14" t="s">
        <v>115</v>
      </c>
      <c r="C14" s="15" t="n">
        <f aca="false">C12-C13</f>
        <v>502.358087231</v>
      </c>
      <c r="D14" s="15" t="n">
        <f aca="false">D12-D13</f>
        <v>598.524960100514</v>
      </c>
      <c r="E14" s="15" t="n">
        <f aca="false">E12-E13</f>
        <v>698.775471575406</v>
      </c>
      <c r="F14" s="15" t="n">
        <f aca="false">F12-F13</f>
        <v>807.955522126014</v>
      </c>
      <c r="G14" s="15" t="n">
        <f aca="false">G12-G13</f>
        <v>920.989874455988</v>
      </c>
    </row>
    <row r="16" customFormat="false" ht="15" hidden="false" customHeight="false" outlineLevel="0" collapsed="false">
      <c r="A16" s="3" t="s">
        <v>116</v>
      </c>
      <c r="B16" s="3"/>
      <c r="C16" s="3"/>
      <c r="D16" s="3"/>
      <c r="E16" s="3"/>
      <c r="F16" s="3"/>
      <c r="G16" s="3"/>
    </row>
    <row r="17" customFormat="false" ht="15" hidden="false" customHeight="false" outlineLevel="0" collapsed="false">
      <c r="A17" s="4" t="s">
        <v>115</v>
      </c>
      <c r="C17" s="28" t="n">
        <f aca="false">C14</f>
        <v>502.358087231</v>
      </c>
      <c r="D17" s="28" t="n">
        <f aca="false">D14</f>
        <v>598.524960100514</v>
      </c>
      <c r="E17" s="28" t="n">
        <f aca="false">E14</f>
        <v>698.775471575406</v>
      </c>
      <c r="F17" s="28" t="n">
        <f aca="false">F14</f>
        <v>807.955522126014</v>
      </c>
      <c r="G17" s="28" t="n">
        <f aca="false">G14</f>
        <v>920.989874455988</v>
      </c>
    </row>
    <row r="18" customFormat="false" ht="15" hidden="false" customHeight="false" outlineLevel="0" collapsed="false">
      <c r="A18" s="4" t="s">
        <v>117</v>
      </c>
      <c r="C18" s="28" t="n">
        <f aca="false">C9</f>
        <v>135.6614402</v>
      </c>
      <c r="D18" s="28" t="n">
        <f aca="false">D9</f>
        <v>141.766205009</v>
      </c>
      <c r="E18" s="28" t="n">
        <f aca="false">E9</f>
        <v>147.43685320936</v>
      </c>
      <c r="F18" s="28" t="n">
        <f aca="false">F9</f>
        <v>153.334327337734</v>
      </c>
      <c r="G18" s="28" t="n">
        <f aca="false">G9</f>
        <v>158.701028794555</v>
      </c>
    </row>
    <row r="19" customFormat="false" ht="15" hidden="false" customHeight="false" outlineLevel="0" collapsed="false">
      <c r="A19" s="4" t="s">
        <v>118</v>
      </c>
      <c r="C19" s="13" t="n">
        <f aca="false">-C5*Inputs!B46</f>
        <v>-78.2662155</v>
      </c>
      <c r="D19" s="13" t="n">
        <f aca="false">-D5*Inputs!C46</f>
        <v>-81.7881951975</v>
      </c>
      <c r="E19" s="13" t="n">
        <f aca="false">-E5*Inputs!D46</f>
        <v>-85.0597230054</v>
      </c>
      <c r="F19" s="13" t="n">
        <f aca="false">-F5*Inputs!E46</f>
        <v>-88.462111925616</v>
      </c>
      <c r="G19" s="13" t="n">
        <f aca="false">-G5*Inputs!F46</f>
        <v>-91.5582858430125</v>
      </c>
    </row>
    <row r="20" customFormat="false" ht="15" hidden="false" customHeight="false" outlineLevel="0" collapsed="false">
      <c r="A20" s="4" t="s">
        <v>119</v>
      </c>
      <c r="C20" s="13" t="n">
        <f aca="false">-(C5-B5)*Inputs!B47</f>
        <v>22.46877</v>
      </c>
      <c r="D20" s="13" t="n">
        <f aca="false">-(D5-C5)*Inputs!C47</f>
        <v>23.4798646499999</v>
      </c>
      <c r="E20" s="13" t="n">
        <f aca="false">-(E5-D5)*Inputs!D47</f>
        <v>21.810185386</v>
      </c>
      <c r="F20" s="13" t="n">
        <f aca="false">-(F5-E5)*Inputs!E47</f>
        <v>22.68259280144</v>
      </c>
      <c r="G20" s="13" t="n">
        <f aca="false">-(G5-F5)*Inputs!F47</f>
        <v>20.6411594493104</v>
      </c>
    </row>
    <row r="21" customFormat="false" ht="15" hidden="false" customHeight="false" outlineLevel="0" collapsed="false">
      <c r="A21" s="14" t="s">
        <v>120</v>
      </c>
      <c r="C21" s="15" t="n">
        <f aca="false">SUM(C17:C20)</f>
        <v>582.222081931</v>
      </c>
      <c r="D21" s="15" t="n">
        <f aca="false">SUM(D17:D20)</f>
        <v>681.982834562014</v>
      </c>
      <c r="E21" s="15" t="n">
        <f aca="false">SUM(E17:E20)</f>
        <v>782.962787165366</v>
      </c>
      <c r="F21" s="15" t="n">
        <f aca="false">SUM(F17:F20)</f>
        <v>895.510330339573</v>
      </c>
      <c r="G21" s="15" t="n">
        <f aca="false">SUM(G17:G20)</f>
        <v>1008.77377685684</v>
      </c>
    </row>
    <row r="22" customFormat="false" ht="15" hidden="false" customHeight="false" outlineLevel="0" collapsed="false">
      <c r="A22" s="4" t="s">
        <v>121</v>
      </c>
      <c r="C22" s="17" t="n">
        <f aca="false">C21/C7</f>
        <v>0.421075258222428</v>
      </c>
      <c r="D22" s="17" t="n">
        <f aca="false">D21/D7</f>
        <v>0.4632445447898</v>
      </c>
      <c r="E22" s="17" t="n">
        <f aca="false">E21/E7</f>
        <v>0.502083237625869</v>
      </c>
      <c r="F22" s="17" t="n">
        <f aca="false">F21/F7</f>
        <v>0.542308640981824</v>
      </c>
      <c r="G22" s="17" t="n">
        <f aca="false">G21/G7</f>
        <v>0.57988587474989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1" t="s">
        <v>122</v>
      </c>
    </row>
    <row r="3" customFormat="false" ht="15" hidden="false" customHeight="false" outlineLevel="0" collapsed="false">
      <c r="A3" s="11" t="s">
        <v>24</v>
      </c>
      <c r="B3" s="12" t="s">
        <v>123</v>
      </c>
      <c r="C3" s="12" t="s">
        <v>59</v>
      </c>
      <c r="D3" s="12" t="s">
        <v>60</v>
      </c>
      <c r="E3" s="12" t="s">
        <v>61</v>
      </c>
      <c r="F3" s="12" t="s">
        <v>62</v>
      </c>
      <c r="G3" s="12" t="s">
        <v>63</v>
      </c>
    </row>
    <row r="4" customFormat="false" ht="15" hidden="false" customHeight="false" outlineLevel="0" collapsed="false">
      <c r="A4" s="4" t="s">
        <v>124</v>
      </c>
      <c r="C4" s="25" t="n">
        <f aca="false">'Operating Model'!C21</f>
        <v>582.222081931</v>
      </c>
      <c r="D4" s="25" t="n">
        <f aca="false">'Operating Model'!D21</f>
        <v>681.982834562014</v>
      </c>
      <c r="E4" s="25" t="n">
        <f aca="false">'Operating Model'!E21</f>
        <v>782.962787165366</v>
      </c>
      <c r="F4" s="25" t="n">
        <f aca="false">'Operating Model'!F21</f>
        <v>895.510330339573</v>
      </c>
      <c r="G4" s="25" t="n">
        <f aca="false">'Operating Model'!G21</f>
        <v>1008.77377685684</v>
      </c>
    </row>
    <row r="5" customFormat="false" ht="15" hidden="false" customHeight="false" outlineLevel="0" collapsed="false">
      <c r="A5" s="3" t="s">
        <v>125</v>
      </c>
      <c r="B5" s="3"/>
      <c r="C5" s="3"/>
      <c r="D5" s="3"/>
      <c r="E5" s="3"/>
      <c r="F5" s="3"/>
      <c r="G5" s="3"/>
    </row>
    <row r="6" customFormat="false" ht="15" hidden="false" customHeight="false" outlineLevel="0" collapsed="false">
      <c r="A6" s="4" t="s">
        <v>126</v>
      </c>
      <c r="C6" s="28" t="n">
        <f aca="false">B9</f>
        <v>500</v>
      </c>
      <c r="D6" s="28" t="n">
        <f aca="false">C9</f>
        <v>500</v>
      </c>
      <c r="E6" s="28" t="n">
        <f aca="false">D9</f>
        <v>500</v>
      </c>
      <c r="F6" s="28" t="n">
        <f aca="false">E9</f>
        <v>500</v>
      </c>
      <c r="G6" s="28" t="n">
        <f aca="false">F9</f>
        <v>500</v>
      </c>
    </row>
    <row r="7" customFormat="false" ht="15" hidden="false" customHeight="false" outlineLevel="0" collapsed="false">
      <c r="A7" s="4" t="s">
        <v>127</v>
      </c>
      <c r="C7" s="28" t="n">
        <f aca="false">C4</f>
        <v>582.222081931</v>
      </c>
      <c r="D7" s="28" t="n">
        <f aca="false">D4</f>
        <v>681.982834562014</v>
      </c>
      <c r="E7" s="28" t="n">
        <f aca="false">E4</f>
        <v>782.962787165366</v>
      </c>
      <c r="F7" s="28" t="n">
        <f aca="false">F4</f>
        <v>895.510330339573</v>
      </c>
      <c r="G7" s="28" t="n">
        <f aca="false">G4</f>
        <v>1008.77377685684</v>
      </c>
    </row>
    <row r="8" customFormat="false" ht="15" hidden="false" customHeight="false" outlineLevel="0" collapsed="false">
      <c r="A8" s="4" t="s">
        <v>128</v>
      </c>
      <c r="C8" s="13" t="n">
        <f aca="false">C13+C14</f>
        <v>-582.222081931</v>
      </c>
      <c r="D8" s="13" t="n">
        <f aca="false">D13+D14</f>
        <v>-681.982834562014</v>
      </c>
      <c r="E8" s="13" t="n">
        <f aca="false">E13+E14</f>
        <v>-782.962787165366</v>
      </c>
      <c r="F8" s="13" t="n">
        <f aca="false">F13+F14</f>
        <v>-895.510330339573</v>
      </c>
      <c r="G8" s="13" t="n">
        <f aca="false">G13+G14</f>
        <v>-1008.77377685684</v>
      </c>
    </row>
    <row r="9" customFormat="false" ht="15" hidden="false" customHeight="false" outlineLevel="0" collapsed="false">
      <c r="A9" s="14" t="s">
        <v>129</v>
      </c>
      <c r="B9" s="29" t="n">
        <f aca="false">Inputs!B29</f>
        <v>500</v>
      </c>
      <c r="C9" s="15" t="n">
        <f aca="false">SUM(C6:C8)</f>
        <v>500</v>
      </c>
      <c r="D9" s="15" t="n">
        <f aca="false">SUM(D6:D8)</f>
        <v>500</v>
      </c>
      <c r="E9" s="15" t="n">
        <f aca="false">SUM(E6:E8)</f>
        <v>500</v>
      </c>
      <c r="F9" s="15" t="n">
        <f aca="false">SUM(F6:F8)</f>
        <v>500</v>
      </c>
      <c r="G9" s="15" t="n">
        <f aca="false">SUM(G6:G8)</f>
        <v>500</v>
      </c>
    </row>
    <row r="11" customFormat="false" ht="15" hidden="false" customHeight="false" outlineLevel="0" collapsed="false">
      <c r="A11" s="3" t="s">
        <v>130</v>
      </c>
      <c r="B11" s="3"/>
      <c r="C11" s="3"/>
      <c r="D11" s="3"/>
      <c r="E11" s="3"/>
      <c r="F11" s="3"/>
      <c r="G11" s="3"/>
    </row>
    <row r="12" customFormat="false" ht="15" hidden="false" customHeight="false" outlineLevel="0" collapsed="false">
      <c r="A12" s="4" t="s">
        <v>131</v>
      </c>
      <c r="C12" s="28" t="n">
        <f aca="false">B15</f>
        <v>5262.2</v>
      </c>
      <c r="D12" s="28" t="n">
        <f aca="false">C15</f>
        <v>4679.977918069</v>
      </c>
      <c r="E12" s="28" t="n">
        <f aca="false">D15</f>
        <v>3997.99508350699</v>
      </c>
      <c r="F12" s="28" t="n">
        <f aca="false">E15</f>
        <v>3215.03229634162</v>
      </c>
      <c r="G12" s="28" t="n">
        <f aca="false">F15</f>
        <v>2319.52196600205</v>
      </c>
    </row>
    <row r="13" customFormat="false" ht="15" hidden="false" customHeight="false" outlineLevel="0" collapsed="false">
      <c r="A13" s="4" t="s">
        <v>132</v>
      </c>
      <c r="C13" s="13" t="n">
        <f aca="false">-MIN(C12,'Sources &amp; Uses'!$B$19*Inputs!$B$34)</f>
        <v>-52.622</v>
      </c>
      <c r="D13" s="13" t="n">
        <f aca="false">-MIN(D12,'Sources &amp; Uses'!$B$19*Inputs!$B$34)</f>
        <v>-52.622</v>
      </c>
      <c r="E13" s="13" t="n">
        <f aca="false">-MIN(E12,'Sources &amp; Uses'!$B$19*Inputs!$B$34)</f>
        <v>-52.622</v>
      </c>
      <c r="F13" s="13" t="n">
        <f aca="false">-MIN(F12,'Sources &amp; Uses'!$B$19*Inputs!$B$34)</f>
        <v>-52.622</v>
      </c>
      <c r="G13" s="13" t="n">
        <f aca="false">-MIN(G12,'Sources &amp; Uses'!$B$19*Inputs!$B$34)</f>
        <v>-52.622</v>
      </c>
    </row>
    <row r="14" customFormat="false" ht="15" hidden="false" customHeight="false" outlineLevel="0" collapsed="false">
      <c r="A14" s="4" t="s">
        <v>133</v>
      </c>
      <c r="C14" s="13" t="n">
        <f aca="false">-MAX(0,MIN(C12+C13,Inputs!$B$36*(C6+C4+C13-Inputs!$B$29)))</f>
        <v>-529.600081931</v>
      </c>
      <c r="D14" s="13" t="n">
        <f aca="false">-MAX(0,MIN(D12+D13,Inputs!$B$36*(D6+D4+D13-Inputs!$B$29)))</f>
        <v>-629.360834562014</v>
      </c>
      <c r="E14" s="13" t="n">
        <f aca="false">-MAX(0,MIN(E12+E13,Inputs!$B$36*(E6+E4+E13-Inputs!$B$29)))</f>
        <v>-730.340787165366</v>
      </c>
      <c r="F14" s="13" t="n">
        <f aca="false">-MAX(0,MIN(F12+F13,Inputs!$B$36*(F6+F4+F13-Inputs!$B$29)))</f>
        <v>-842.888330339573</v>
      </c>
      <c r="G14" s="13" t="n">
        <f aca="false">-MAX(0,MIN(G12+G13,Inputs!$B$36*(G6+G4+G13-Inputs!$B$29)))</f>
        <v>-956.151776856841</v>
      </c>
    </row>
    <row r="15" customFormat="false" ht="15" hidden="false" customHeight="false" outlineLevel="0" collapsed="false">
      <c r="A15" s="14" t="s">
        <v>134</v>
      </c>
      <c r="B15" s="29" t="n">
        <f aca="false">'Sources &amp; Uses'!B19</f>
        <v>5262.2</v>
      </c>
      <c r="C15" s="15" t="n">
        <f aca="false">SUM(C12:C14)</f>
        <v>4679.977918069</v>
      </c>
      <c r="D15" s="15" t="n">
        <f aca="false">SUM(D12:D14)</f>
        <v>3997.99508350699</v>
      </c>
      <c r="E15" s="15" t="n">
        <f aca="false">SUM(E12:E14)</f>
        <v>3215.03229634162</v>
      </c>
      <c r="F15" s="15" t="n">
        <f aca="false">SUM(F12:F14)</f>
        <v>2319.52196600205</v>
      </c>
      <c r="G15" s="15" t="n">
        <f aca="false">SUM(G12:G14)</f>
        <v>1310.74818914521</v>
      </c>
    </row>
    <row r="16" customFormat="false" ht="15" hidden="false" customHeight="false" outlineLevel="0" collapsed="false">
      <c r="A16" s="4" t="s">
        <v>135</v>
      </c>
      <c r="C16" s="30" t="n">
        <f aca="false">Inputs!$B$12+Inputs!$B$33</f>
        <v>0.0713</v>
      </c>
      <c r="D16" s="30" t="n">
        <f aca="false">Inputs!$B$12+Inputs!$B$33</f>
        <v>0.0713</v>
      </c>
      <c r="E16" s="30" t="n">
        <f aca="false">Inputs!$B$12+Inputs!$B$33</f>
        <v>0.0713</v>
      </c>
      <c r="F16" s="30" t="n">
        <f aca="false">Inputs!$B$12+Inputs!$B$33</f>
        <v>0.0713</v>
      </c>
      <c r="G16" s="30" t="n">
        <f aca="false">Inputs!$B$12+Inputs!$B$33</f>
        <v>0.0713</v>
      </c>
    </row>
    <row r="17" customFormat="false" ht="15" hidden="false" customHeight="false" outlineLevel="0" collapsed="false">
      <c r="A17" s="4" t="s">
        <v>112</v>
      </c>
      <c r="C17" s="13" t="n">
        <f aca="false">C12*C16</f>
        <v>375.19486</v>
      </c>
      <c r="D17" s="13" t="n">
        <f aca="false">D12*D16</f>
        <v>333.68242555832</v>
      </c>
      <c r="E17" s="13" t="n">
        <f aca="false">E12*E16</f>
        <v>285.057049454048</v>
      </c>
      <c r="F17" s="13" t="n">
        <f aca="false">F12*F16</f>
        <v>229.231802729157</v>
      </c>
      <c r="G17" s="13" t="n">
        <f aca="false">G12*G16</f>
        <v>165.381916175946</v>
      </c>
    </row>
    <row r="19" customFormat="false" ht="15" hidden="false" customHeight="false" outlineLevel="0" collapsed="false">
      <c r="A19" s="3" t="s">
        <v>136</v>
      </c>
      <c r="B19" s="3"/>
      <c r="C19" s="3"/>
      <c r="D19" s="3"/>
      <c r="E19" s="3"/>
      <c r="F19" s="3"/>
      <c r="G19" s="3"/>
    </row>
    <row r="20" customFormat="false" ht="15" hidden="false" customHeight="false" outlineLevel="0" collapsed="false">
      <c r="A20" s="4" t="s">
        <v>131</v>
      </c>
      <c r="C20" s="28" t="n">
        <f aca="false">B21</f>
        <v>2631.1</v>
      </c>
      <c r="D20" s="28" t="n">
        <f aca="false">C21</f>
        <v>2631.1</v>
      </c>
      <c r="E20" s="28" t="n">
        <f aca="false">D21</f>
        <v>2631.1</v>
      </c>
      <c r="F20" s="28" t="n">
        <f aca="false">E21</f>
        <v>2631.1</v>
      </c>
      <c r="G20" s="28" t="n">
        <f aca="false">F21</f>
        <v>2631.1</v>
      </c>
    </row>
    <row r="21" customFormat="false" ht="15" hidden="false" customHeight="false" outlineLevel="0" collapsed="false">
      <c r="A21" s="14" t="s">
        <v>134</v>
      </c>
      <c r="B21" s="29" t="n">
        <f aca="false">'Sources &amp; Uses'!B20</f>
        <v>2631.1</v>
      </c>
      <c r="C21" s="31" t="n">
        <f aca="false">C20</f>
        <v>2631.1</v>
      </c>
      <c r="D21" s="31" t="n">
        <f aca="false">D20</f>
        <v>2631.1</v>
      </c>
      <c r="E21" s="31" t="n">
        <f aca="false">E20</f>
        <v>2631.1</v>
      </c>
      <c r="F21" s="31" t="n">
        <f aca="false">F20</f>
        <v>2631.1</v>
      </c>
      <c r="G21" s="31" t="n">
        <f aca="false">G20</f>
        <v>2631.1</v>
      </c>
    </row>
    <row r="22" customFormat="false" ht="15" hidden="false" customHeight="false" outlineLevel="0" collapsed="false">
      <c r="A22" s="4" t="s">
        <v>137</v>
      </c>
      <c r="C22" s="30" t="n">
        <f aca="false">Inputs!$B$14+Inputs!$B$13</f>
        <v>0.0834</v>
      </c>
      <c r="D22" s="30" t="n">
        <f aca="false">Inputs!$B$14+Inputs!$B$13</f>
        <v>0.0834</v>
      </c>
      <c r="E22" s="30" t="n">
        <f aca="false">Inputs!$B$14+Inputs!$B$13</f>
        <v>0.0834</v>
      </c>
      <c r="F22" s="30" t="n">
        <f aca="false">Inputs!$B$14+Inputs!$B$13</f>
        <v>0.0834</v>
      </c>
      <c r="G22" s="30" t="n">
        <f aca="false">Inputs!$B$14+Inputs!$B$13</f>
        <v>0.0834</v>
      </c>
    </row>
    <row r="23" customFormat="false" ht="15" hidden="false" customHeight="false" outlineLevel="0" collapsed="false">
      <c r="A23" s="4" t="s">
        <v>112</v>
      </c>
      <c r="C23" s="13" t="n">
        <f aca="false">C20*C22</f>
        <v>219.43374</v>
      </c>
      <c r="D23" s="13" t="n">
        <f aca="false">D20*D22</f>
        <v>219.43374</v>
      </c>
      <c r="E23" s="13" t="n">
        <f aca="false">E20*E22</f>
        <v>219.43374</v>
      </c>
      <c r="F23" s="13" t="n">
        <f aca="false">F20*F22</f>
        <v>219.43374</v>
      </c>
      <c r="G23" s="13" t="n">
        <f aca="false">G20*G22</f>
        <v>219.43374</v>
      </c>
    </row>
    <row r="24" customFormat="false" ht="15" hidden="false" customHeight="false" outlineLevel="0" collapsed="false">
      <c r="A24" s="3" t="s">
        <v>138</v>
      </c>
      <c r="B24" s="3"/>
      <c r="C24" s="3"/>
      <c r="D24" s="3"/>
      <c r="E24" s="3"/>
      <c r="F24" s="3"/>
      <c r="G24" s="3"/>
    </row>
    <row r="25" customFormat="false" ht="15" hidden="false" customHeight="false" outlineLevel="0" collapsed="false">
      <c r="A25" s="14" t="s">
        <v>139</v>
      </c>
      <c r="B25" s="15" t="n">
        <f aca="false">B15+B21</f>
        <v>7893.3</v>
      </c>
      <c r="C25" s="15" t="n">
        <f aca="false">C15+C21</f>
        <v>7311.077918069</v>
      </c>
      <c r="D25" s="15" t="n">
        <f aca="false">D15+D21</f>
        <v>6629.09508350699</v>
      </c>
      <c r="E25" s="15" t="n">
        <f aca="false">E15+E21</f>
        <v>5846.13229634162</v>
      </c>
      <c r="F25" s="15" t="n">
        <f aca="false">F15+F21</f>
        <v>4950.62196600205</v>
      </c>
      <c r="G25" s="15" t="n">
        <f aca="false">G15+G21</f>
        <v>3941.84818914521</v>
      </c>
    </row>
    <row r="26" customFormat="false" ht="15" hidden="false" customHeight="false" outlineLevel="0" collapsed="false">
      <c r="A26" s="4" t="s">
        <v>140</v>
      </c>
      <c r="C26" s="13" t="n">
        <f aca="false">C17+C23</f>
        <v>594.6286</v>
      </c>
      <c r="D26" s="13" t="n">
        <f aca="false">D17+D23</f>
        <v>553.11616555832</v>
      </c>
      <c r="E26" s="13" t="n">
        <f aca="false">E17+E23</f>
        <v>504.490789454048</v>
      </c>
      <c r="F26" s="13" t="n">
        <f aca="false">F17+F23</f>
        <v>448.665542729157</v>
      </c>
      <c r="G26" s="13" t="n">
        <f aca="false">G17+G23</f>
        <v>384.815656175946</v>
      </c>
    </row>
    <row r="27" customFormat="false" ht="15" hidden="false" customHeight="false" outlineLevel="0" collapsed="false">
      <c r="A27" s="4" t="s">
        <v>141</v>
      </c>
      <c r="B27" s="27" t="n">
        <f aca="false">B25/'Operating Model'!B7</f>
        <v>6</v>
      </c>
      <c r="C27" s="27" t="n">
        <f aca="false">C25/'Operating Model'!C7</f>
        <v>5.28752535806438</v>
      </c>
      <c r="D27" s="27" t="n">
        <f aca="false">D25/'Operating Model'!D7</f>
        <v>4.50288772487903</v>
      </c>
      <c r="E27" s="27" t="n">
        <f aca="false">E25/'Operating Model'!E7</f>
        <v>3.74889468446272</v>
      </c>
      <c r="F27" s="27" t="n">
        <f aca="false">F25/'Operating Model'!F7</f>
        <v>2.99802802875461</v>
      </c>
      <c r="G27" s="27" t="n">
        <f aca="false">G25/'Operating Model'!G7</f>
        <v>2.26594122263562</v>
      </c>
    </row>
    <row r="28" customFormat="false" ht="15" hidden="false" customHeight="false" outlineLevel="0" collapsed="false">
      <c r="A28" s="4" t="s">
        <v>142</v>
      </c>
      <c r="B28" s="27" t="n">
        <f aca="false">(B25-B9)/'Operating Model'!B7</f>
        <v>5.61993082741059</v>
      </c>
      <c r="C28" s="27" t="n">
        <f aca="false">(C25-C9)/'Operating Model'!C7</f>
        <v>4.92591483925179</v>
      </c>
      <c r="D28" s="27" t="n">
        <f aca="false">(D25-D9)/'Operating Model'!D7</f>
        <v>4.16325707633983</v>
      </c>
      <c r="E28" s="27" t="n">
        <f aca="false">(E25-E9)/'Operating Model'!E7</f>
        <v>3.42826435192571</v>
      </c>
      <c r="F28" s="27" t="n">
        <f aca="false">(F25-F9)/'Operating Model'!F7</f>
        <v>2.69523496059637</v>
      </c>
      <c r="G28" s="27" t="n">
        <f aca="false">(G25-G9)/'Operating Model'!G7</f>
        <v>1.97852005445423</v>
      </c>
    </row>
    <row r="29" customFormat="false" ht="15" hidden="false" customHeight="false" outlineLevel="0" collapsed="false">
      <c r="A29" s="4" t="s">
        <v>143</v>
      </c>
      <c r="C29" s="27" t="n">
        <f aca="false">'Operating Model'!C7/C26</f>
        <v>2.32532229445405</v>
      </c>
      <c r="D29" s="27" t="n">
        <f aca="false">'Operating Model'!D7/D26</f>
        <v>2.66162445653521</v>
      </c>
      <c r="E29" s="27" t="n">
        <f aca="false">'Operating Model'!E7/E26</f>
        <v>3.09109360903613</v>
      </c>
      <c r="F29" s="27" t="n">
        <f aca="false">'Operating Model'!F7/F26</f>
        <v>3.6804536980939</v>
      </c>
      <c r="G29" s="27" t="n">
        <f aca="false">'Operating Model'!G7/G26</f>
        <v>4.52062540361365</v>
      </c>
    </row>
    <row r="30" customFormat="false" ht="15" hidden="false" customHeight="false" outlineLevel="0" collapsed="false">
      <c r="A30" s="4" t="s">
        <v>144</v>
      </c>
      <c r="C30" s="17" t="n">
        <f aca="false">1-C15/$B$15</f>
        <v>0.1106423324714</v>
      </c>
      <c r="D30" s="17" t="n">
        <f aca="false">1-D15/$B$15</f>
        <v>0.240242658297483</v>
      </c>
      <c r="E30" s="17" t="n">
        <f aca="false">1-E15/$B$15</f>
        <v>0.389032667640603</v>
      </c>
      <c r="F30" s="17" t="n">
        <f aca="false">1-F15/$B$15</f>
        <v>0.559210602789319</v>
      </c>
      <c r="G30" s="17" t="n">
        <f aca="false">1-G15/$B$15</f>
        <v>0.750912510139256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8" min="2" style="0" width="14"/>
  </cols>
  <sheetData>
    <row r="1" customFormat="false" ht="17.35" hidden="false" customHeight="false" outlineLevel="0" collapsed="false">
      <c r="A1" s="1" t="s">
        <v>145</v>
      </c>
    </row>
    <row r="3" customFormat="false" ht="15" hidden="false" customHeight="false" outlineLevel="0" collapsed="false">
      <c r="A3" s="3" t="s">
        <v>146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4" t="s">
        <v>147</v>
      </c>
      <c r="B4" s="25" t="n">
        <f aca="false">'Operating Model'!G7</f>
        <v>1739.60743101724</v>
      </c>
    </row>
    <row r="5" customFormat="false" ht="15" hidden="false" customHeight="false" outlineLevel="0" collapsed="false">
      <c r="A5" s="4" t="s">
        <v>148</v>
      </c>
      <c r="B5" s="27" t="n">
        <f aca="false">'Sources &amp; Uses'!B13+Inputs!B38</f>
        <v>23.5615415626871</v>
      </c>
    </row>
    <row r="6" customFormat="false" ht="15" hidden="false" customHeight="false" outlineLevel="0" collapsed="false">
      <c r="A6" s="4" t="s">
        <v>149</v>
      </c>
      <c r="B6" s="13" t="n">
        <f aca="false">B4*B5</f>
        <v>40987.832788672</v>
      </c>
    </row>
    <row r="7" customFormat="false" ht="15" hidden="false" customHeight="false" outlineLevel="0" collapsed="false">
      <c r="A7" s="4" t="s">
        <v>150</v>
      </c>
      <c r="B7" s="13" t="n">
        <f aca="false">-'Debt Schedule'!G25</f>
        <v>-3941.84818914521</v>
      </c>
    </row>
    <row r="8" customFormat="false" ht="15" hidden="false" customHeight="false" outlineLevel="0" collapsed="false">
      <c r="A8" s="4" t="s">
        <v>151</v>
      </c>
      <c r="B8" s="25" t="n">
        <f aca="false">'Debt Schedule'!G9</f>
        <v>500</v>
      </c>
    </row>
    <row r="9" customFormat="false" ht="15" hidden="false" customHeight="false" outlineLevel="0" collapsed="false">
      <c r="A9" s="14" t="s">
        <v>152</v>
      </c>
      <c r="B9" s="16" t="n">
        <f aca="false">SUM(B6:B8)</f>
        <v>37545.9845995268</v>
      </c>
    </row>
    <row r="10" customFormat="false" ht="15" hidden="false" customHeight="false" outlineLevel="0" collapsed="false">
      <c r="A10" s="4" t="s">
        <v>153</v>
      </c>
      <c r="B10" s="25" t="n">
        <f aca="false">'Sources &amp; Uses'!B22</f>
        <v>24420.3462228489</v>
      </c>
    </row>
    <row r="11" customFormat="false" ht="15" hidden="false" customHeight="false" outlineLevel="0" collapsed="false">
      <c r="A11" s="14" t="s">
        <v>154</v>
      </c>
      <c r="B11" s="32" t="n">
        <f aca="false">B9/B10</f>
        <v>1.53748780860432</v>
      </c>
    </row>
    <row r="12" customFormat="false" ht="15" hidden="false" customHeight="false" outlineLevel="0" collapsed="false">
      <c r="A12" s="14" t="s">
        <v>155</v>
      </c>
      <c r="B12" s="33" t="n">
        <f aca="false">IRR(B16:G16)</f>
        <v>0.0898389774963999</v>
      </c>
    </row>
    <row r="14" customFormat="false" ht="15" hidden="false" customHeight="false" outlineLevel="0" collapsed="false">
      <c r="A14" s="11" t="s">
        <v>156</v>
      </c>
      <c r="B14" s="12" t="s">
        <v>157</v>
      </c>
      <c r="C14" s="12" t="s">
        <v>59</v>
      </c>
      <c r="D14" s="12" t="s">
        <v>60</v>
      </c>
      <c r="E14" s="12" t="s">
        <v>61</v>
      </c>
      <c r="F14" s="12" t="s">
        <v>62</v>
      </c>
      <c r="G14" s="12" t="s">
        <v>63</v>
      </c>
    </row>
    <row r="15" customFormat="false" ht="15" hidden="false" customHeight="false" outlineLevel="0" collapsed="false">
      <c r="A15" s="4" t="s">
        <v>158</v>
      </c>
      <c r="B15" s="20" t="n">
        <v>0</v>
      </c>
      <c r="C15" s="20" t="n">
        <v>1</v>
      </c>
      <c r="D15" s="20" t="n">
        <v>2</v>
      </c>
      <c r="E15" s="20" t="n">
        <v>3</v>
      </c>
      <c r="F15" s="20" t="n">
        <v>4</v>
      </c>
      <c r="G15" s="20" t="n">
        <v>5</v>
      </c>
    </row>
    <row r="16" customFormat="false" ht="15" hidden="false" customHeight="false" outlineLevel="0" collapsed="false">
      <c r="A16" s="4" t="s">
        <v>159</v>
      </c>
      <c r="B16" s="13" t="n">
        <f aca="false">-B10</f>
        <v>-24420.3462228489</v>
      </c>
      <c r="C16" s="9" t="n">
        <v>0</v>
      </c>
      <c r="D16" s="9" t="n">
        <v>0</v>
      </c>
      <c r="E16" s="9" t="n">
        <v>0</v>
      </c>
      <c r="F16" s="9" t="n">
        <v>0</v>
      </c>
      <c r="G16" s="28" t="n">
        <f aca="false">B9</f>
        <v>37545.9845995268</v>
      </c>
    </row>
    <row r="18" customFormat="false" ht="15" hidden="false" customHeight="false" outlineLevel="0" collapsed="false">
      <c r="A18" s="3" t="s">
        <v>160</v>
      </c>
      <c r="B18" s="3"/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A19" s="2" t="s">
        <v>161</v>
      </c>
    </row>
    <row r="20" customFormat="false" ht="15" hidden="false" customHeight="false" outlineLevel="0" collapsed="false">
      <c r="A20" s="34" t="s">
        <v>162</v>
      </c>
      <c r="B20" s="35" t="n">
        <f aca="false">$B$5+(-2)</f>
        <v>21.5615415626871</v>
      </c>
      <c r="C20" s="35" t="n">
        <f aca="false">$B$5+(-1)</f>
        <v>22.5615415626871</v>
      </c>
      <c r="D20" s="36" t="n">
        <f aca="false">$B$5</f>
        <v>23.5615415626871</v>
      </c>
      <c r="E20" s="35" t="n">
        <f aca="false">$B$5+(1)</f>
        <v>24.5615415626871</v>
      </c>
      <c r="F20" s="35" t="n">
        <f aca="false">$B$5+(2)</f>
        <v>25.5615415626871</v>
      </c>
      <c r="G20" s="34" t="s">
        <v>163</v>
      </c>
      <c r="H20" s="34" t="s">
        <v>164</v>
      </c>
    </row>
    <row r="21" customFormat="false" ht="15" hidden="false" customHeight="false" outlineLevel="0" collapsed="false">
      <c r="A21" s="37" t="n">
        <f aca="false">Inputs!$B$28+(-0.1)</f>
        <v>0.2</v>
      </c>
      <c r="B21" s="17" t="n">
        <f aca="false">((B$20*$B$4-'Debt Schedule'!$G$25+'Debt Schedule'!$G$9)/$G21)^(1/Inputs!$B$39)-1</f>
        <v>0.0972468272901068</v>
      </c>
      <c r="C21" s="17" t="n">
        <f aca="false">((C$20*$B$4-'Debt Schedule'!$G$25+'Debt Schedule'!$G$9)/$G21)^(1/Inputs!$B$39)-1</f>
        <v>0.108230808207411</v>
      </c>
      <c r="D21" s="17" t="n">
        <f aca="false">((D$20*$B$4-'Debt Schedule'!$G$25+'Debt Schedule'!$G$9)/$G21)^(1/Inputs!$B$39)-1</f>
        <v>0.118795838451224</v>
      </c>
      <c r="E21" s="17" t="n">
        <f aca="false">((E$20*$B$4-'Debt Schedule'!$G$25+'Debt Schedule'!$G$9)/$G21)^(1/Inputs!$B$39)-1</f>
        <v>0.12897624304557</v>
      </c>
      <c r="F21" s="17" t="n">
        <f aca="false">((F$20*$B$4-'Debt Schedule'!$G$25+'Debt Schedule'!$G$9)/$G21)^(1/Inputs!$B$39)-1</f>
        <v>0.138802162015096</v>
      </c>
      <c r="G21" s="13" t="n">
        <f aca="false">Inputs!$B$4*(1+$A21)*Inputs!$B$8+'Sources &amp; Uses'!$B$10+Inputs!$B$30*(Inputs!$B$4*(1+$A21)*Inputs!$B$8+'Sources &amp; Uses'!$B$9+'Sources &amp; Uses'!$B$10)+'Sources &amp; Uses'!$B$30-'Sources &amp; Uses'!$B$19-'Sources &amp; Uses'!$B$20-'Sources &amp; Uses'!$B$21</f>
        <v>21419.4979057066</v>
      </c>
      <c r="H21" s="27" t="n">
        <f aca="false">(Inputs!$B$4*(1+$A21)*Inputs!$B$8+'Sources &amp; Uses'!$B$9+'Sources &amp; Uses'!$B$10)/'Sources &amp; Uses'!$B$12</f>
        <v>21.3252083529566</v>
      </c>
    </row>
    <row r="22" customFormat="false" ht="15" hidden="false" customHeight="false" outlineLevel="0" collapsed="false">
      <c r="A22" s="37" t="n">
        <f aca="false">Inputs!$B$28+(-0.05)</f>
        <v>0.25</v>
      </c>
      <c r="B22" s="17" t="n">
        <f aca="false">((B$20*$B$4-'Debt Schedule'!$G$25+'Debt Schedule'!$G$9)/$G22)^(1/Inputs!$B$39)-1</f>
        <v>0.0824891790989406</v>
      </c>
      <c r="C22" s="17" t="n">
        <f aca="false">((C$20*$B$4-'Debt Schedule'!$G$25+'Debt Schedule'!$G$9)/$G22)^(1/Inputs!$B$39)-1</f>
        <v>0.0933254286926406</v>
      </c>
      <c r="D22" s="17" t="n">
        <f aca="false">((D$20*$B$4-'Debt Schedule'!$G$25+'Debt Schedule'!$G$9)/$G22)^(1/Inputs!$B$39)-1</f>
        <v>0.1037483623766</v>
      </c>
      <c r="E22" s="17" t="n">
        <f aca="false">((E$20*$B$4-'Debt Schedule'!$G$25+'Debt Schedule'!$G$9)/$G22)^(1/Inputs!$B$39)-1</f>
        <v>0.113791843513334</v>
      </c>
      <c r="F22" s="17" t="n">
        <f aca="false">((F$20*$B$4-'Debt Schedule'!$G$25+'Debt Schedule'!$G$9)/$G22)^(1/Inputs!$B$39)-1</f>
        <v>0.123485606752991</v>
      </c>
      <c r="G22" s="13" t="n">
        <f aca="false">Inputs!$B$4*(1+$A22)*Inputs!$B$8+'Sources &amp; Uses'!$B$10+Inputs!$B$30*(Inputs!$B$4*(1+$A22)*Inputs!$B$8+'Sources &amp; Uses'!$B$9+'Sources &amp; Uses'!$B$10)+'Sources &amp; Uses'!$B$30-'Sources &amp; Uses'!$B$19-'Sources &amp; Uses'!$B$20-'Sources &amp; Uses'!$B$21</f>
        <v>22919.9220642778</v>
      </c>
      <c r="H22" s="27" t="n">
        <f aca="false">(Inputs!$B$4*(1+$A22)*Inputs!$B$8+'Sources &amp; Uses'!$B$9+'Sources &amp; Uses'!$B$10)/'Sources &amp; Uses'!$B$12</f>
        <v>22.4433749578218</v>
      </c>
    </row>
    <row r="23" customFormat="false" ht="15" hidden="false" customHeight="false" outlineLevel="0" collapsed="false">
      <c r="A23" s="38" t="n">
        <f aca="false">Inputs!$B$28</f>
        <v>0.3</v>
      </c>
      <c r="B23" s="17" t="n">
        <f aca="false">((B$20*$B$4-'Debt Schedule'!$G$25+'Debt Schedule'!$G$9)/$G23)^(1/Inputs!$B$39)-1</f>
        <v>0.0688477014451763</v>
      </c>
      <c r="C23" s="17" t="n">
        <f aca="false">((C$20*$B$4-'Debt Schedule'!$G$25+'Debt Schedule'!$G$9)/$G23)^(1/Inputs!$B$39)-1</f>
        <v>0.0795473931318438</v>
      </c>
      <c r="D23" s="33" t="n">
        <f aca="false">((D$20*$B$4-'Debt Schedule'!$G$25+'Debt Schedule'!$G$9)/$G23)^(1/Inputs!$B$39)-1</f>
        <v>0.0898389774963999</v>
      </c>
      <c r="E23" s="17" t="n">
        <f aca="false">((E$20*$B$4-'Debt Schedule'!$G$25+'Debt Schedule'!$G$9)/$G23)^(1/Inputs!$B$39)-1</f>
        <v>0.099755891156859</v>
      </c>
      <c r="F23" s="17" t="n">
        <f aca="false">((F$20*$B$4-'Debt Schedule'!$G$25+'Debt Schedule'!$G$9)/$G23)^(1/Inputs!$B$39)-1</f>
        <v>0.109327494048711</v>
      </c>
      <c r="G23" s="13" t="n">
        <f aca="false">Inputs!$B$4*(1+$A23)*Inputs!$B$8+'Sources &amp; Uses'!$B$10+Inputs!$B$30*(Inputs!$B$4*(1+$A23)*Inputs!$B$8+'Sources &amp; Uses'!$B$9+'Sources &amp; Uses'!$B$10)+'Sources &amp; Uses'!$B$30-'Sources &amp; Uses'!$B$19-'Sources &amp; Uses'!$B$20-'Sources &amp; Uses'!$B$21</f>
        <v>24420.3462228489</v>
      </c>
      <c r="H23" s="27" t="n">
        <f aca="false">(Inputs!$B$4*(1+$A23)*Inputs!$B$8+'Sources &amp; Uses'!$B$9+'Sources &amp; Uses'!$B$10)/'Sources &amp; Uses'!$B$12</f>
        <v>23.5615415626871</v>
      </c>
    </row>
    <row r="24" customFormat="false" ht="15" hidden="false" customHeight="false" outlineLevel="0" collapsed="false">
      <c r="A24" s="37" t="n">
        <f aca="false">Inputs!$B$28+(0.05)</f>
        <v>0.35</v>
      </c>
      <c r="B24" s="17" t="n">
        <f aca="false">((B$20*$B$4-'Debt Schedule'!$G$25+'Debt Schedule'!$G$9)/$G24)^(1/Inputs!$B$39)-1</f>
        <v>0.0561767671631293</v>
      </c>
      <c r="C24" s="17" t="n">
        <f aca="false">((C$20*$B$4-'Debt Schedule'!$G$25+'Debt Schedule'!$G$9)/$G24)^(1/Inputs!$B$39)-1</f>
        <v>0.066749616559715</v>
      </c>
      <c r="D24" s="17" t="n">
        <f aca="false">((D$20*$B$4-'Debt Schedule'!$G$25+'Debt Schedule'!$G$9)/$G24)^(1/Inputs!$B$39)-1</f>
        <v>0.0769191966490455</v>
      </c>
      <c r="E24" s="17" t="n">
        <f aca="false">((E$20*$B$4-'Debt Schedule'!$G$25+'Debt Schedule'!$G$9)/$G24)^(1/Inputs!$B$39)-1</f>
        <v>0.0867185476660126</v>
      </c>
      <c r="F24" s="17" t="n">
        <f aca="false">((F$20*$B$4-'Debt Schedule'!$G$25+'Debt Schedule'!$G$9)/$G24)^(1/Inputs!$B$39)-1</f>
        <v>0.0961766814910807</v>
      </c>
      <c r="G24" s="13" t="n">
        <f aca="false">Inputs!$B$4*(1+$A24)*Inputs!$B$8+'Sources &amp; Uses'!$B$10+Inputs!$B$30*(Inputs!$B$4*(1+$A24)*Inputs!$B$8+'Sources &amp; Uses'!$B$9+'Sources &amp; Uses'!$B$10)+'Sources &amp; Uses'!$B$30-'Sources &amp; Uses'!$B$19-'Sources &amp; Uses'!$B$20-'Sources &amp; Uses'!$B$21</f>
        <v>25920.77038142</v>
      </c>
      <c r="H24" s="27" t="n">
        <f aca="false">(Inputs!$B$4*(1+$A24)*Inputs!$B$8+'Sources &amp; Uses'!$B$9+'Sources &amp; Uses'!$B$10)/'Sources &amp; Uses'!$B$12</f>
        <v>24.6797081675524</v>
      </c>
    </row>
    <row r="25" customFormat="false" ht="15" hidden="false" customHeight="false" outlineLevel="0" collapsed="false">
      <c r="A25" s="37" t="n">
        <f aca="false">Inputs!$B$28+(0.1)</f>
        <v>0.4</v>
      </c>
      <c r="B25" s="17" t="n">
        <f aca="false">((B$20*$B$4-'Debt Schedule'!$G$25+'Debt Schedule'!$G$9)/$G25)^(1/Inputs!$B$39)-1</f>
        <v>0.0443568437162765</v>
      </c>
      <c r="C25" s="17" t="n">
        <f aca="false">((C$20*$B$4-'Debt Schedule'!$G$25+'Debt Schedule'!$G$9)/$G25)^(1/Inputs!$B$39)-1</f>
        <v>0.0548113698601944</v>
      </c>
      <c r="D25" s="17" t="n">
        <f aca="false">((D$20*$B$4-'Debt Schedule'!$G$25+'Debt Schedule'!$G$9)/$G25)^(1/Inputs!$B$39)-1</f>
        <v>0.0648671397788418</v>
      </c>
      <c r="E25" s="17" t="n">
        <f aca="false">((E$20*$B$4-'Debt Schedule'!$G$25+'Debt Schedule'!$G$9)/$G25)^(1/Inputs!$B$39)-1</f>
        <v>0.0745568239460441</v>
      </c>
      <c r="F25" s="17" t="n">
        <f aca="false">((F$20*$B$4-'Debt Schedule'!$G$25+'Debt Schedule'!$G$9)/$G25)^(1/Inputs!$B$39)-1</f>
        <v>0.0839091095634656</v>
      </c>
      <c r="G25" s="13" t="n">
        <f aca="false">Inputs!$B$4*(1+$A25)*Inputs!$B$8+'Sources &amp; Uses'!$B$10+Inputs!$B$30*(Inputs!$B$4*(1+$A25)*Inputs!$B$8+'Sources &amp; Uses'!$B$9+'Sources &amp; Uses'!$B$10)+'Sources &amp; Uses'!$B$30-'Sources &amp; Uses'!$B$19-'Sources &amp; Uses'!$B$20-'Sources &amp; Uses'!$B$21</f>
        <v>27421.1945399911</v>
      </c>
      <c r="H25" s="27" t="n">
        <f aca="false">(Inputs!$B$4*(1+$A25)*Inputs!$B$8+'Sources &amp; Uses'!$B$9+'Sources &amp; Uses'!$B$10)/'Sources &amp; Uses'!$B$12</f>
        <v>25.7978747724176</v>
      </c>
    </row>
    <row r="27" customFormat="false" ht="15" hidden="false" customHeight="false" outlineLevel="0" collapsed="false">
      <c r="A27" s="3" t="s">
        <v>165</v>
      </c>
      <c r="B27" s="3"/>
      <c r="C27" s="3"/>
      <c r="D27" s="3"/>
      <c r="E27" s="3"/>
      <c r="F27" s="3"/>
      <c r="G27" s="3"/>
      <c r="H27" s="3"/>
    </row>
    <row r="28" customFormat="false" ht="15" hidden="false" customHeight="false" outlineLevel="0" collapsed="false">
      <c r="A28" s="2" t="s">
        <v>161</v>
      </c>
    </row>
    <row r="29" customFormat="false" ht="15" hidden="false" customHeight="false" outlineLevel="0" collapsed="false">
      <c r="A29" s="34" t="s">
        <v>162</v>
      </c>
      <c r="B29" s="35" t="n">
        <f aca="false">$B$5+(-2)</f>
        <v>21.5615415626871</v>
      </c>
      <c r="C29" s="35" t="n">
        <f aca="false">$B$5+(-1)</f>
        <v>22.5615415626871</v>
      </c>
      <c r="D29" s="36" t="n">
        <f aca="false">$B$5</f>
        <v>23.5615415626871</v>
      </c>
      <c r="E29" s="35" t="n">
        <f aca="false">$B$5+(1)</f>
        <v>24.5615415626871</v>
      </c>
      <c r="F29" s="35" t="n">
        <f aca="false">$B$5+(2)</f>
        <v>25.5615415626871</v>
      </c>
      <c r="G29" s="34" t="s">
        <v>163</v>
      </c>
      <c r="H29" s="34" t="s">
        <v>164</v>
      </c>
    </row>
    <row r="30" customFormat="false" ht="15" hidden="false" customHeight="false" outlineLevel="0" collapsed="false">
      <c r="A30" s="37" t="n">
        <f aca="false">Inputs!$B$28+(-0.1)</f>
        <v>0.2</v>
      </c>
      <c r="B30" s="39" t="n">
        <f aca="false">(B$29*$B$4-'Debt Schedule'!$G$25+'Debt Schedule'!$G$9)/$G30</f>
        <v>1.59045603624612</v>
      </c>
      <c r="C30" s="39" t="n">
        <f aca="false">(C$29*$B$4-'Debt Schedule'!$G$25+'Debt Schedule'!$G$9)/$G30</f>
        <v>1.67167210576724</v>
      </c>
      <c r="D30" s="39" t="n">
        <f aca="false">(D$29*$B$4-'Debt Schedule'!$G$25+'Debt Schedule'!$G$9)/$G30</f>
        <v>1.75288817528835</v>
      </c>
      <c r="E30" s="39" t="n">
        <f aca="false">(E$29*$B$4-'Debt Schedule'!$G$25+'Debt Schedule'!$G$9)/$G30</f>
        <v>1.83410424480947</v>
      </c>
      <c r="F30" s="39" t="n">
        <f aca="false">(F$29*$B$4-'Debt Schedule'!$G$25+'Debt Schedule'!$G$9)/$G30</f>
        <v>1.91532031433058</v>
      </c>
      <c r="G30" s="13" t="n">
        <f aca="false">Inputs!$B$4*(1+$A30)*Inputs!$B$8+'Sources &amp; Uses'!$B$10+Inputs!$B$30*(Inputs!$B$4*(1+$A30)*Inputs!$B$8+'Sources &amp; Uses'!$B$9+'Sources &amp; Uses'!$B$10)+'Sources &amp; Uses'!$B$30-'Sources &amp; Uses'!$B$19-'Sources &amp; Uses'!$B$20-'Sources &amp; Uses'!$B$21</f>
        <v>21419.4979057066</v>
      </c>
      <c r="H30" s="27" t="n">
        <f aca="false">(Inputs!$B$4*(1+$A30)*Inputs!$B$8+'Sources &amp; Uses'!$B$9+'Sources &amp; Uses'!$B$10)/'Sources &amp; Uses'!$B$12</f>
        <v>21.3252083529566</v>
      </c>
    </row>
    <row r="31" customFormat="false" ht="15" hidden="false" customHeight="false" outlineLevel="0" collapsed="false">
      <c r="A31" s="37" t="n">
        <f aca="false">Inputs!$B$28+(-0.05)</f>
        <v>0.25</v>
      </c>
      <c r="B31" s="39" t="n">
        <f aca="false">(B$29*$B$4-'Debt Schedule'!$G$25+'Debt Schedule'!$G$9)/$G31</f>
        <v>1.48633881223303</v>
      </c>
      <c r="C31" s="39" t="n">
        <f aca="false">(C$29*$B$4-'Debt Schedule'!$G$25+'Debt Schedule'!$G$9)/$G31</f>
        <v>1.56223817289136</v>
      </c>
      <c r="D31" s="39" t="n">
        <f aca="false">(D$29*$B$4-'Debt Schedule'!$G$25+'Debt Schedule'!$G$9)/$G31</f>
        <v>1.63813753354968</v>
      </c>
      <c r="E31" s="39" t="n">
        <f aca="false">(E$29*$B$4-'Debt Schedule'!$G$25+'Debt Schedule'!$G$9)/$G31</f>
        <v>1.714036894208</v>
      </c>
      <c r="F31" s="39" t="n">
        <f aca="false">(F$29*$B$4-'Debt Schedule'!$G$25+'Debt Schedule'!$G$9)/$G31</f>
        <v>1.78993625486632</v>
      </c>
      <c r="G31" s="13" t="n">
        <f aca="false">Inputs!$B$4*(1+$A31)*Inputs!$B$8+'Sources &amp; Uses'!$B$10+Inputs!$B$30*(Inputs!$B$4*(1+$A31)*Inputs!$B$8+'Sources &amp; Uses'!$B$9+'Sources &amp; Uses'!$B$10)+'Sources &amp; Uses'!$B$30-'Sources &amp; Uses'!$B$19-'Sources &amp; Uses'!$B$20-'Sources &amp; Uses'!$B$21</f>
        <v>22919.9220642778</v>
      </c>
      <c r="H31" s="27" t="n">
        <f aca="false">(Inputs!$B$4*(1+$A31)*Inputs!$B$8+'Sources &amp; Uses'!$B$9+'Sources &amp; Uses'!$B$10)/'Sources &amp; Uses'!$B$12</f>
        <v>22.4433749578218</v>
      </c>
    </row>
    <row r="32" customFormat="false" ht="15" hidden="false" customHeight="false" outlineLevel="0" collapsed="false">
      <c r="A32" s="38" t="n">
        <f aca="false">Inputs!$B$28</f>
        <v>0.3</v>
      </c>
      <c r="B32" s="39" t="n">
        <f aca="false">(B$29*$B$4-'Debt Schedule'!$G$25+'Debt Schedule'!$G$9)/$G32</f>
        <v>1.39501583747481</v>
      </c>
      <c r="C32" s="39" t="n">
        <f aca="false">(C$29*$B$4-'Debt Schedule'!$G$25+'Debt Schedule'!$G$9)/$G32</f>
        <v>1.46625182303957</v>
      </c>
      <c r="D32" s="32" t="n">
        <f aca="false">(D$29*$B$4-'Debt Schedule'!$G$25+'Debt Schedule'!$G$9)/$G32</f>
        <v>1.53748780860432</v>
      </c>
      <c r="E32" s="39" t="n">
        <f aca="false">(E$29*$B$4-'Debt Schedule'!$G$25+'Debt Schedule'!$G$9)/$G32</f>
        <v>1.60872379416908</v>
      </c>
      <c r="F32" s="39" t="n">
        <f aca="false">(F$29*$B$4-'Debt Schedule'!$G$25+'Debt Schedule'!$G$9)/$G32</f>
        <v>1.67995977973384</v>
      </c>
      <c r="G32" s="13" t="n">
        <f aca="false">Inputs!$B$4*(1+$A32)*Inputs!$B$8+'Sources &amp; Uses'!$B$10+Inputs!$B$30*(Inputs!$B$4*(1+$A32)*Inputs!$B$8+'Sources &amp; Uses'!$B$9+'Sources &amp; Uses'!$B$10)+'Sources &amp; Uses'!$B$30-'Sources &amp; Uses'!$B$19-'Sources &amp; Uses'!$B$20-'Sources &amp; Uses'!$B$21</f>
        <v>24420.3462228489</v>
      </c>
      <c r="H32" s="27" t="n">
        <f aca="false">(Inputs!$B$4*(1+$A32)*Inputs!$B$8+'Sources &amp; Uses'!$B$9+'Sources &amp; Uses'!$B$10)/'Sources &amp; Uses'!$B$12</f>
        <v>23.5615415626871</v>
      </c>
    </row>
    <row r="33" customFormat="false" ht="15" hidden="false" customHeight="false" outlineLevel="0" collapsed="false">
      <c r="A33" s="37" t="n">
        <f aca="false">Inputs!$B$28+(0.05)</f>
        <v>0.35</v>
      </c>
      <c r="B33" s="39" t="n">
        <f aca="false">(B$29*$B$4-'Debt Schedule'!$G$25+'Debt Schedule'!$G$9)/$G33</f>
        <v>1.31426532607655</v>
      </c>
      <c r="C33" s="39" t="n">
        <f aca="false">(C$29*$B$4-'Debt Schedule'!$G$25+'Debt Schedule'!$G$9)/$G33</f>
        <v>1.38137781561367</v>
      </c>
      <c r="D33" s="39" t="n">
        <f aca="false">(D$29*$B$4-'Debt Schedule'!$G$25+'Debt Schedule'!$G$9)/$G33</f>
        <v>1.4484903051508</v>
      </c>
      <c r="E33" s="39" t="n">
        <f aca="false">(E$29*$B$4-'Debt Schedule'!$G$25+'Debt Schedule'!$G$9)/$G33</f>
        <v>1.51560279468792</v>
      </c>
      <c r="F33" s="39" t="n">
        <f aca="false">(F$29*$B$4-'Debt Schedule'!$G$25+'Debt Schedule'!$G$9)/$G33</f>
        <v>1.58271528422505</v>
      </c>
      <c r="G33" s="13" t="n">
        <f aca="false">Inputs!$B$4*(1+$A33)*Inputs!$B$8+'Sources &amp; Uses'!$B$10+Inputs!$B$30*(Inputs!$B$4*(1+$A33)*Inputs!$B$8+'Sources &amp; Uses'!$B$9+'Sources &amp; Uses'!$B$10)+'Sources &amp; Uses'!$B$30-'Sources &amp; Uses'!$B$19-'Sources &amp; Uses'!$B$20-'Sources &amp; Uses'!$B$21</f>
        <v>25920.77038142</v>
      </c>
      <c r="H33" s="27" t="n">
        <f aca="false">(Inputs!$B$4*(1+$A33)*Inputs!$B$8+'Sources &amp; Uses'!$B$9+'Sources &amp; Uses'!$B$10)/'Sources &amp; Uses'!$B$12</f>
        <v>24.6797081675524</v>
      </c>
    </row>
    <row r="34" customFormat="false" ht="15" hidden="false" customHeight="false" outlineLevel="0" collapsed="false">
      <c r="A34" s="37" t="n">
        <f aca="false">Inputs!$B$28+(0.1)</f>
        <v>0.4</v>
      </c>
      <c r="B34" s="39" t="n">
        <f aca="false">(B$29*$B$4-'Debt Schedule'!$G$25+'Debt Schedule'!$G$9)/$G34</f>
        <v>1.24235177602527</v>
      </c>
      <c r="C34" s="39" t="n">
        <f aca="false">(C$29*$B$4-'Debt Schedule'!$G$25+'Debt Schedule'!$G$9)/$G34</f>
        <v>1.30579202581016</v>
      </c>
      <c r="D34" s="39" t="n">
        <f aca="false">(D$29*$B$4-'Debt Schedule'!$G$25+'Debt Schedule'!$G$9)/$G34</f>
        <v>1.36923227559506</v>
      </c>
      <c r="E34" s="39" t="n">
        <f aca="false">(E$29*$B$4-'Debt Schedule'!$G$25+'Debt Schedule'!$G$9)/$G34</f>
        <v>1.43267252537995</v>
      </c>
      <c r="F34" s="39" t="n">
        <f aca="false">(F$29*$B$4-'Debt Schedule'!$G$25+'Debt Schedule'!$G$9)/$G34</f>
        <v>1.49611277516485</v>
      </c>
      <c r="G34" s="13" t="n">
        <f aca="false">Inputs!$B$4*(1+$A34)*Inputs!$B$8+'Sources &amp; Uses'!$B$10+Inputs!$B$30*(Inputs!$B$4*(1+$A34)*Inputs!$B$8+'Sources &amp; Uses'!$B$9+'Sources &amp; Uses'!$B$10)+'Sources &amp; Uses'!$B$30-'Sources &amp; Uses'!$B$19-'Sources &amp; Uses'!$B$20-'Sources &amp; Uses'!$B$21</f>
        <v>27421.1945399911</v>
      </c>
      <c r="H34" s="27" t="n">
        <f aca="false">(Inputs!$B$4*(1+$A34)*Inputs!$B$8+'Sources &amp; Uses'!$B$9+'Sources &amp; Uses'!$B$10)/'Sources &amp; Uses'!$B$12</f>
        <v>25.7978747724176</v>
      </c>
    </row>
    <row r="36" customFormat="false" ht="15" hidden="false" customHeight="false" outlineLevel="0" collapsed="false">
      <c r="A36" s="4" t="s">
        <v>166</v>
      </c>
      <c r="B36" s="40" t="n">
        <f aca="false">ROUND(D23-B12,8)</f>
        <v>0</v>
      </c>
    </row>
    <row r="37" customFormat="false" ht="15" hidden="false" customHeight="false" outlineLevel="0" collapsed="false">
      <c r="A37" s="4" t="s">
        <v>167</v>
      </c>
      <c r="B37" s="41" t="n">
        <f aca="false">ROUND(D32-B11,8)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2026-10-16T03:22:48Z</dcterms:created>
  <dc:creator>openpyxl</dc:creator>
  <dc:description/>
  <dc:language>en-US</dc:language>
  <cp:lastModifiedBy/>
  <dcterms:modified xsi:type="dcterms:W3CDTF">2026-10-16T03:22:48Z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