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LB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<sst xmlns="http://schemas.openxmlformats.org/spreadsheetml/2006/main" count="283" uniqueCount="201">
  <si>
    <t xml:space="preserve">Zoom Communications (ZM) - Take-Private LBO: Inputs</t>
  </si>
  <si>
    <t xml:space="preserve">USD millions except per-share. Blue = hard-coded input; black = formula; purple = same-tab link; green = cross-tab link.</t>
  </si>
  <si>
    <t xml:space="preserve">Item</t>
  </si>
  <si>
    <t xml:space="preserve">Value</t>
  </si>
  <si>
    <t xml:space="preserve">Units</t>
  </si>
  <si>
    <t xml:space="preserve">Source / note</t>
  </si>
  <si>
    <t xml:space="preserve">TRANSACTION</t>
  </si>
  <si>
    <t xml:space="preserve">Current share price (close 2026-10-15)</t>
  </si>
  <si>
    <t xml:space="preserve">$/sh</t>
  </si>
  <si>
    <t xml:space="preserve">stockanalysis.com / finance.yahoo.com, close 2026-10-15</t>
  </si>
  <si>
    <t xml:space="preserve">Offer premium to current price</t>
  </si>
  <si>
    <t xml:space="preserve">%</t>
  </si>
  <si>
    <t xml:space="preserve">User assumption</t>
  </si>
  <si>
    <t xml:space="preserve">Offer price per share</t>
  </si>
  <si>
    <t xml:space="preserve">Formula</t>
  </si>
  <si>
    <t xml:space="preserve">Basic shares outstanding (Class A + B)</t>
  </si>
  <si>
    <t xml:space="preserve">m sh</t>
  </si>
  <si>
    <t xml:space="preserve">10-Q Q2 FY27 cover: 263.233m A + 28.551m B as of 2026-08-14</t>
  </si>
  <si>
    <t xml:space="preserve">Dilutive securities (RSUs/options, est.)</t>
  </si>
  <si>
    <t xml:space="preserve">Est.: Q2 FY27 diluted WASO 299.746m less basic WASO 292.879m (8-K 2026-08-25)</t>
  </si>
  <si>
    <t xml:space="preserve">Fully diluted shares</t>
  </si>
  <si>
    <t xml:space="preserve">Cash &amp; cash equivalents (2026-07-31)</t>
  </si>
  <si>
    <t xml:space="preserve">$m</t>
  </si>
  <si>
    <t xml:space="preserve">8-K Ex.99.1 filed 2026-08-25</t>
  </si>
  <si>
    <t xml:space="preserve">Marketable securities (2026-07-31)</t>
  </si>
  <si>
    <t xml:space="preserve">Existing debt</t>
  </si>
  <si>
    <t xml:space="preserve">No borrowings on balance sheet (8-K 2026-08-25)</t>
  </si>
  <si>
    <t xml:space="preserve">Minimum operating cash left in business</t>
  </si>
  <si>
    <t xml:space="preserve">Assumption (~10% of LTM revenue)</t>
  </si>
  <si>
    <t xml:space="preserve">M&amp;A / transaction fees (% of entry EV)</t>
  </si>
  <si>
    <t xml:space="preserve">Assumption</t>
  </si>
  <si>
    <t xml:space="preserve">Financing fees (% of debt raised)</t>
  </si>
  <si>
    <t xml:space="preserve">Assumed closing date</t>
  </si>
  <si>
    <t xml:space="preserve">date</t>
  </si>
  <si>
    <t xml:space="preserve">Holding period</t>
  </si>
  <si>
    <t xml:space="preserve">years</t>
  </si>
  <si>
    <t xml:space="preserve">LTM FINANCIALS (LTM to 2026-07-31 = FY26 + 6M FY27 - 6M FY26)</t>
  </si>
  <si>
    <t xml:space="preserve">Columns: FY26 (8-K 2026-02-25) | 6M FY27 | 6M FY26 (8-K 2026-08-25) | LTM</t>
  </si>
  <si>
    <t xml:space="preserve">FY2026</t>
  </si>
  <si>
    <t xml:space="preserve">6M FY27</t>
  </si>
  <si>
    <t xml:space="preserve">6M FY26</t>
  </si>
  <si>
    <t xml:space="preserve">LTM</t>
  </si>
  <si>
    <t xml:space="preserve">Revenue</t>
  </si>
  <si>
    <t xml:space="preserve">LTM formula in col H</t>
  </si>
  <si>
    <t xml:space="preserve">GAAP income from operations</t>
  </si>
  <si>
    <t xml:space="preserve">Depreciation &amp; amortization</t>
  </si>
  <si>
    <t xml:space="preserve">Stock-based compensation expense</t>
  </si>
  <si>
    <t xml:space="preserve">Capex (purchases of PP&amp;E)</t>
  </si>
  <si>
    <t xml:space="preserve">LTM EBITDA (GAAP op. income + D&amp;A)</t>
  </si>
  <si>
    <t xml:space="preserve">Formula; SBC treated as expense</t>
  </si>
  <si>
    <t xml:space="preserve">LTM Adj. EBITDA (op. income + D&amp;A + SBC)</t>
  </si>
  <si>
    <t xml:space="preserve">Formula; SBC added back (sponsor/lender convention). Basis for valuation &amp; leverage</t>
  </si>
  <si>
    <t xml:space="preserve">LTM Adj. EBITDA margin</t>
  </si>
  <si>
    <t xml:space="preserve">OPERATING ASSUMPTIONS (Year 1-5 = columns C..G of the LBO tab)</t>
  </si>
  <si>
    <t xml:space="preserve">Revenue growth Y1</t>
  </si>
  <si>
    <t xml:space="preserve">Assumption; FY27 guide $5.085-5.095bn implies ~4.5%; Q2 grew 4.9%</t>
  </si>
  <si>
    <t xml:space="preserve">Revenue growth Y2</t>
  </si>
  <si>
    <t xml:space="preserve">Revenue growth Y3</t>
  </si>
  <si>
    <t xml:space="preserve">Revenue growth Y4</t>
  </si>
  <si>
    <t xml:space="preserve">Revenue growth Y5</t>
  </si>
  <si>
    <t xml:space="preserve">Adj. EBITDA margin Y1</t>
  </si>
  <si>
    <t xml:space="preserve">Assumption; modest sponsor cost-out from 41.0% LTM</t>
  </si>
  <si>
    <t xml:space="preserve">Adj. EBITDA margin Y2</t>
  </si>
  <si>
    <t xml:space="preserve">Adj. EBITDA margin Y3</t>
  </si>
  <si>
    <t xml:space="preserve">Adj. EBITDA margin Y4</t>
  </si>
  <si>
    <t xml:space="preserve">Adj. EBITDA margin Y5</t>
  </si>
  <si>
    <t xml:space="preserve">Cash cost to replace SBC (% of revenue)</t>
  </si>
  <si>
    <t xml:space="preserve">Assumption: ~half of LTM SBC (14.6% of rev) replaced with cash comp post take-private</t>
  </si>
  <si>
    <t xml:space="preserve">D&amp;A (% of revenue)</t>
  </si>
  <si>
    <t xml:space="preserve">LTM ~2.6%</t>
  </si>
  <si>
    <t xml:space="preserve">Capex (% of revenue)</t>
  </si>
  <si>
    <t xml:space="preserve">LTM ~1.5%</t>
  </si>
  <si>
    <t xml:space="preserve">Net working capital (% of revenue)</t>
  </si>
  <si>
    <t xml:space="preserve">Approx.: AR $533m less deferred revenue $1,562m = -20.6% of LTM revenue</t>
  </si>
  <si>
    <t xml:space="preserve">Cash tax rate</t>
  </si>
  <si>
    <t xml:space="preserve">Assumption; 6M FY27 ETR ~22.1%</t>
  </si>
  <si>
    <t xml:space="preserve">FINANCING (market as of 2026-10-13/14)</t>
  </si>
  <si>
    <t xml:space="preserve">SOFR (2026-10-14)</t>
  </si>
  <si>
    <t xml:space="preserve">FRED series SOFR, obs. 2026-10-14; held flat (no forward curve)</t>
  </si>
  <si>
    <t xml:space="preserve">Term Loan B spread over SOFR</t>
  </si>
  <si>
    <t xml:space="preserve">Assumption: typical B+/BB- sponsor software TLB</t>
  </si>
  <si>
    <t xml:space="preserve">Term Loan B all-in rate</t>
  </si>
  <si>
    <t xml:space="preserve">Term Loan B size (x LTM Adj. EBITDA)</t>
  </si>
  <si>
    <t xml:space="preserve">x</t>
  </si>
  <si>
    <t xml:space="preserve">TLB mandatory amortization (% of original p.a.)</t>
  </si>
  <si>
    <t xml:space="preserve">Market standard</t>
  </si>
  <si>
    <t xml:space="preserve">Excess cash flow swept to TLB</t>
  </si>
  <si>
    <t xml:space="preserve">Assumption: 100% voluntary prepayment</t>
  </si>
  <si>
    <t xml:space="preserve">7-yr US Treasury yield (2026-10-13)</t>
  </si>
  <si>
    <t xml:space="preserve">FRED series DGS7, obs. 2026-10-13</t>
  </si>
  <si>
    <t xml:space="preserve">ICE BofA US High Yield OAS (2026-10-13)</t>
  </si>
  <si>
    <t xml:space="preserve">FRED series BAMLH0A0HYM2, obs. 2026-10-13</t>
  </si>
  <si>
    <t xml:space="preserve">New-issue / LBO concession</t>
  </si>
  <si>
    <t xml:space="preserve">Senior notes coupon (fixed)</t>
  </si>
  <si>
    <t xml:space="preserve">Formula: 7yr UST + HY OAS + concession</t>
  </si>
  <si>
    <t xml:space="preserve">Senior notes size (x LTM Adj. EBITDA)</t>
  </si>
  <si>
    <t xml:space="preserve">Assumption; non-call bullet, outstanding at exit</t>
  </si>
  <si>
    <t xml:space="preserve">Zoom Communications (ZM) - Take-Private LBO</t>
  </si>
  <si>
    <t xml:space="preserve">USD millions except per-share. Entry assumed 2026-10-31; Year 1 = 12 months to 2027-10-31 ... Year 5 exit 2031-10-31.</t>
  </si>
  <si>
    <t xml:space="preserve">SOURCES &amp; USES</t>
  </si>
  <si>
    <t xml:space="preserve">Purchase price</t>
  </si>
  <si>
    <t xml:space="preserve">Current share price</t>
  </si>
  <si>
    <t xml:space="preserve">Premium</t>
  </si>
  <si>
    <t xml:space="preserve">Fully diluted shares (m)</t>
  </si>
  <si>
    <t xml:space="preserve">Equity purchase price</t>
  </si>
  <si>
    <t xml:space="preserve">Plus: existing debt</t>
  </si>
  <si>
    <t xml:space="preserve">Less: cash + marketable securities</t>
  </si>
  <si>
    <t xml:space="preserve">Entry enterprise value</t>
  </si>
  <si>
    <t xml:space="preserve">LTM Adj. EBITDA (incl. SBC add-back)</t>
  </si>
  <si>
    <t xml:space="preserve">Entry EV / LTM Adj. EBITDA</t>
  </si>
  <si>
    <t xml:space="preserve">LTM EBITDA (SBC as expense)</t>
  </si>
  <si>
    <t xml:space="preserve">Entry EV / LTM EBITDA (SBC expensed)</t>
  </si>
  <si>
    <t xml:space="preserve">Implied premium to current market EV</t>
  </si>
  <si>
    <t xml:space="preserve">Sources</t>
  </si>
  <si>
    <t xml:space="preserve">% total</t>
  </si>
  <si>
    <t xml:space="preserve">x EBITDA</t>
  </si>
  <si>
    <t xml:space="preserve">Rate</t>
  </si>
  <si>
    <t xml:space="preserve">Term Loan B</t>
  </si>
  <si>
    <t xml:space="preserve">Senior Notes</t>
  </si>
  <si>
    <t xml:space="preserve">Existing balance sheet cash used</t>
  </si>
  <si>
    <t xml:space="preserve">Sponsor equity (plug)</t>
  </si>
  <si>
    <t xml:space="preserve">Total sources</t>
  </si>
  <si>
    <t xml:space="preserve">Uses</t>
  </si>
  <si>
    <t xml:space="preserve">Purchase of equity</t>
  </si>
  <si>
    <t xml:space="preserve">Refinance existing debt</t>
  </si>
  <si>
    <t xml:space="preserve">Transaction fees</t>
  </si>
  <si>
    <t xml:space="preserve">Financing fees</t>
  </si>
  <si>
    <t xml:space="preserve">Total uses</t>
  </si>
  <si>
    <t xml:space="preserve">Check: sources - uses (should be 0)</t>
  </si>
  <si>
    <t xml:space="preserve">Total debt / LTM Adj. EBITDA</t>
  </si>
  <si>
    <t xml:space="preserve">Sponsor equity % of total capitalization</t>
  </si>
  <si>
    <t xml:space="preserve">OPERATING MODEL</t>
  </si>
  <si>
    <t xml:space="preserve">Period</t>
  </si>
  <si>
    <t xml:space="preserve">LTM 2026-07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</si>
  <si>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</si>
  <si>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</si>
  <si>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</si>
  <si>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</si>
  <si>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</si>
  <si>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Period end (B = closing)</t>
  </si>
  <si>
    <t xml:space="preserve">Revenue growth</t>
  </si>
  <si>
    <t xml:space="preserve">Adj. EBITDA margin</t>
  </si>
  <si>
    <t xml:space="preserve">Adj. EBITDA (pre-SBC)</t>
  </si>
  <si>
    <t xml:space="preserve">Less: cash replacement of SBC</t>
  </si>
  <si>
    <t xml:space="preserve">Cash EBITDA</t>
  </si>
  <si>
    <t xml:space="preserve">Less: D&amp;A</t>
  </si>
  <si>
    <t xml:space="preserve">EBIT</t>
  </si>
  <si>
    <t xml:space="preserve">Less: interest expense</t>
  </si>
  <si>
    <t xml:space="preserve">Pre-tax income</t>
  </si>
  <si>
    <t xml:space="preserve">Less: cash taxes</t>
  </si>
  <si>
    <t xml:space="preserve">Net income</t>
  </si>
  <si>
    <t xml:space="preserve">Free cash flow</t>
  </si>
  <si>
    <t xml:space="preserve">Net working capital balance</t>
  </si>
  <si>
    <t xml:space="preserve">Plus: D&amp;A</t>
  </si>
  <si>
    <t xml:space="preserve">Less: capex</t>
  </si>
  <si>
    <t xml:space="preserve">Less: increase in NWC</t>
  </si>
  <si>
    <t xml:space="preserve">Free cash flow available for debt repayment</t>
  </si>
  <si>
    <t xml:space="preserve">DEBT SCHEDULE</t>
  </si>
  <si>
    <t xml:space="preserve">Closing</t>
  </si>
  <si>
    <t xml:space="preserve">Cash</t>
  </si>
  <si>
    <t xml:space="preserve">Beginning cash</t>
  </si>
  <si>
    <t xml:space="preserve">Plus: free cash flow</t>
  </si>
  <si>
    <t xml:space="preserve">Less: TLB mandatory amortization</t>
  </si>
  <si>
    <t xml:space="preserve">Less: TLB voluntary prepayment (sweep)</t>
  </si>
  <si>
    <t xml:space="preserve">Ending cash</t>
  </si>
  <si>
    <t xml:space="preserve">Cash available for sweep (above minimum)</t>
  </si>
  <si>
    <t xml:space="preserve">Beginning balance</t>
  </si>
  <si>
    <t xml:space="preserve">Mandatory amortization</t>
  </si>
  <si>
    <t xml:space="preserve">Voluntary prepayment (cash sweep)</t>
  </si>
  <si>
    <t xml:space="preserve">Ending balance</t>
  </si>
  <si>
    <t xml:space="preserve">Interest expense (on beginning balance)</t>
  </si>
  <si>
    <t xml:space="preserve">Ending balance (bullet, non-call)</t>
  </si>
  <si>
    <t xml:space="preserve">Interest expense</t>
  </si>
  <si>
    <t xml:space="preserve">Total interest expense</t>
  </si>
  <si>
    <t xml:space="preserve">Total debt</t>
  </si>
  <si>
    <t xml:space="preserve">Net debt</t>
  </si>
  <si>
    <t xml:space="preserve">Total debt / Adj. EBITDA</t>
  </si>
  <si>
    <t xml:space="preserve">Cash EBITDA / interest</t>
  </si>
  <si>
    <t xml:space="preserve">RETURNS ANALYSIS</t>
  </si>
  <si>
    <t xml:space="preserve">Exit EV / Adj. EBITDA (= entry multiple)</t>
  </si>
  <si>
    <t xml:space="preserve">Year 5 Adj. EBITDA</t>
  </si>
  <si>
    <t xml:space="preserve">Exit enterprise value</t>
  </si>
  <si>
    <t xml:space="preserve">Less: total debt at exit</t>
  </si>
  <si>
    <t xml:space="preserve">Plus: cash at exit</t>
  </si>
  <si>
    <t xml:space="preserve">Exit equity value</t>
  </si>
  <si>
    <t xml:space="preserve">Sponsor cash flows</t>
  </si>
  <si>
    <t xml:space="preserve">Equity (invested) / proceeds</t>
  </si>
  <si>
    <t xml:space="preserve">IRR</t>
  </si>
  <si>
    <t xml:space="preserve">MOIC</t>
  </si>
  <si>
    <t xml:space="preserve">Check: (MOIC)^(1/hold) - 1</t>
  </si>
  <si>
    <t xml:space="preserve">Value creation bridge</t>
  </si>
  <si>
    <t xml:space="preserve">EBITDA growth (at entry multiple)</t>
  </si>
  <si>
    <t xml:space="preserve">Multiple expansion</t>
  </si>
  <si>
    <t xml:space="preserve">Net debt paydown</t>
  </si>
  <si>
    <t xml:space="preserve">Less: fees &amp; cash at entry (leakage)</t>
  </si>
  <si>
    <t xml:space="preserve">Total equity gain</t>
  </si>
  <si>
    <t xml:space="preserve">SENSITIVITY: IRR (offer premium vs. exit multiple)</t>
  </si>
  <si>
    <t xml:space="preserve">Rows: offer premium | Columns: exit EV/Adj. EBITDA</t>
  </si>
  <si>
    <t xml:space="preserve">Center cell = base case; equals model IRR. Debt sized on LTM EBITDA, so premium changes only sponsor equity (and fees).</t>
  </si>
  <si>
    <t xml:space="preserve">SENSITIVITY: MOIC (offer premium vs. exit multiple)</t>
  </si>
  <si>
    <t xml:space="preserve">Center cell = base case; equals model MOIC. Debt sized on LTM EBITDA, so premium changes only sponsor equity (and fees).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</si>
</sst>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0.0%"/>
    <numFmt numFmtId="167" formatCode="#,##0.000"/>
    <numFmt numFmtId="168" formatCode="#,##0.0_);\(#,##0.0\);\-_)"/>
    <numFmt numFmtId="169" formatCode="yyyy\-mm\-dd"/>
    <numFmt numFmtId="170" formatCode="0"/>
    <numFmt numFmtId="171" formatCode="0.00%"/>
    <numFmt numFmtId="172" formatCode="0.0\x"/>
    <numFmt numFmtId="173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00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800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BDD7EE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8" min="5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15" hidden="false" customHeight="false" outlineLevel="0" collapsed="false">
      <c r="A6" s="5" t="s">
        <v>7</v>
      </c>
      <c r="B6" s="6" t="n">
        <v>98.51</v>
      </c>
      <c r="C6" s="7" t="s">
        <v>8</v>
      </c>
      <c r="D6" s="8" t="s">
        <v>9</v>
      </c>
    </row>
    <row r="7" customFormat="false" ht="15" hidden="false" customHeight="false" outlineLevel="0" collapsed="false">
      <c r="A7" s="5" t="s">
        <v>10</v>
      </c>
      <c r="B7" s="9" t="n">
        <v>0.3</v>
      </c>
      <c r="C7" s="7" t="s">
        <v>11</v>
      </c>
      <c r="D7" s="8" t="s">
        <v>12</v>
      </c>
    </row>
    <row r="8" customFormat="false" ht="15" hidden="false" customHeight="false" outlineLevel="0" collapsed="false">
      <c r="A8" s="5" t="s">
        <v>13</v>
      </c>
      <c r="B8" s="10" t="n">
        <f aca="false">B6*(1+B7)</f>
        <v>128.063</v>
      </c>
      <c r="C8" s="7" t="s">
        <v>8</v>
      </c>
      <c r="D8" s="8" t="s">
        <v>14</v>
      </c>
    </row>
    <row r="9" customFormat="false" ht="15" hidden="false" customHeight="false" outlineLevel="0" collapsed="false">
      <c r="A9" s="5" t="s">
        <v>15</v>
      </c>
      <c r="B9" s="11" t="n">
        <v>291.783711</v>
      </c>
      <c r="C9" s="7" t="s">
        <v>16</v>
      </c>
      <c r="D9" s="8" t="s">
        <v>17</v>
      </c>
    </row>
    <row r="10" customFormat="false" ht="15" hidden="false" customHeight="false" outlineLevel="0" collapsed="false">
      <c r="A10" s="5" t="s">
        <v>18</v>
      </c>
      <c r="B10" s="11" t="n">
        <v>6.867104</v>
      </c>
      <c r="C10" s="7" t="s">
        <v>16</v>
      </c>
      <c r="D10" s="8" t="s">
        <v>19</v>
      </c>
    </row>
    <row r="11" customFormat="false" ht="15" hidden="false" customHeight="false" outlineLevel="0" collapsed="false">
      <c r="A11" s="5" t="s">
        <v>20</v>
      </c>
      <c r="B11" s="12" t="n">
        <f aca="false">B9+B10</f>
        <v>298.650815</v>
      </c>
      <c r="C11" s="7" t="s">
        <v>16</v>
      </c>
      <c r="D11" s="8" t="s">
        <v>14</v>
      </c>
    </row>
    <row r="12" customFormat="false" ht="15" hidden="false" customHeight="false" outlineLevel="0" collapsed="false">
      <c r="A12" s="5" t="s">
        <v>21</v>
      </c>
      <c r="B12" s="13" t="n">
        <v>931.992</v>
      </c>
      <c r="C12" s="7" t="s">
        <v>22</v>
      </c>
      <c r="D12" s="8" t="s">
        <v>23</v>
      </c>
    </row>
    <row r="13" customFormat="false" ht="15" hidden="false" customHeight="false" outlineLevel="0" collapsed="false">
      <c r="A13" s="5" t="s">
        <v>24</v>
      </c>
      <c r="B13" s="13" t="n">
        <v>6317.729</v>
      </c>
      <c r="C13" s="7" t="s">
        <v>22</v>
      </c>
      <c r="D13" s="8" t="s">
        <v>23</v>
      </c>
    </row>
    <row r="14" customFormat="false" ht="15" hidden="false" customHeight="false" outlineLevel="0" collapsed="false">
      <c r="A14" s="5" t="s">
        <v>25</v>
      </c>
      <c r="B14" s="13" t="n">
        <v>0</v>
      </c>
      <c r="C14" s="7" t="s">
        <v>22</v>
      </c>
      <c r="D14" s="8" t="s">
        <v>26</v>
      </c>
    </row>
    <row r="15" customFormat="false" ht="15" hidden="false" customHeight="false" outlineLevel="0" collapsed="false">
      <c r="A15" s="5" t="s">
        <v>27</v>
      </c>
      <c r="B15" s="13" t="n">
        <v>500</v>
      </c>
      <c r="C15" s="7" t="s">
        <v>22</v>
      </c>
      <c r="D15" s="8" t="s">
        <v>28</v>
      </c>
    </row>
    <row r="16" customFormat="false" ht="15" hidden="false" customHeight="false" outlineLevel="0" collapsed="false">
      <c r="A16" s="5" t="s">
        <v>29</v>
      </c>
      <c r="B16" s="9" t="n">
        <v>0.015</v>
      </c>
      <c r="C16" s="7" t="s">
        <v>11</v>
      </c>
      <c r="D16" s="8" t="s">
        <v>30</v>
      </c>
    </row>
    <row r="17" customFormat="false" ht="15" hidden="false" customHeight="false" outlineLevel="0" collapsed="false">
      <c r="A17" s="5" t="s">
        <v>31</v>
      </c>
      <c r="B17" s="9" t="n">
        <v>0.0225</v>
      </c>
      <c r="C17" s="7" t="s">
        <v>11</v>
      </c>
      <c r="D17" s="8" t="s">
        <v>30</v>
      </c>
    </row>
    <row r="18" customFormat="false" ht="15" hidden="false" customHeight="false" outlineLevel="0" collapsed="false">
      <c r="A18" s="5" t="s">
        <v>32</v>
      </c>
      <c r="B18" s="14" t="n">
        <v>46326</v>
      </c>
      <c r="C18" s="7" t="s">
        <v>33</v>
      </c>
      <c r="D18" s="8" t="s">
        <v>30</v>
      </c>
    </row>
    <row r="19" customFormat="false" ht="15" hidden="false" customHeight="false" outlineLevel="0" collapsed="false">
      <c r="A19" s="5" t="s">
        <v>34</v>
      </c>
      <c r="B19" s="15" t="n">
        <v>5</v>
      </c>
      <c r="C19" s="7" t="s">
        <v>35</v>
      </c>
      <c r="D19" s="8" t="s">
        <v>12</v>
      </c>
    </row>
    <row r="21" customFormat="false" ht="15" hidden="false" customHeight="false" outlineLevel="0" collapsed="false">
      <c r="A21" s="4" t="s">
        <v>36</v>
      </c>
      <c r="B21" s="4"/>
      <c r="C21" s="4"/>
      <c r="D21" s="4"/>
    </row>
    <row r="22" customFormat="false" ht="15" hidden="false" customHeight="false" outlineLevel="0" collapsed="false">
      <c r="A22" s="2" t="s">
        <v>37</v>
      </c>
      <c r="E22" s="3" t="s">
        <v>38</v>
      </c>
      <c r="F22" s="3" t="s">
        <v>39</v>
      </c>
      <c r="G22" s="3" t="s">
        <v>40</v>
      </c>
      <c r="H22" s="3" t="s">
        <v>41</v>
      </c>
    </row>
    <row r="23" customFormat="false" ht="15" hidden="false" customHeight="false" outlineLevel="0" collapsed="false">
      <c r="A23" s="5" t="s">
        <v>42</v>
      </c>
      <c r="B23" s="16" t="n">
        <f aca="false">H23</f>
        <v>4993.05</v>
      </c>
      <c r="C23" s="7" t="s">
        <v>22</v>
      </c>
      <c r="D23" s="7" t="s">
        <v>43</v>
      </c>
      <c r="E23" s="13" t="n">
        <v>4868.769</v>
      </c>
      <c r="F23" s="13" t="n">
        <v>2516.223</v>
      </c>
      <c r="G23" s="13" t="n">
        <v>2391.942</v>
      </c>
      <c r="H23" s="17" t="n">
        <f aca="false">E23+F23-G23</f>
        <v>4993.05</v>
      </c>
    </row>
    <row r="24" customFormat="false" ht="15" hidden="false" customHeight="false" outlineLevel="0" collapsed="false">
      <c r="A24" s="5" t="s">
        <v>44</v>
      </c>
      <c r="B24" s="16" t="n">
        <f aca="false">H24</f>
        <v>1185.095</v>
      </c>
      <c r="C24" s="7" t="s">
        <v>22</v>
      </c>
      <c r="D24" s="7" t="s">
        <v>43</v>
      </c>
      <c r="E24" s="13" t="n">
        <v>1123.633</v>
      </c>
      <c r="F24" s="13" t="n">
        <v>624.789</v>
      </c>
      <c r="G24" s="13" t="n">
        <v>563.327</v>
      </c>
      <c r="H24" s="17" t="n">
        <f aca="false">E24+F24-G24</f>
        <v>1185.095</v>
      </c>
    </row>
    <row r="25" customFormat="false" ht="15" hidden="false" customHeight="false" outlineLevel="0" collapsed="false">
      <c r="A25" s="5" t="s">
        <v>45</v>
      </c>
      <c r="B25" s="16" t="n">
        <f aca="false">H25</f>
        <v>130.464</v>
      </c>
      <c r="C25" s="7" t="s">
        <v>22</v>
      </c>
      <c r="D25" s="7" t="s">
        <v>43</v>
      </c>
      <c r="E25" s="13" t="n">
        <v>132.831</v>
      </c>
      <c r="F25" s="13" t="n">
        <v>65.112</v>
      </c>
      <c r="G25" s="13" t="n">
        <v>67.479</v>
      </c>
      <c r="H25" s="17" t="n">
        <f aca="false">E25+F25-G25</f>
        <v>130.464</v>
      </c>
    </row>
    <row r="26" customFormat="false" ht="15" hidden="false" customHeight="false" outlineLevel="0" collapsed="false">
      <c r="A26" s="5" t="s">
        <v>46</v>
      </c>
      <c r="B26" s="16" t="n">
        <f aca="false">H26</f>
        <v>729.245</v>
      </c>
      <c r="C26" s="7" t="s">
        <v>22</v>
      </c>
      <c r="D26" s="7" t="s">
        <v>43</v>
      </c>
      <c r="E26" s="13" t="n">
        <v>760.776</v>
      </c>
      <c r="F26" s="13" t="n">
        <v>358.737</v>
      </c>
      <c r="G26" s="13" t="n">
        <v>390.268</v>
      </c>
      <c r="H26" s="17" t="n">
        <f aca="false">E26+F26-G26</f>
        <v>729.245</v>
      </c>
    </row>
    <row r="27" customFormat="false" ht="15" hidden="false" customHeight="false" outlineLevel="0" collapsed="false">
      <c r="A27" s="5" t="s">
        <v>47</v>
      </c>
      <c r="B27" s="16" t="n">
        <f aca="false">H27</f>
        <v>74.551</v>
      </c>
      <c r="C27" s="7" t="s">
        <v>22</v>
      </c>
      <c r="D27" s="7" t="s">
        <v>43</v>
      </c>
      <c r="E27" s="13" t="n">
        <v>64.961</v>
      </c>
      <c r="F27" s="13" t="n">
        <v>43.466</v>
      </c>
      <c r="G27" s="13" t="n">
        <v>33.876</v>
      </c>
      <c r="H27" s="17" t="n">
        <f aca="false">E27+F27-G27</f>
        <v>74.551</v>
      </c>
    </row>
    <row r="28" customFormat="false" ht="15" hidden="false" customHeight="false" outlineLevel="0" collapsed="false">
      <c r="A28" s="5" t="s">
        <v>48</v>
      </c>
      <c r="B28" s="17" t="n">
        <f aca="false">B24+B25</f>
        <v>1315.559</v>
      </c>
      <c r="C28" s="7" t="s">
        <v>22</v>
      </c>
      <c r="D28" s="8" t="s">
        <v>49</v>
      </c>
    </row>
    <row r="29" customFormat="false" ht="15" hidden="false" customHeight="false" outlineLevel="0" collapsed="false">
      <c r="A29" s="5" t="s">
        <v>50</v>
      </c>
      <c r="B29" s="17" t="n">
        <f aca="false">B28+B26</f>
        <v>2044.804</v>
      </c>
      <c r="C29" s="7" t="s">
        <v>22</v>
      </c>
      <c r="D29" s="8" t="s">
        <v>51</v>
      </c>
    </row>
    <row r="30" customFormat="false" ht="15" hidden="false" customHeight="false" outlineLevel="0" collapsed="false">
      <c r="A30" s="5" t="s">
        <v>52</v>
      </c>
      <c r="B30" s="18" t="n">
        <f aca="false">B29/B23</f>
        <v>0.409530046765003</v>
      </c>
      <c r="C30" s="7" t="s">
        <v>11</v>
      </c>
      <c r="D30" s="8" t="s">
        <v>14</v>
      </c>
    </row>
    <row r="32" customFormat="false" ht="15" hidden="false" customHeight="false" outlineLevel="0" collapsed="false">
      <c r="A32" s="4" t="s">
        <v>53</v>
      </c>
      <c r="B32" s="4"/>
      <c r="C32" s="4"/>
      <c r="D32" s="4"/>
    </row>
    <row r="33" customFormat="false" ht="15" hidden="false" customHeight="false" outlineLevel="0" collapsed="false">
      <c r="A33" s="5" t="s">
        <v>54</v>
      </c>
      <c r="B33" s="9" t="n">
        <v>0.04</v>
      </c>
      <c r="C33" s="7" t="s">
        <v>11</v>
      </c>
      <c r="D33" s="8" t="s">
        <v>55</v>
      </c>
    </row>
    <row r="34" customFormat="false" ht="15" hidden="false" customHeight="false" outlineLevel="0" collapsed="false">
      <c r="A34" s="5" t="s">
        <v>56</v>
      </c>
      <c r="B34" s="9" t="n">
        <v>0.04</v>
      </c>
      <c r="C34" s="7" t="s">
        <v>11</v>
      </c>
      <c r="D34" s="8" t="s">
        <v>30</v>
      </c>
    </row>
    <row r="35" customFormat="false" ht="15" hidden="false" customHeight="false" outlineLevel="0" collapsed="false">
      <c r="A35" s="5" t="s">
        <v>57</v>
      </c>
      <c r="B35" s="9" t="n">
        <v>0.035</v>
      </c>
      <c r="C35" s="7" t="s">
        <v>11</v>
      </c>
      <c r="D35" s="8" t="s">
        <v>30</v>
      </c>
    </row>
    <row r="36" customFormat="false" ht="15" hidden="false" customHeight="false" outlineLevel="0" collapsed="false">
      <c r="A36" s="5" t="s">
        <v>58</v>
      </c>
      <c r="B36" s="9" t="n">
        <v>0.035</v>
      </c>
      <c r="C36" s="7" t="s">
        <v>11</v>
      </c>
      <c r="D36" s="8" t="s">
        <v>30</v>
      </c>
    </row>
    <row r="37" customFormat="false" ht="15" hidden="false" customHeight="false" outlineLevel="0" collapsed="false">
      <c r="A37" s="5" t="s">
        <v>59</v>
      </c>
      <c r="B37" s="9" t="n">
        <v>0.03</v>
      </c>
      <c r="C37" s="7" t="s">
        <v>11</v>
      </c>
      <c r="D37" s="8" t="s">
        <v>30</v>
      </c>
    </row>
    <row r="38" customFormat="false" ht="15" hidden="false" customHeight="false" outlineLevel="0" collapsed="false">
      <c r="A38" s="5" t="s">
        <v>60</v>
      </c>
      <c r="B38" s="9" t="n">
        <v>0.415</v>
      </c>
      <c r="C38" s="7" t="s">
        <v>11</v>
      </c>
      <c r="D38" s="8" t="s">
        <v>61</v>
      </c>
    </row>
    <row r="39" customFormat="false" ht="15" hidden="false" customHeight="false" outlineLevel="0" collapsed="false">
      <c r="A39" s="5" t="s">
        <v>62</v>
      </c>
      <c r="B39" s="9" t="n">
        <v>0.42</v>
      </c>
      <c r="C39" s="7" t="s">
        <v>11</v>
      </c>
      <c r="D39" s="8" t="s">
        <v>30</v>
      </c>
    </row>
    <row r="40" customFormat="false" ht="15" hidden="false" customHeight="false" outlineLevel="0" collapsed="false">
      <c r="A40" s="5" t="s">
        <v>63</v>
      </c>
      <c r="B40" s="9" t="n">
        <v>0.425</v>
      </c>
      <c r="C40" s="7" t="s">
        <v>11</v>
      </c>
      <c r="D40" s="8" t="s">
        <v>30</v>
      </c>
    </row>
    <row r="41" customFormat="false" ht="15" hidden="false" customHeight="false" outlineLevel="0" collapsed="false">
      <c r="A41" s="5" t="s">
        <v>64</v>
      </c>
      <c r="B41" s="9" t="n">
        <v>0.43</v>
      </c>
      <c r="C41" s="7" t="s">
        <v>11</v>
      </c>
      <c r="D41" s="8" t="s">
        <v>30</v>
      </c>
    </row>
    <row r="42" customFormat="false" ht="15" hidden="false" customHeight="false" outlineLevel="0" collapsed="false">
      <c r="A42" s="5" t="s">
        <v>65</v>
      </c>
      <c r="B42" s="9" t="n">
        <v>0.43</v>
      </c>
      <c r="C42" s="7" t="s">
        <v>11</v>
      </c>
      <c r="D42" s="8" t="s">
        <v>30</v>
      </c>
    </row>
    <row r="43" customFormat="false" ht="15" hidden="false" customHeight="false" outlineLevel="0" collapsed="false">
      <c r="A43" s="5" t="s">
        <v>66</v>
      </c>
      <c r="B43" s="9" t="n">
        <v>0.07</v>
      </c>
      <c r="C43" s="7" t="s">
        <v>11</v>
      </c>
      <c r="D43" s="8" t="s">
        <v>67</v>
      </c>
    </row>
    <row r="44" customFormat="false" ht="15" hidden="false" customHeight="false" outlineLevel="0" collapsed="false">
      <c r="A44" s="5" t="s">
        <v>68</v>
      </c>
      <c r="B44" s="9" t="n">
        <v>0.026</v>
      </c>
      <c r="C44" s="7" t="s">
        <v>11</v>
      </c>
      <c r="D44" s="8" t="s">
        <v>69</v>
      </c>
    </row>
    <row r="45" customFormat="false" ht="15" hidden="false" customHeight="false" outlineLevel="0" collapsed="false">
      <c r="A45" s="5" t="s">
        <v>70</v>
      </c>
      <c r="B45" s="9" t="n">
        <v>0.015</v>
      </c>
      <c r="C45" s="7" t="s">
        <v>11</v>
      </c>
      <c r="D45" s="8" t="s">
        <v>71</v>
      </c>
    </row>
    <row r="46" customFormat="false" ht="15" hidden="false" customHeight="false" outlineLevel="0" collapsed="false">
      <c r="A46" s="5" t="s">
        <v>72</v>
      </c>
      <c r="B46" s="9" t="n">
        <v>-0.2</v>
      </c>
      <c r="C46" s="7" t="s">
        <v>11</v>
      </c>
      <c r="D46" s="8" t="s">
        <v>73</v>
      </c>
    </row>
    <row r="47" customFormat="false" ht="15" hidden="false" customHeight="false" outlineLevel="0" collapsed="false">
      <c r="A47" s="5" t="s">
        <v>74</v>
      </c>
      <c r="B47" s="9" t="n">
        <v>0.23</v>
      </c>
      <c r="C47" s="7" t="s">
        <v>11</v>
      </c>
      <c r="D47" s="8" t="s">
        <v>75</v>
      </c>
    </row>
    <row r="49" customFormat="false" ht="15" hidden="false" customHeight="false" outlineLevel="0" collapsed="false">
      <c r="A49" s="4" t="s">
        <v>76</v>
      </c>
      <c r="B49" s="4"/>
      <c r="C49" s="4"/>
      <c r="D49" s="4"/>
    </row>
    <row r="50" customFormat="false" ht="15" hidden="false" customHeight="false" outlineLevel="0" collapsed="false">
      <c r="A50" s="5" t="s">
        <v>77</v>
      </c>
      <c r="B50" s="19" t="n">
        <v>0.0388</v>
      </c>
      <c r="C50" s="7" t="s">
        <v>11</v>
      </c>
      <c r="D50" s="8" t="s">
        <v>78</v>
      </c>
    </row>
    <row r="51" customFormat="false" ht="15" hidden="false" customHeight="false" outlineLevel="0" collapsed="false">
      <c r="A51" s="5" t="s">
        <v>79</v>
      </c>
      <c r="B51" s="19" t="n">
        <v>0.0325</v>
      </c>
      <c r="C51" s="7" t="s">
        <v>11</v>
      </c>
      <c r="D51" s="8" t="s">
        <v>80</v>
      </c>
    </row>
    <row r="52" customFormat="false" ht="15" hidden="false" customHeight="false" outlineLevel="0" collapsed="false">
      <c r="A52" s="5" t="s">
        <v>81</v>
      </c>
      <c r="B52" s="20" t="n">
        <f aca="false">B50+B51</f>
        <v>0.0713</v>
      </c>
      <c r="C52" s="7" t="s">
        <v>11</v>
      </c>
      <c r="D52" s="8" t="s">
        <v>14</v>
      </c>
    </row>
    <row r="53" customFormat="false" ht="15" hidden="false" customHeight="false" outlineLevel="0" collapsed="false">
      <c r="A53" s="5" t="s">
        <v>82</v>
      </c>
      <c r="B53" s="21" t="n">
        <v>4</v>
      </c>
      <c r="C53" s="7" t="s">
        <v>83</v>
      </c>
      <c r="D53" s="8" t="s">
        <v>30</v>
      </c>
    </row>
    <row r="54" customFormat="false" ht="15" hidden="false" customHeight="false" outlineLevel="0" collapsed="false">
      <c r="A54" s="5" t="s">
        <v>84</v>
      </c>
      <c r="B54" s="9" t="n">
        <v>0.01</v>
      </c>
      <c r="C54" s="7" t="s">
        <v>11</v>
      </c>
      <c r="D54" s="8" t="s">
        <v>85</v>
      </c>
    </row>
    <row r="55" customFormat="false" ht="15" hidden="false" customHeight="false" outlineLevel="0" collapsed="false">
      <c r="A55" s="5" t="s">
        <v>86</v>
      </c>
      <c r="B55" s="9" t="n">
        <v>1</v>
      </c>
      <c r="C55" s="7" t="s">
        <v>11</v>
      </c>
      <c r="D55" s="8" t="s">
        <v>87</v>
      </c>
    </row>
    <row r="56" customFormat="false" ht="15" hidden="false" customHeight="false" outlineLevel="0" collapsed="false">
      <c r="A56" s="5" t="s">
        <v>88</v>
      </c>
      <c r="B56" s="19" t="n">
        <v>0.0511</v>
      </c>
      <c r="C56" s="7" t="s">
        <v>11</v>
      </c>
      <c r="D56" s="8" t="s">
        <v>89</v>
      </c>
    </row>
    <row r="57" customFormat="false" ht="15" hidden="false" customHeight="false" outlineLevel="0" collapsed="false">
      <c r="A57" s="5" t="s">
        <v>90</v>
      </c>
      <c r="B57" s="19" t="n">
        <v>0.0316</v>
      </c>
      <c r="C57" s="7" t="s">
        <v>11</v>
      </c>
      <c r="D57" s="8" t="s">
        <v>91</v>
      </c>
    </row>
    <row r="58" customFormat="false" ht="15" hidden="false" customHeight="false" outlineLevel="0" collapsed="false">
      <c r="A58" s="5" t="s">
        <v>92</v>
      </c>
      <c r="B58" s="19" t="n">
        <v>0.005</v>
      </c>
      <c r="C58" s="7" t="s">
        <v>11</v>
      </c>
      <c r="D58" s="8" t="s">
        <v>30</v>
      </c>
    </row>
    <row r="59" customFormat="false" ht="15" hidden="false" customHeight="false" outlineLevel="0" collapsed="false">
      <c r="A59" s="5" t="s">
        <v>93</v>
      </c>
      <c r="B59" s="20" t="n">
        <f aca="false">B56+B57+B58</f>
        <v>0.0877</v>
      </c>
      <c r="C59" s="7" t="s">
        <v>11</v>
      </c>
      <c r="D59" s="8" t="s">
        <v>94</v>
      </c>
    </row>
    <row r="60" customFormat="false" ht="15" hidden="false" customHeight="false" outlineLevel="0" collapsed="false">
      <c r="A60" s="5" t="s">
        <v>95</v>
      </c>
      <c r="B60" s="21" t="n">
        <v>2</v>
      </c>
      <c r="C60" s="7" t="s">
        <v>83</v>
      </c>
      <c r="D60" s="8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4" t="s">
        <v>99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" t="s">
        <v>100</v>
      </c>
    </row>
    <row r="6" customFormat="false" ht="15" hidden="false" customHeight="false" outlineLevel="0" collapsed="false">
      <c r="A6" s="5" t="s">
        <v>101</v>
      </c>
      <c r="B6" s="22" t="n">
        <f aca="false">Inputs!B6</f>
        <v>98.51</v>
      </c>
    </row>
    <row r="7" customFormat="false" ht="15" hidden="false" customHeight="false" outlineLevel="0" collapsed="false">
      <c r="A7" s="5" t="s">
        <v>102</v>
      </c>
      <c r="B7" s="23" t="n">
        <f aca="false">Inputs!B7</f>
        <v>0.3</v>
      </c>
    </row>
    <row r="8" customFormat="false" ht="15" hidden="false" customHeight="false" outlineLevel="0" collapsed="false">
      <c r="A8" s="5" t="s">
        <v>13</v>
      </c>
      <c r="B8" s="22" t="n">
        <f aca="false">Inputs!B8</f>
        <v>128.063</v>
      </c>
    </row>
    <row r="9" customFormat="false" ht="15" hidden="false" customHeight="false" outlineLevel="0" collapsed="false">
      <c r="A9" s="5" t="s">
        <v>103</v>
      </c>
      <c r="B9" s="24" t="n">
        <f aca="false">Inputs!B11</f>
        <v>298.650815</v>
      </c>
    </row>
    <row r="10" customFormat="false" ht="15" hidden="false" customHeight="false" outlineLevel="0" collapsed="false">
      <c r="A10" s="25" t="s">
        <v>104</v>
      </c>
      <c r="B10" s="26" t="n">
        <f aca="false">B8*B9</f>
        <v>38246.119321345</v>
      </c>
    </row>
    <row r="11" customFormat="false" ht="15" hidden="false" customHeight="false" outlineLevel="0" collapsed="false">
      <c r="A11" s="5" t="s">
        <v>105</v>
      </c>
      <c r="B11" s="27" t="n">
        <f aca="false">Inputs!B14</f>
        <v>0</v>
      </c>
    </row>
    <row r="12" customFormat="false" ht="15" hidden="false" customHeight="false" outlineLevel="0" collapsed="false">
      <c r="A12" s="5" t="s">
        <v>106</v>
      </c>
      <c r="B12" s="17" t="n">
        <f aca="false">-(Inputs!B12+Inputs!B13)</f>
        <v>-7249.721</v>
      </c>
    </row>
    <row r="13" customFormat="false" ht="15" hidden="false" customHeight="false" outlineLevel="0" collapsed="false">
      <c r="A13" s="25" t="s">
        <v>107</v>
      </c>
      <c r="B13" s="26" t="n">
        <f aca="false">B10+B11+B12</f>
        <v>30996.398321345</v>
      </c>
    </row>
    <row r="14" customFormat="false" ht="15" hidden="false" customHeight="false" outlineLevel="0" collapsed="false">
      <c r="A14" s="5" t="s">
        <v>108</v>
      </c>
      <c r="B14" s="27" t="n">
        <f aca="false">Inputs!B29</f>
        <v>2044.804</v>
      </c>
    </row>
    <row r="15" customFormat="false" ht="15" hidden="false" customHeight="false" outlineLevel="0" collapsed="false">
      <c r="A15" s="25" t="s">
        <v>109</v>
      </c>
      <c r="B15" s="28" t="n">
        <f aca="false">B13/B14</f>
        <v>15.1586158484358</v>
      </c>
    </row>
    <row r="16" customFormat="false" ht="15" hidden="false" customHeight="false" outlineLevel="0" collapsed="false">
      <c r="A16" s="5" t="s">
        <v>110</v>
      </c>
      <c r="B16" s="27" t="n">
        <f aca="false">Inputs!B28</f>
        <v>1315.559</v>
      </c>
    </row>
    <row r="17" customFormat="false" ht="15" hidden="false" customHeight="false" outlineLevel="0" collapsed="false">
      <c r="A17" s="5" t="s">
        <v>111</v>
      </c>
      <c r="B17" s="29" t="n">
        <f aca="false">B13/B16</f>
        <v>23.5613897372486</v>
      </c>
    </row>
    <row r="18" customFormat="false" ht="15" hidden="false" customHeight="false" outlineLevel="0" collapsed="false">
      <c r="A18" s="5" t="s">
        <v>112</v>
      </c>
      <c r="B18" s="18" t="n">
        <f aca="false">B13/(B6*B9+B11+B12)-1</f>
        <v>0.398100131974687</v>
      </c>
    </row>
    <row r="20" customFormat="false" ht="15" hidden="false" customHeight="false" outlineLevel="0" collapsed="false">
      <c r="A20" s="3" t="s">
        <v>113</v>
      </c>
      <c r="B20" s="3" t="s">
        <v>22</v>
      </c>
      <c r="C20" s="3" t="s">
        <v>114</v>
      </c>
      <c r="D20" s="3" t="s">
        <v>115</v>
      </c>
      <c r="E20" s="3" t="s">
        <v>116</v>
      </c>
      <c r="F20" s="3"/>
      <c r="G20" s="3"/>
    </row>
    <row r="21" customFormat="false" ht="15" hidden="false" customHeight="false" outlineLevel="0" collapsed="false">
      <c r="A21" s="5" t="s">
        <v>117</v>
      </c>
      <c r="B21" s="17" t="n">
        <f aca="false">Inputs!B53*B14</f>
        <v>8179.216</v>
      </c>
      <c r="C21" s="18" t="n">
        <f aca="false">B21/$B$25</f>
        <v>0.209792805755547</v>
      </c>
      <c r="D21" s="29" t="n">
        <f aca="false">B21/B14</f>
        <v>4</v>
      </c>
      <c r="E21" s="30" t="n">
        <f aca="false">Inputs!B52</f>
        <v>0.0713</v>
      </c>
    </row>
    <row r="22" customFormat="false" ht="15" hidden="false" customHeight="false" outlineLevel="0" collapsed="false">
      <c r="A22" s="5" t="s">
        <v>118</v>
      </c>
      <c r="B22" s="17" t="n">
        <f aca="false">Inputs!B60*B14</f>
        <v>4089.608</v>
      </c>
      <c r="C22" s="18" t="n">
        <f aca="false">B22/$B$25</f>
        <v>0.104896402877773</v>
      </c>
      <c r="D22" s="29" t="n">
        <f aca="false">B22/B14</f>
        <v>2</v>
      </c>
      <c r="E22" s="30" t="n">
        <f aca="false">Inputs!B59</f>
        <v>0.0877</v>
      </c>
    </row>
    <row r="23" customFormat="false" ht="15" hidden="false" customHeight="false" outlineLevel="0" collapsed="false">
      <c r="A23" s="5" t="s">
        <v>119</v>
      </c>
      <c r="B23" s="17" t="n">
        <f aca="false">Inputs!B12+Inputs!B13-Inputs!B15</f>
        <v>6749.721</v>
      </c>
      <c r="C23" s="18" t="n">
        <f aca="false">B23/$B$25</f>
        <v>0.17312697288556</v>
      </c>
    </row>
    <row r="24" customFormat="false" ht="15" hidden="false" customHeight="false" outlineLevel="0" collapsed="false">
      <c r="A24" s="25" t="s">
        <v>120</v>
      </c>
      <c r="B24" s="31" t="n">
        <f aca="false">B32-SUM(B21:B23)</f>
        <v>19968.5688361652</v>
      </c>
      <c r="C24" s="18" t="n">
        <f aca="false">B24/$B$25</f>
        <v>0.51218381848112</v>
      </c>
    </row>
    <row r="25" customFormat="false" ht="15" hidden="false" customHeight="false" outlineLevel="0" collapsed="false">
      <c r="A25" s="1" t="s">
        <v>121</v>
      </c>
      <c r="B25" s="26" t="n">
        <f aca="false">SUM(B21:B24)</f>
        <v>38987.1138361652</v>
      </c>
      <c r="C25" s="18" t="n">
        <f aca="false">B25/$B$25</f>
        <v>1</v>
      </c>
    </row>
    <row r="27" customFormat="false" ht="15" hidden="false" customHeight="false" outlineLevel="0" collapsed="false">
      <c r="A27" s="3" t="s">
        <v>122</v>
      </c>
      <c r="B27" s="3" t="s">
        <v>22</v>
      </c>
      <c r="C27" s="3" t="s">
        <v>114</v>
      </c>
    </row>
    <row r="28" customFormat="false" ht="15" hidden="false" customHeight="false" outlineLevel="0" collapsed="false">
      <c r="A28" s="5" t="s">
        <v>123</v>
      </c>
      <c r="B28" s="16" t="n">
        <f aca="false">B10</f>
        <v>38246.119321345</v>
      </c>
      <c r="C28" s="18" t="n">
        <f aca="false">B28/$B$32</f>
        <v>0.980993860742448</v>
      </c>
    </row>
    <row r="29" customFormat="false" ht="15" hidden="false" customHeight="false" outlineLevel="0" collapsed="false">
      <c r="A29" s="5" t="s">
        <v>124</v>
      </c>
      <c r="B29" s="16" t="n">
        <f aca="false">B11</f>
        <v>0</v>
      </c>
      <c r="C29" s="18" t="n">
        <f aca="false">B29/$B$32</f>
        <v>0</v>
      </c>
    </row>
    <row r="30" customFormat="false" ht="15" hidden="false" customHeight="false" outlineLevel="0" collapsed="false">
      <c r="A30" s="5" t="s">
        <v>125</v>
      </c>
      <c r="B30" s="17" t="n">
        <f aca="false">Inputs!B16*B13</f>
        <v>464.945974820175</v>
      </c>
      <c r="C30" s="18" t="n">
        <f aca="false">B30/$B$32</f>
        <v>0.011925632063302</v>
      </c>
    </row>
    <row r="31" customFormat="false" ht="15" hidden="false" customHeight="false" outlineLevel="0" collapsed="false">
      <c r="A31" s="5" t="s">
        <v>126</v>
      </c>
      <c r="B31" s="17" t="n">
        <f aca="false">Inputs!B17*(B21+B22)</f>
        <v>276.04854</v>
      </c>
      <c r="C31" s="18" t="n">
        <f aca="false">B31/$B$32</f>
        <v>0.00708050719424971</v>
      </c>
    </row>
    <row r="32" customFormat="false" ht="15" hidden="false" customHeight="false" outlineLevel="0" collapsed="false">
      <c r="A32" s="1" t="s">
        <v>127</v>
      </c>
      <c r="B32" s="26" t="n">
        <f aca="false">SUM(B28:B31)</f>
        <v>38987.1138361652</v>
      </c>
      <c r="C32" s="18" t="n">
        <f aca="false">B32/$B$32</f>
        <v>1</v>
      </c>
    </row>
    <row r="33" customFormat="false" ht="15" hidden="false" customHeight="false" outlineLevel="0" collapsed="false">
      <c r="A33" s="5" t="s">
        <v>128</v>
      </c>
      <c r="B33" s="17" t="n">
        <f aca="false">B25-B32</f>
        <v>0</v>
      </c>
    </row>
    <row r="34" customFormat="false" ht="15" hidden="false" customHeight="false" outlineLevel="0" collapsed="false">
      <c r="A34" s="5" t="s">
        <v>129</v>
      </c>
      <c r="B34" s="29" t="n">
        <f aca="false">(B21+B22)/B14</f>
        <v>6</v>
      </c>
    </row>
    <row r="35" customFormat="false" ht="15" hidden="false" customHeight="false" outlineLevel="0" collapsed="false">
      <c r="A35" s="5" t="s">
        <v>130</v>
      </c>
      <c r="B35" s="18" t="n">
        <f aca="false">B24/(B24+B21+B22)</f>
        <v>0.619422573582429</v>
      </c>
    </row>
    <row r="37" customFormat="false" ht="15" hidden="false" customHeight="false" outlineLevel="0" collapsed="false">
      <c r="A37" s="4" t="s">
        <v>131</v>
      </c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32" t="s">
        <v>132</v>
      </c>
      <c r="B38" s="33" t="s">
        <v>133</v>
      </c>
      <c r="C38" s="33" t="s">
        <v>134</v>
      </c>
      <c r="D38" s="33" t="s">
        <v>135</v>
      </c>
      <c r="E38" s="33" t="s">
        <v>136</v>
      </c>
      <c r="F38" s="33" t="s">
        <v>137</v>
      </c>
      <c r="G38" s="33" t="s">
        <v>138</v>
      </c>
    </row>
    <row r="39" customFormat="false" ht="15" hidden="false" customHeight="false" outlineLevel="0" collapsed="false">
      <c r="A39" s="34" t="s">
        <v>139</v>
      </c>
      <c r="B39" s="35" t="n">
        <f aca="false">Inputs!B18</f>
        <v>46326</v>
      </c>
      <c r="C39" s="36" t="n">
        <f aca="false">EDATE(Inputs!B18,12)</f>
        <v>46691</v>
      </c>
      <c r="D39" s="36" t="n">
        <f aca="false">EDATE(Inputs!B18,24)</f>
        <v>47057</v>
      </c>
      <c r="E39" s="36" t="n">
        <f aca="false">EDATE(Inputs!B18,36)</f>
        <v>47422</v>
      </c>
      <c r="F39" s="36" t="n">
        <f aca="false">EDATE(Inputs!B18,48)</f>
        <v>47787</v>
      </c>
      <c r="G39" s="36" t="n">
        <f aca="false">EDATE(Inputs!B18,60)</f>
        <v>48152</v>
      </c>
    </row>
    <row r="40" customFormat="false" ht="15" hidden="false" customHeight="false" outlineLevel="0" collapsed="false">
      <c r="A40" s="5" t="s">
        <v>140</v>
      </c>
      <c r="C40" s="23" t="n">
        <f aca="false">Inputs!B33</f>
        <v>0.04</v>
      </c>
      <c r="D40" s="23" t="n">
        <f aca="false">Inputs!B34</f>
        <v>0.04</v>
      </c>
      <c r="E40" s="23" t="n">
        <f aca="false">Inputs!B35</f>
        <v>0.035</v>
      </c>
      <c r="F40" s="23" t="n">
        <f aca="false">Inputs!B36</f>
        <v>0.035</v>
      </c>
      <c r="G40" s="23" t="n">
        <f aca="false">Inputs!B37</f>
        <v>0.03</v>
      </c>
    </row>
    <row r="41" customFormat="false" ht="15" hidden="false" customHeight="false" outlineLevel="0" collapsed="false">
      <c r="A41" s="25" t="s">
        <v>42</v>
      </c>
      <c r="B41" s="37" t="n">
        <f aca="false">Inputs!B23</f>
        <v>4993.05</v>
      </c>
      <c r="C41" s="26" t="n">
        <f aca="false">B41*(1+C40)</f>
        <v>5192.772</v>
      </c>
      <c r="D41" s="26" t="n">
        <f aca="false">C41*(1+D40)</f>
        <v>5400.48288</v>
      </c>
      <c r="E41" s="26" t="n">
        <f aca="false">D41*(1+E40)</f>
        <v>5589.4997808</v>
      </c>
      <c r="F41" s="26" t="n">
        <f aca="false">E41*(1+F40)</f>
        <v>5785.132273128</v>
      </c>
      <c r="G41" s="26" t="n">
        <f aca="false">F41*(1+G40)</f>
        <v>5958.68624132184</v>
      </c>
    </row>
    <row r="42" customFormat="false" ht="15" hidden="false" customHeight="false" outlineLevel="0" collapsed="false">
      <c r="A42" s="5" t="s">
        <v>141</v>
      </c>
      <c r="B42" s="23" t="n">
        <f aca="false">Inputs!B30</f>
        <v>0.409530046765003</v>
      </c>
      <c r="C42" s="23" t="n">
        <f aca="false">Inputs!B38</f>
        <v>0.415</v>
      </c>
      <c r="D42" s="23" t="n">
        <f aca="false">Inputs!B39</f>
        <v>0.42</v>
      </c>
      <c r="E42" s="23" t="n">
        <f aca="false">Inputs!B40</f>
        <v>0.425</v>
      </c>
      <c r="F42" s="23" t="n">
        <f aca="false">Inputs!B41</f>
        <v>0.43</v>
      </c>
      <c r="G42" s="23" t="n">
        <f aca="false">Inputs!B42</f>
        <v>0.43</v>
      </c>
    </row>
    <row r="43" customFormat="false" ht="15" hidden="false" customHeight="false" outlineLevel="0" collapsed="false">
      <c r="A43" s="25" t="s">
        <v>142</v>
      </c>
      <c r="B43" s="37" t="n">
        <f aca="false">Inputs!B29</f>
        <v>2044.804</v>
      </c>
      <c r="C43" s="26" t="n">
        <f aca="false">C41*C42</f>
        <v>2155.00038</v>
      </c>
      <c r="D43" s="26" t="n">
        <f aca="false">D41*D42</f>
        <v>2268.2028096</v>
      </c>
      <c r="E43" s="26" t="n">
        <f aca="false">E41*E42</f>
        <v>2375.53740684</v>
      </c>
      <c r="F43" s="26" t="n">
        <f aca="false">F41*F42</f>
        <v>2487.60687744504</v>
      </c>
      <c r="G43" s="26" t="n">
        <f aca="false">G41*G42</f>
        <v>2562.23508376839</v>
      </c>
    </row>
    <row r="44" customFormat="false" ht="15" hidden="false" customHeight="false" outlineLevel="0" collapsed="false">
      <c r="A44" s="5" t="s">
        <v>143</v>
      </c>
      <c r="C44" s="17" t="n">
        <f aca="false">-C41*Inputs!B43</f>
        <v>-363.49404</v>
      </c>
      <c r="D44" s="17" t="n">
        <f aca="false">-D41*Inputs!B43</f>
        <v>-378.0338016</v>
      </c>
      <c r="E44" s="17" t="n">
        <f aca="false">-E41*Inputs!B43</f>
        <v>-391.264984656</v>
      </c>
      <c r="F44" s="17" t="n">
        <f aca="false">-F41*Inputs!B43</f>
        <v>-404.95925911896</v>
      </c>
      <c r="G44" s="17" t="n">
        <f aca="false">-G41*Inputs!B43</f>
        <v>-417.108036892529</v>
      </c>
    </row>
    <row r="45" customFormat="false" ht="15" hidden="false" customHeight="false" outlineLevel="0" collapsed="false">
      <c r="A45" s="25" t="s">
        <v>144</v>
      </c>
      <c r="C45" s="26" t="n">
        <f aca="false">C43+C44</f>
        <v>1791.50634</v>
      </c>
      <c r="D45" s="26" t="n">
        <f aca="false">D43+D44</f>
        <v>1890.169008</v>
      </c>
      <c r="E45" s="26" t="n">
        <f aca="false">E43+E44</f>
        <v>1984.272422184</v>
      </c>
      <c r="F45" s="26" t="n">
        <f aca="false">F43+F44</f>
        <v>2082.64761832608</v>
      </c>
      <c r="G45" s="26" t="n">
        <f aca="false">G43+G44</f>
        <v>2145.12704687586</v>
      </c>
    </row>
    <row r="46" customFormat="false" ht="15" hidden="false" customHeight="false" outlineLevel="0" collapsed="false">
      <c r="A46" s="5" t="s">
        <v>145</v>
      </c>
      <c r="C46" s="17" t="n">
        <f aca="false">-C41*Inputs!B44</f>
        <v>-135.012072</v>
      </c>
      <c r="D46" s="17" t="n">
        <f aca="false">-D41*Inputs!B44</f>
        <v>-140.41255488</v>
      </c>
      <c r="E46" s="17" t="n">
        <f aca="false">-E41*Inputs!B44</f>
        <v>-145.3269943008</v>
      </c>
      <c r="F46" s="17" t="n">
        <f aca="false">-F41*Inputs!B44</f>
        <v>-150.413439101328</v>
      </c>
      <c r="G46" s="17" t="n">
        <f aca="false">-G41*Inputs!B44</f>
        <v>-154.925842274368</v>
      </c>
    </row>
    <row r="47" customFormat="false" ht="15" hidden="false" customHeight="false" outlineLevel="0" collapsed="false">
      <c r="A47" s="5" t="s">
        <v>146</v>
      </c>
      <c r="C47" s="17" t="n">
        <f aca="false">C45+C46</f>
        <v>1656.494268</v>
      </c>
      <c r="D47" s="17" t="n">
        <f aca="false">D45+D46</f>
        <v>1749.75645312</v>
      </c>
      <c r="E47" s="17" t="n">
        <f aca="false">E45+E46</f>
        <v>1838.9454278832</v>
      </c>
      <c r="F47" s="17" t="n">
        <f aca="false">F45+F46</f>
        <v>1932.23417922475</v>
      </c>
      <c r="G47" s="17" t="n">
        <f aca="false">G45+G46</f>
        <v>1990.20120460149</v>
      </c>
    </row>
    <row r="48" customFormat="false" ht="15" hidden="false" customHeight="false" outlineLevel="0" collapsed="false">
      <c r="A48" s="5" t="s">
        <v>147</v>
      </c>
      <c r="C48" s="17" t="n">
        <f aca="false">-C82</f>
        <v>-941.8367224</v>
      </c>
      <c r="D48" s="17" t="n">
        <f aca="false">-D82</f>
        <v>-895.680581689414</v>
      </c>
      <c r="E48" s="17" t="n">
        <f aca="false">-E82</f>
        <v>-841.59340640042</v>
      </c>
      <c r="F48" s="17" t="n">
        <f aca="false">-F82</f>
        <v>-779.758557385504</v>
      </c>
      <c r="G48" s="17" t="n">
        <f aca="false">-G82</f>
        <v>-709.159494688496</v>
      </c>
    </row>
    <row r="49" customFormat="false" ht="15" hidden="false" customHeight="false" outlineLevel="0" collapsed="false">
      <c r="A49" s="5" t="s">
        <v>148</v>
      </c>
      <c r="C49" s="17" t="n">
        <f aca="false">C47+C48</f>
        <v>714.6575456</v>
      </c>
      <c r="D49" s="17" t="n">
        <f aca="false">D47+D48</f>
        <v>854.075871430586</v>
      </c>
      <c r="E49" s="17" t="n">
        <f aca="false">E47+E48</f>
        <v>997.35202148278</v>
      </c>
      <c r="F49" s="17" t="n">
        <f aca="false">F47+F48</f>
        <v>1152.47562183925</v>
      </c>
      <c r="G49" s="17" t="n">
        <f aca="false">G47+G48</f>
        <v>1281.041709913</v>
      </c>
    </row>
    <row r="50" customFormat="false" ht="15" hidden="false" customHeight="false" outlineLevel="0" collapsed="false">
      <c r="A50" s="5" t="s">
        <v>149</v>
      </c>
      <c r="C50" s="17" t="n">
        <f aca="false">-MAX(0,C49)*Inputs!B47</f>
        <v>-164.371235488</v>
      </c>
      <c r="D50" s="17" t="n">
        <f aca="false">-MAX(0,D49)*Inputs!B47</f>
        <v>-196.437450429035</v>
      </c>
      <c r="E50" s="17" t="n">
        <f aca="false">-MAX(0,E49)*Inputs!B47</f>
        <v>-229.390964941039</v>
      </c>
      <c r="F50" s="17" t="n">
        <f aca="false">-MAX(0,F49)*Inputs!B47</f>
        <v>-265.069393023027</v>
      </c>
      <c r="G50" s="17" t="n">
        <f aca="false">-MAX(0,G49)*Inputs!B47</f>
        <v>-294.63959327999</v>
      </c>
    </row>
    <row r="51" customFormat="false" ht="15" hidden="false" customHeight="false" outlineLevel="0" collapsed="false">
      <c r="A51" s="25" t="s">
        <v>150</v>
      </c>
      <c r="C51" s="26" t="n">
        <f aca="false">C49+C50</f>
        <v>550.286310112</v>
      </c>
      <c r="D51" s="26" t="n">
        <f aca="false">D49+D50</f>
        <v>657.638421001551</v>
      </c>
      <c r="E51" s="26" t="n">
        <f aca="false">E49+E50</f>
        <v>767.961056541741</v>
      </c>
      <c r="F51" s="26" t="n">
        <f aca="false">F49+F50</f>
        <v>887.406228816221</v>
      </c>
      <c r="G51" s="26" t="n">
        <f aca="false">G49+G50</f>
        <v>986.402116633009</v>
      </c>
    </row>
    <row r="53" customFormat="false" ht="15" hidden="false" customHeight="false" outlineLevel="0" collapsed="false">
      <c r="A53" s="1" t="s">
        <v>151</v>
      </c>
    </row>
    <row r="54" customFormat="false" ht="15" hidden="false" customHeight="false" outlineLevel="0" collapsed="false">
      <c r="A54" s="5" t="s">
        <v>152</v>
      </c>
      <c r="B54" s="17" t="n">
        <f aca="false">Inputs!B46*B41</f>
        <v>-998.61</v>
      </c>
      <c r="C54" s="17" t="n">
        <f aca="false">Inputs!B46*C41</f>
        <v>-1038.5544</v>
      </c>
      <c r="D54" s="17" t="n">
        <f aca="false">Inputs!B46*D41</f>
        <v>-1080.096576</v>
      </c>
      <c r="E54" s="17" t="n">
        <f aca="false">Inputs!B46*E41</f>
        <v>-1117.89995616</v>
      </c>
      <c r="F54" s="17" t="n">
        <f aca="false">Inputs!B46*F41</f>
        <v>-1157.0264546256</v>
      </c>
      <c r="G54" s="17" t="n">
        <f aca="false">Inputs!B46*G41</f>
        <v>-1191.73724826437</v>
      </c>
    </row>
    <row r="55" customFormat="false" ht="15" hidden="false" customHeight="false" outlineLevel="0" collapsed="false">
      <c r="A55" s="5" t="s">
        <v>153</v>
      </c>
      <c r="C55" s="17" t="n">
        <f aca="false">-C46</f>
        <v>135.012072</v>
      </c>
      <c r="D55" s="17" t="n">
        <f aca="false">-D46</f>
        <v>140.41255488</v>
      </c>
      <c r="E55" s="17" t="n">
        <f aca="false">-E46</f>
        <v>145.3269943008</v>
      </c>
      <c r="F55" s="17" t="n">
        <f aca="false">-F46</f>
        <v>150.413439101328</v>
      </c>
      <c r="G55" s="17" t="n">
        <f aca="false">-G46</f>
        <v>154.925842274368</v>
      </c>
    </row>
    <row r="56" customFormat="false" ht="15" hidden="false" customHeight="false" outlineLevel="0" collapsed="false">
      <c r="A56" s="5" t="s">
        <v>154</v>
      </c>
      <c r="C56" s="17" t="n">
        <f aca="false">-C41*Inputs!B45</f>
        <v>-77.89158</v>
      </c>
      <c r="D56" s="17" t="n">
        <f aca="false">-D41*Inputs!B45</f>
        <v>-81.0072432</v>
      </c>
      <c r="E56" s="17" t="n">
        <f aca="false">-E41*Inputs!B45</f>
        <v>-83.842496712</v>
      </c>
      <c r="F56" s="17" t="n">
        <f aca="false">-F41*Inputs!B45</f>
        <v>-86.77698409692</v>
      </c>
      <c r="G56" s="17" t="n">
        <f aca="false">-G41*Inputs!B45</f>
        <v>-89.3802936198276</v>
      </c>
    </row>
    <row r="57" customFormat="false" ht="15" hidden="false" customHeight="false" outlineLevel="0" collapsed="false">
      <c r="A57" s="5" t="s">
        <v>155</v>
      </c>
      <c r="C57" s="17" t="n">
        <f aca="false">-(C54-B54)</f>
        <v>39.9443999999999</v>
      </c>
      <c r="D57" s="17" t="n">
        <f aca="false">-(D54-C54)</f>
        <v>41.5421760000002</v>
      </c>
      <c r="E57" s="17" t="n">
        <f aca="false">-(E54-D54)</f>
        <v>37.80338016</v>
      </c>
      <c r="F57" s="17" t="n">
        <f aca="false">-(F54-E54)</f>
        <v>39.1264984656</v>
      </c>
      <c r="G57" s="17" t="n">
        <f aca="false">-(G54-F54)</f>
        <v>34.7107936387679</v>
      </c>
    </row>
    <row r="58" customFormat="false" ht="15" hidden="false" customHeight="false" outlineLevel="0" collapsed="false">
      <c r="A58" s="25" t="s">
        <v>156</v>
      </c>
      <c r="C58" s="26" t="n">
        <f aca="false">C51+C55+C56+C57</f>
        <v>647.351202112</v>
      </c>
      <c r="D58" s="26" t="n">
        <f aca="false">D51+D55+D56+D57</f>
        <v>758.585908681551</v>
      </c>
      <c r="E58" s="26" t="n">
        <f aca="false">E51+E55+E56+E57</f>
        <v>867.248934290541</v>
      </c>
      <c r="F58" s="26" t="n">
        <f aca="false">F51+F55+F56+F57</f>
        <v>990.169182286229</v>
      </c>
      <c r="G58" s="26" t="n">
        <f aca="false">G51+G55+G56+G57</f>
        <v>1086.65845892632</v>
      </c>
    </row>
    <row r="60" customFormat="false" ht="15" hidden="false" customHeight="false" outlineLevel="0" collapsed="false">
      <c r="A60" s="4" t="s">
        <v>157</v>
      </c>
      <c r="B60" s="4"/>
      <c r="C60" s="4"/>
      <c r="D60" s="4"/>
      <c r="E60" s="4"/>
      <c r="F60" s="4"/>
      <c r="G60" s="4"/>
      <c r="H60" s="4"/>
    </row>
    <row r="61" customFormat="false" ht="15" hidden="false" customHeight="false" outlineLevel="0" collapsed="false">
      <c r="A61" s="3"/>
      <c r="B61" s="3" t="s">
        <v>158</v>
      </c>
      <c r="C61" s="3" t="s">
        <v>134</v>
      </c>
      <c r="D61" s="3" t="s">
        <v>135</v>
      </c>
      <c r="E61" s="3" t="s">
        <v>136</v>
      </c>
      <c r="F61" s="3" t="s">
        <v>137</v>
      </c>
      <c r="G61" s="3" t="s">
        <v>138</v>
      </c>
    </row>
    <row r="62" customFormat="false" ht="15" hidden="false" customHeight="false" outlineLevel="0" collapsed="false">
      <c r="A62" s="1" t="s">
        <v>159</v>
      </c>
    </row>
    <row r="63" customFormat="false" ht="15" hidden="false" customHeight="false" outlineLevel="0" collapsed="false">
      <c r="A63" s="5" t="s">
        <v>160</v>
      </c>
      <c r="C63" s="16" t="n">
        <f aca="false">B67</f>
        <v>500</v>
      </c>
      <c r="D63" s="16" t="n">
        <f aca="false">C67</f>
        <v>500</v>
      </c>
      <c r="E63" s="16" t="n">
        <f aca="false">D67</f>
        <v>500</v>
      </c>
      <c r="F63" s="16" t="n">
        <f aca="false">E67</f>
        <v>500</v>
      </c>
      <c r="G63" s="16" t="n">
        <f aca="false">F67</f>
        <v>500</v>
      </c>
    </row>
    <row r="64" customFormat="false" ht="15" hidden="false" customHeight="false" outlineLevel="0" collapsed="false">
      <c r="A64" s="5" t="s">
        <v>161</v>
      </c>
      <c r="C64" s="16" t="n">
        <f aca="false">C58</f>
        <v>647.351202112</v>
      </c>
      <c r="D64" s="16" t="n">
        <f aca="false">D58</f>
        <v>758.585908681551</v>
      </c>
      <c r="E64" s="16" t="n">
        <f aca="false">E58</f>
        <v>867.248934290541</v>
      </c>
      <c r="F64" s="16" t="n">
        <f aca="false">F58</f>
        <v>990.169182286229</v>
      </c>
      <c r="G64" s="16" t="n">
        <f aca="false">G58</f>
        <v>1086.65845892632</v>
      </c>
    </row>
    <row r="65" customFormat="false" ht="15" hidden="false" customHeight="false" outlineLevel="0" collapsed="false">
      <c r="A65" s="5" t="s">
        <v>162</v>
      </c>
      <c r="C65" s="16" t="n">
        <f aca="false">C72</f>
        <v>-81.79216</v>
      </c>
      <c r="D65" s="16" t="n">
        <f aca="false">D72</f>
        <v>-81.79216</v>
      </c>
      <c r="E65" s="16" t="n">
        <f aca="false">E72</f>
        <v>-81.79216</v>
      </c>
      <c r="F65" s="16" t="n">
        <f aca="false">F72</f>
        <v>-81.79216</v>
      </c>
      <c r="G65" s="16" t="n">
        <f aca="false">G72</f>
        <v>-81.79216</v>
      </c>
    </row>
    <row r="66" customFormat="false" ht="15" hidden="false" customHeight="false" outlineLevel="0" collapsed="false">
      <c r="A66" s="5" t="s">
        <v>163</v>
      </c>
      <c r="C66" s="16" t="n">
        <f aca="false">C73</f>
        <v>-565.559042112</v>
      </c>
      <c r="D66" s="16" t="n">
        <f aca="false">D73</f>
        <v>-676.793748681551</v>
      </c>
      <c r="E66" s="16" t="n">
        <f aca="false">E73</f>
        <v>-785.456774290541</v>
      </c>
      <c r="F66" s="16" t="n">
        <f aca="false">F73</f>
        <v>-908.377022286229</v>
      </c>
      <c r="G66" s="16" t="n">
        <f aca="false">G73</f>
        <v>-1004.86629892632</v>
      </c>
    </row>
    <row r="67" customFormat="false" ht="15" hidden="false" customHeight="false" outlineLevel="0" collapsed="false">
      <c r="A67" s="25" t="s">
        <v>164</v>
      </c>
      <c r="B67" s="37" t="n">
        <f aca="false">Inputs!B15</f>
        <v>500</v>
      </c>
      <c r="C67" s="26" t="n">
        <f aca="false">SUM(C63:C66)</f>
        <v>500</v>
      </c>
      <c r="D67" s="26" t="n">
        <f aca="false">SUM(D63:D66)</f>
        <v>500</v>
      </c>
      <c r="E67" s="26" t="n">
        <f aca="false">SUM(E63:E66)</f>
        <v>500</v>
      </c>
      <c r="F67" s="26" t="n">
        <f aca="false">SUM(F63:F66)</f>
        <v>500</v>
      </c>
      <c r="G67" s="26" t="n">
        <f aca="false">SUM(G63:G66)</f>
        <v>500</v>
      </c>
    </row>
    <row r="68" customFormat="false" ht="15" hidden="false" customHeight="false" outlineLevel="0" collapsed="false">
      <c r="A68" s="5" t="s">
        <v>165</v>
      </c>
      <c r="C68" s="17" t="n">
        <f aca="false">C63+C64+C65-Inputs!B15</f>
        <v>565.559042112</v>
      </c>
      <c r="D68" s="17" t="n">
        <f aca="false">D63+D64+D65-Inputs!B15</f>
        <v>676.793748681551</v>
      </c>
      <c r="E68" s="17" t="n">
        <f aca="false">E63+E64+E65-Inputs!B15</f>
        <v>785.456774290541</v>
      </c>
      <c r="F68" s="17" t="n">
        <f aca="false">F63+F64+F65-Inputs!B15</f>
        <v>908.377022286229</v>
      </c>
      <c r="G68" s="17" t="n">
        <f aca="false">G63+G64+G65-Inputs!B15</f>
        <v>1004.86629892632</v>
      </c>
    </row>
    <row r="70" customFormat="false" ht="15" hidden="false" customHeight="false" outlineLevel="0" collapsed="false">
      <c r="A70" s="1" t="s">
        <v>117</v>
      </c>
    </row>
    <row r="71" customFormat="false" ht="15" hidden="false" customHeight="false" outlineLevel="0" collapsed="false">
      <c r="A71" s="5" t="s">
        <v>166</v>
      </c>
      <c r="C71" s="16" t="n">
        <f aca="false">B74</f>
        <v>8179.216</v>
      </c>
      <c r="D71" s="16" t="n">
        <f aca="false">C74</f>
        <v>7531.864797888</v>
      </c>
      <c r="E71" s="16" t="n">
        <f aca="false">D74</f>
        <v>6773.27888920645</v>
      </c>
      <c r="F71" s="16" t="n">
        <f aca="false">E74</f>
        <v>5906.02995491591</v>
      </c>
      <c r="G71" s="16" t="n">
        <f aca="false">F74</f>
        <v>4915.86077262968</v>
      </c>
    </row>
    <row r="72" customFormat="false" ht="15" hidden="false" customHeight="false" outlineLevel="0" collapsed="false">
      <c r="A72" s="5" t="s">
        <v>167</v>
      </c>
      <c r="C72" s="17" t="n">
        <f aca="false">-MIN(C71,Inputs!B54*$B$74)</f>
        <v>-81.79216</v>
      </c>
      <c r="D72" s="17" t="n">
        <f aca="false">-MIN(D71,Inputs!B54*$B$74)</f>
        <v>-81.79216</v>
      </c>
      <c r="E72" s="17" t="n">
        <f aca="false">-MIN(E71,Inputs!B54*$B$74)</f>
        <v>-81.79216</v>
      </c>
      <c r="F72" s="17" t="n">
        <f aca="false">-MIN(F71,Inputs!B54*$B$74)</f>
        <v>-81.79216</v>
      </c>
      <c r="G72" s="17" t="n">
        <f aca="false">-MIN(G71,Inputs!B54*$B$74)</f>
        <v>-81.79216</v>
      </c>
    </row>
    <row r="73" customFormat="false" ht="15" hidden="false" customHeight="false" outlineLevel="0" collapsed="false">
      <c r="A73" s="5" t="s">
        <v>168</v>
      </c>
      <c r="C73" s="17" t="n">
        <f aca="false">-MIN(C71+C72,MAX(0,C68)*Inputs!B55)</f>
        <v>-565.559042112</v>
      </c>
      <c r="D73" s="17" t="n">
        <f aca="false">-MIN(D71+D72,MAX(0,D68)*Inputs!B55)</f>
        <v>-676.793748681551</v>
      </c>
      <c r="E73" s="17" t="n">
        <f aca="false">-MIN(E71+E72,MAX(0,E68)*Inputs!B55)</f>
        <v>-785.456774290541</v>
      </c>
      <c r="F73" s="17" t="n">
        <f aca="false">-MIN(F71+F72,MAX(0,F68)*Inputs!B55)</f>
        <v>-908.377022286229</v>
      </c>
      <c r="G73" s="17" t="n">
        <f aca="false">-MIN(G71+G72,MAX(0,G68)*Inputs!B55)</f>
        <v>-1004.86629892632</v>
      </c>
    </row>
    <row r="74" customFormat="false" ht="15" hidden="false" customHeight="false" outlineLevel="0" collapsed="false">
      <c r="A74" s="25" t="s">
        <v>169</v>
      </c>
      <c r="B74" s="38" t="n">
        <f aca="false">B21</f>
        <v>8179.216</v>
      </c>
      <c r="C74" s="26" t="n">
        <f aca="false">SUM(C71:C73)</f>
        <v>7531.864797888</v>
      </c>
      <c r="D74" s="26" t="n">
        <f aca="false">SUM(D71:D73)</f>
        <v>6773.27888920645</v>
      </c>
      <c r="E74" s="26" t="n">
        <f aca="false">SUM(E71:E73)</f>
        <v>5906.02995491591</v>
      </c>
      <c r="F74" s="26" t="n">
        <f aca="false">SUM(F71:F73)</f>
        <v>4915.86077262968</v>
      </c>
      <c r="G74" s="26" t="n">
        <f aca="false">SUM(G71:G73)</f>
        <v>3829.20231370336</v>
      </c>
    </row>
    <row r="75" customFormat="false" ht="15" hidden="false" customHeight="false" outlineLevel="0" collapsed="false">
      <c r="A75" s="5" t="s">
        <v>170</v>
      </c>
      <c r="C75" s="17" t="n">
        <f aca="false">C71*Inputs!B52</f>
        <v>583.1781008</v>
      </c>
      <c r="D75" s="17" t="n">
        <f aca="false">D71*Inputs!B52</f>
        <v>537.021960089414</v>
      </c>
      <c r="E75" s="17" t="n">
        <f aca="false">E71*Inputs!B52</f>
        <v>482.93478480042</v>
      </c>
      <c r="F75" s="17" t="n">
        <f aca="false">F71*Inputs!B52</f>
        <v>421.099935785504</v>
      </c>
      <c r="G75" s="17" t="n">
        <f aca="false">G71*Inputs!B52</f>
        <v>350.500873088496</v>
      </c>
    </row>
    <row r="77" customFormat="false" ht="15" hidden="false" customHeight="false" outlineLevel="0" collapsed="false">
      <c r="A77" s="1" t="s">
        <v>118</v>
      </c>
    </row>
    <row r="78" customFormat="false" ht="15" hidden="false" customHeight="false" outlineLevel="0" collapsed="false">
      <c r="A78" s="5" t="s">
        <v>166</v>
      </c>
      <c r="C78" s="16" t="n">
        <f aca="false">B79</f>
        <v>4089.608</v>
      </c>
      <c r="D78" s="16" t="n">
        <f aca="false">C79</f>
        <v>4089.608</v>
      </c>
      <c r="E78" s="16" t="n">
        <f aca="false">D79</f>
        <v>4089.608</v>
      </c>
      <c r="F78" s="16" t="n">
        <f aca="false">E79</f>
        <v>4089.608</v>
      </c>
      <c r="G78" s="16" t="n">
        <f aca="false">F79</f>
        <v>4089.608</v>
      </c>
    </row>
    <row r="79" customFormat="false" ht="15" hidden="false" customHeight="false" outlineLevel="0" collapsed="false">
      <c r="A79" s="25" t="s">
        <v>171</v>
      </c>
      <c r="B79" s="38" t="n">
        <f aca="false">B22</f>
        <v>4089.608</v>
      </c>
      <c r="C79" s="38" t="n">
        <f aca="false">C78</f>
        <v>4089.608</v>
      </c>
      <c r="D79" s="38" t="n">
        <f aca="false">D78</f>
        <v>4089.608</v>
      </c>
      <c r="E79" s="38" t="n">
        <f aca="false">E78</f>
        <v>4089.608</v>
      </c>
      <c r="F79" s="38" t="n">
        <f aca="false">F78</f>
        <v>4089.608</v>
      </c>
      <c r="G79" s="38" t="n">
        <f aca="false">G78</f>
        <v>4089.608</v>
      </c>
    </row>
    <row r="80" customFormat="false" ht="15" hidden="false" customHeight="false" outlineLevel="0" collapsed="false">
      <c r="A80" s="5" t="s">
        <v>172</v>
      </c>
      <c r="C80" s="17" t="n">
        <f aca="false">C78*Inputs!B59</f>
        <v>358.6586216</v>
      </c>
      <c r="D80" s="17" t="n">
        <f aca="false">D78*Inputs!B59</f>
        <v>358.6586216</v>
      </c>
      <c r="E80" s="17" t="n">
        <f aca="false">E78*Inputs!B59</f>
        <v>358.6586216</v>
      </c>
      <c r="F80" s="17" t="n">
        <f aca="false">F78*Inputs!B59</f>
        <v>358.6586216</v>
      </c>
      <c r="G80" s="17" t="n">
        <f aca="false">G78*Inputs!B59</f>
        <v>358.6586216</v>
      </c>
    </row>
    <row r="82" customFormat="false" ht="15" hidden="false" customHeight="false" outlineLevel="0" collapsed="false">
      <c r="A82" s="1" t="s">
        <v>173</v>
      </c>
      <c r="C82" s="26" t="n">
        <f aca="false">C75+C80</f>
        <v>941.8367224</v>
      </c>
      <c r="D82" s="26" t="n">
        <f aca="false">D75+D80</f>
        <v>895.680581689414</v>
      </c>
      <c r="E82" s="26" t="n">
        <f aca="false">E75+E80</f>
        <v>841.59340640042</v>
      </c>
      <c r="F82" s="26" t="n">
        <f aca="false">F75+F80</f>
        <v>779.758557385504</v>
      </c>
      <c r="G82" s="26" t="n">
        <f aca="false">G75+G80</f>
        <v>709.159494688496</v>
      </c>
    </row>
    <row r="83" customFormat="false" ht="15" hidden="false" customHeight="false" outlineLevel="0" collapsed="false">
      <c r="A83" s="1" t="s">
        <v>174</v>
      </c>
      <c r="B83" s="26" t="n">
        <f aca="false">B74+B79</f>
        <v>12268.824</v>
      </c>
      <c r="C83" s="26" t="n">
        <f aca="false">C74+C79</f>
        <v>11621.472797888</v>
      </c>
      <c r="D83" s="26" t="n">
        <f aca="false">D74+D79</f>
        <v>10862.8868892065</v>
      </c>
      <c r="E83" s="26" t="n">
        <f aca="false">E74+E79</f>
        <v>9995.63795491591</v>
      </c>
      <c r="F83" s="26" t="n">
        <f aca="false">F74+F79</f>
        <v>9005.46877262968</v>
      </c>
      <c r="G83" s="26" t="n">
        <f aca="false">G74+G79</f>
        <v>7918.81031370336</v>
      </c>
    </row>
    <row r="84" customFormat="false" ht="15" hidden="false" customHeight="false" outlineLevel="0" collapsed="false">
      <c r="A84" s="34" t="s">
        <v>175</v>
      </c>
      <c r="B84" s="17" t="n">
        <f aca="false">B83-B67</f>
        <v>11768.824</v>
      </c>
      <c r="C84" s="17" t="n">
        <f aca="false">C83-C67</f>
        <v>11121.472797888</v>
      </c>
      <c r="D84" s="17" t="n">
        <f aca="false">D83-D67</f>
        <v>10362.8868892065</v>
      </c>
      <c r="E84" s="17" t="n">
        <f aca="false">E83-E67</f>
        <v>9495.63795491591</v>
      </c>
      <c r="F84" s="17" t="n">
        <f aca="false">F83-F67</f>
        <v>8505.46877262968</v>
      </c>
      <c r="G84" s="17" t="n">
        <f aca="false">G83-G67</f>
        <v>7418.81031370336</v>
      </c>
    </row>
    <row r="85" customFormat="false" ht="15" hidden="false" customHeight="false" outlineLevel="0" collapsed="false">
      <c r="A85" s="34" t="s">
        <v>176</v>
      </c>
      <c r="B85" s="29" t="n">
        <f aca="false">B83/B43</f>
        <v>6</v>
      </c>
      <c r="C85" s="29" t="n">
        <f aca="false">C83/C43</f>
        <v>5.39279385087069</v>
      </c>
      <c r="D85" s="29" t="n">
        <f aca="false">D83/D43</f>
        <v>4.78920440589796</v>
      </c>
      <c r="E85" s="29" t="n">
        <f aca="false">E83/E43</f>
        <v>4.2077375528312</v>
      </c>
      <c r="F85" s="29" t="n">
        <f aca="false">F83/F43</f>
        <v>3.6201334118673</v>
      </c>
      <c r="G85" s="29" t="n">
        <f aca="false">G83/G43</f>
        <v>3.09058695038116</v>
      </c>
    </row>
    <row r="86" customFormat="false" ht="15" hidden="false" customHeight="false" outlineLevel="0" collapsed="false">
      <c r="A86" s="34" t="s">
        <v>177</v>
      </c>
      <c r="C86" s="29" t="n">
        <f aca="false">C45/C82</f>
        <v>1.90214110088515</v>
      </c>
      <c r="D86" s="29" t="n">
        <f aca="false">D45/D82</f>
        <v>2.11031593923227</v>
      </c>
      <c r="E86" s="29" t="n">
        <f aca="false">E45/E82</f>
        <v>2.35775661631064</v>
      </c>
      <c r="F86" s="29" t="n">
        <f aca="false">F45/F82</f>
        <v>2.67088780058933</v>
      </c>
      <c r="G86" s="29" t="n">
        <f aca="false">G45/G82</f>
        <v>3.0248865917224</v>
      </c>
    </row>
    <row r="88" customFormat="false" ht="15" hidden="false" customHeight="false" outlineLevel="0" collapsed="false">
      <c r="A88" s="4" t="s">
        <v>178</v>
      </c>
      <c r="B88" s="4"/>
      <c r="C88" s="4"/>
      <c r="D88" s="4"/>
      <c r="E88" s="4"/>
      <c r="F88" s="4"/>
      <c r="G88" s="4"/>
      <c r="H88" s="4"/>
    </row>
    <row r="89" customFormat="false" ht="15" hidden="false" customHeight="false" outlineLevel="0" collapsed="false">
      <c r="A89" s="5" t="s">
        <v>179</v>
      </c>
      <c r="B89" s="39" t="n">
        <f aca="false">B15</f>
        <v>15.1586158484358</v>
      </c>
    </row>
    <row r="90" customFormat="false" ht="15" hidden="false" customHeight="false" outlineLevel="0" collapsed="false">
      <c r="A90" s="5" t="s">
        <v>180</v>
      </c>
      <c r="B90" s="16" t="n">
        <f aca="false">G43</f>
        <v>2562.23508376839</v>
      </c>
    </row>
    <row r="91" customFormat="false" ht="15" hidden="false" customHeight="false" outlineLevel="0" collapsed="false">
      <c r="A91" s="25" t="s">
        <v>181</v>
      </c>
      <c r="B91" s="26" t="n">
        <f aca="false">B89*B90</f>
        <v>38839.9373482299</v>
      </c>
    </row>
    <row r="92" customFormat="false" ht="15" hidden="false" customHeight="false" outlineLevel="0" collapsed="false">
      <c r="A92" s="5" t="s">
        <v>182</v>
      </c>
      <c r="B92" s="17" t="n">
        <f aca="false">-G83</f>
        <v>-7918.81031370336</v>
      </c>
    </row>
    <row r="93" customFormat="false" ht="15" hidden="false" customHeight="false" outlineLevel="0" collapsed="false">
      <c r="A93" s="5" t="s">
        <v>183</v>
      </c>
      <c r="B93" s="16" t="n">
        <f aca="false">G67</f>
        <v>500</v>
      </c>
    </row>
    <row r="94" customFormat="false" ht="15" hidden="false" customHeight="false" outlineLevel="0" collapsed="false">
      <c r="A94" s="25" t="s">
        <v>184</v>
      </c>
      <c r="B94" s="26" t="n">
        <f aca="false">B91+B92+B93</f>
        <v>31421.1270345265</v>
      </c>
    </row>
    <row r="96" customFormat="false" ht="15" hidden="false" customHeight="false" outlineLevel="0" collapsed="false">
      <c r="A96" s="3" t="s">
        <v>185</v>
      </c>
      <c r="B96" s="3" t="s">
        <v>158</v>
      </c>
      <c r="C96" s="3" t="s">
        <v>134</v>
      </c>
      <c r="D96" s="3" t="s">
        <v>135</v>
      </c>
      <c r="E96" s="3" t="s">
        <v>136</v>
      </c>
      <c r="F96" s="3" t="s">
        <v>137</v>
      </c>
      <c r="G96" s="3" t="s">
        <v>138</v>
      </c>
    </row>
    <row r="97" customFormat="false" ht="15" hidden="false" customHeight="false" outlineLevel="0" collapsed="false">
      <c r="A97" s="5" t="s">
        <v>186</v>
      </c>
      <c r="B97" s="17" t="n">
        <f aca="false">-B24</f>
        <v>-19968.5688361652</v>
      </c>
      <c r="C97" s="13" t="n">
        <v>0</v>
      </c>
      <c r="D97" s="13" t="n">
        <v>0</v>
      </c>
      <c r="E97" s="13" t="n">
        <v>0</v>
      </c>
      <c r="F97" s="13" t="n">
        <v>0</v>
      </c>
      <c r="G97" s="16" t="n">
        <f aca="false">B94</f>
        <v>31421.1270345265</v>
      </c>
    </row>
    <row r="98" customFormat="false" ht="15" hidden="false" customHeight="false" outlineLevel="0" collapsed="false">
      <c r="A98" s="25" t="s">
        <v>187</v>
      </c>
      <c r="B98" s="40" t="n">
        <f aca="false">IRR(B97:G97)</f>
        <v>0.0949012807054564</v>
      </c>
    </row>
    <row r="99" customFormat="false" ht="15" hidden="false" customHeight="false" outlineLevel="0" collapsed="false">
      <c r="A99" s="25" t="s">
        <v>188</v>
      </c>
      <c r="B99" s="41" t="n">
        <f aca="false">B94/B24</f>
        <v>1.57352924450046</v>
      </c>
    </row>
    <row r="100" customFormat="false" ht="15" hidden="false" customHeight="false" outlineLevel="0" collapsed="false">
      <c r="A100" s="5" t="s">
        <v>189</v>
      </c>
      <c r="B100" s="18" t="n">
        <f aca="false">B99^(1/Inputs!B19)-1</f>
        <v>0.094901280705457</v>
      </c>
    </row>
    <row r="102" customFormat="false" ht="15" hidden="false" customHeight="false" outlineLevel="0" collapsed="false">
      <c r="A102" s="1" t="s">
        <v>190</v>
      </c>
    </row>
    <row r="103" customFormat="false" ht="15" hidden="false" customHeight="false" outlineLevel="0" collapsed="false">
      <c r="A103" s="5" t="s">
        <v>191</v>
      </c>
      <c r="B103" s="17" t="n">
        <f aca="false">(B90-B14)*B15</f>
        <v>7843.53902688487</v>
      </c>
    </row>
    <row r="104" customFormat="false" ht="15" hidden="false" customHeight="false" outlineLevel="0" collapsed="false">
      <c r="A104" s="5" t="s">
        <v>192</v>
      </c>
      <c r="B104" s="17" t="n">
        <f aca="false">(B89-B15)*B90</f>
        <v>0</v>
      </c>
    </row>
    <row r="105" customFormat="false" ht="15" hidden="false" customHeight="false" outlineLevel="0" collapsed="false">
      <c r="A105" s="5" t="s">
        <v>193</v>
      </c>
      <c r="B105" s="17" t="n">
        <f aca="false">(B84-G84)</f>
        <v>4350.01368629664</v>
      </c>
    </row>
    <row r="106" customFormat="false" ht="15" hidden="false" customHeight="false" outlineLevel="0" collapsed="false">
      <c r="A106" s="5" t="s">
        <v>194</v>
      </c>
      <c r="B106" s="17" t="n">
        <f aca="false">B94-B24-B103-B104-B105</f>
        <v>-740.994514820184</v>
      </c>
    </row>
    <row r="107" customFormat="false" ht="15" hidden="false" customHeight="false" outlineLevel="0" collapsed="false">
      <c r="A107" s="25" t="s">
        <v>195</v>
      </c>
      <c r="B107" s="26" t="n">
        <f aca="false">SUM(B103:B106)</f>
        <v>11452.5581983613</v>
      </c>
    </row>
    <row r="109" customFormat="false" ht="15" hidden="false" customHeight="false" outlineLevel="0" collapsed="false">
      <c r="A109" s="4" t="s">
        <v>196</v>
      </c>
      <c r="B109" s="4"/>
      <c r="C109" s="4"/>
      <c r="D109" s="4"/>
      <c r="E109" s="4"/>
      <c r="F109" s="4"/>
      <c r="G109" s="4"/>
      <c r="H109" s="4"/>
    </row>
    <row r="110" customFormat="false" ht="15" hidden="false" customHeight="false" outlineLevel="0" collapsed="false">
      <c r="A110" s="2" t="s">
        <v>197</v>
      </c>
      <c r="B110" s="42" t="n">
        <f aca="false">B15+(-2)</f>
        <v>13.1586158484358</v>
      </c>
      <c r="C110" s="42" t="n">
        <f aca="false">B15+(-1)</f>
        <v>14.1586158484358</v>
      </c>
      <c r="D110" s="43" t="n">
        <f aca="false">B15</f>
        <v>15.1586158484358</v>
      </c>
      <c r="E110" s="42" t="n">
        <f aca="false">B15+(1)</f>
        <v>16.1586158484358</v>
      </c>
      <c r="F110" s="42" t="n">
        <f aca="false">B15+(2)</f>
        <v>17.1586158484358</v>
      </c>
    </row>
    <row r="111" customFormat="false" ht="15" hidden="false" customHeight="false" outlineLevel="0" collapsed="false">
      <c r="A111" s="44" t="n">
        <f aca="false">Inputs!B7+(-0.1)</f>
        <v>0.2</v>
      </c>
      <c r="B111" s="18" t="n">
        <f aca="false">((B$110*B90+B92+B93)/((Inputs!B6*(1+$A111)*B9)+B11+Inputs!B16*((Inputs!B6*(1+$A111)*B9)+B11+B12)+B31-B21-B22-B23))^(1/Inputs!B19)-1</f>
        <v>0.0913904361069344</v>
      </c>
      <c r="C111" s="18" t="n">
        <f aca="false">((C$110*B90+B92+B93)/((Inputs!B6*(1+$A111)*B9)+B11+Inputs!B16*((Inputs!B6*(1+$A111)*B9)+B11+B12)+B31-B21-B22-B23))^(1/Inputs!B19)-1</f>
        <v>0.111875002125615</v>
      </c>
      <c r="D111" s="18" t="n">
        <f aca="false">((D$110*B90+B92+B93)/((Inputs!B6*(1+$A111)*B9)+B11+Inputs!B16*((Inputs!B6*(1+$A111)*B9)+B11+B12)+B31-B21-B22-B23))^(1/Inputs!B19)-1</f>
        <v>0.130952558840958</v>
      </c>
      <c r="E111" s="18" t="n">
        <f aca="false">((E$110*B90+B92+B93)/((Inputs!B6*(1+$A111)*B9)+B11+Inputs!B16*((Inputs!B6*(1+$A111)*B9)+B11+B12)+B31-B21-B22-B23))^(1/Inputs!B19)-1</f>
        <v>0.148823483299446</v>
      </c>
      <c r="F111" s="18" t="n">
        <f aca="false">((F$110*B90+B92+B93)/((Inputs!B6*(1+$A111)*B9)+B11+Inputs!B16*((Inputs!B6*(1+$A111)*B9)+B11+B12)+B31-B21-B22-B23))^(1/Inputs!B19)-1</f>
        <v>0.165646995128458</v>
      </c>
    </row>
    <row r="112" customFormat="false" ht="15" hidden="false" customHeight="false" outlineLevel="0" collapsed="false">
      <c r="A112" s="44" t="n">
        <f aca="false">Inputs!B7+(-0.05)</f>
        <v>0.25</v>
      </c>
      <c r="B112" s="18" t="n">
        <f aca="false">((B$110*B90+B92+B93)/((Inputs!B6*(1+$A112)*B9)+B11+Inputs!B16*((Inputs!B6*(1+$A112)*B9)+B11+B12)+B31-B21-B22-B23))^(1/Inputs!B19)-1</f>
        <v>0.0731510916031775</v>
      </c>
      <c r="C112" s="18" t="n">
        <f aca="false">((C$110*B90+B92+B93)/((Inputs!B6*(1+$A112)*B9)+B11+Inputs!B16*((Inputs!B6*(1+$A112)*B9)+B11+B12)+B31-B21-B22-B23))^(1/Inputs!B19)-1</f>
        <v>0.0932933190377325</v>
      </c>
      <c r="D112" s="18" t="n">
        <f aca="false">((D$110*B90+B92+B93)/((Inputs!B6*(1+$A112)*B9)+B11+Inputs!B16*((Inputs!B6*(1+$A112)*B9)+B11+B12)+B31-B21-B22-B23))^(1/Inputs!B19)-1</f>
        <v>0.112052051143927</v>
      </c>
      <c r="E112" s="18" t="n">
        <f aca="false">((E$110*B90+B92+B93)/((Inputs!B6*(1+$A112)*B9)+B11+Inputs!B16*((Inputs!B6*(1+$A112)*B9)+B11+B12)+B31-B21-B22-B23))^(1/Inputs!B19)-1</f>
        <v>0.129624316261985</v>
      </c>
      <c r="F112" s="18" t="n">
        <f aca="false">((F$110*B90+B92+B93)/((Inputs!B6*(1+$A112)*B9)+B11+Inputs!B16*((Inputs!B6*(1+$A112)*B9)+B11+B12)+B31-B21-B22-B23))^(1/Inputs!B19)-1</f>
        <v>0.146166673136858</v>
      </c>
    </row>
    <row r="113" customFormat="false" ht="15" hidden="false" customHeight="false" outlineLevel="0" collapsed="false">
      <c r="A113" s="45" t="n">
        <f aca="false">Inputs!B7</f>
        <v>0.3</v>
      </c>
      <c r="B113" s="18" t="n">
        <f aca="false">((B$110*B90+B92+B93)/((Inputs!B6*(1+$A113)*B9)+B11+Inputs!B16*((Inputs!B6*(1+$A113)*B9)+B11+B12)+B31-B21-B22-B23))^(1/Inputs!B19)-1</f>
        <v>0.0566002763792441</v>
      </c>
      <c r="C113" s="18" t="n">
        <f aca="false">((C$110*B90+B92+B93)/((Inputs!B6*(1+$A113)*B9)+B11+Inputs!B16*((Inputs!B6*(1+$A113)*B9)+B11+B12)+B31-B21-B22-B23))^(1/Inputs!B19)-1</f>
        <v>0.0764318576363166</v>
      </c>
      <c r="D113" s="40" t="n">
        <f aca="false">((D$110*B90+B92+B93)/((Inputs!B6*(1+$A113)*B9)+B11+Inputs!B16*((Inputs!B6*(1+$A113)*B9)+B11+B12)+B31-B21-B22-B23))^(1/Inputs!B19)-1</f>
        <v>0.094901280705457</v>
      </c>
      <c r="E113" s="18" t="n">
        <f aca="false">((E$110*B90+B92+B93)/((Inputs!B6*(1+$A113)*B9)+B11+Inputs!B16*((Inputs!B6*(1+$A113)*B9)+B11+B12)+B31-B21-B22-B23))^(1/Inputs!B19)-1</f>
        <v>0.112202535231148</v>
      </c>
      <c r="F113" s="18" t="n">
        <f aca="false">((F$110*B90+B92+B93)/((Inputs!B6*(1+$A113)*B9)+B11+Inputs!B16*((Inputs!B6*(1+$A113)*B9)+B11+B12)+B31-B21-B22-B23))^(1/Inputs!B19)-1</f>
        <v>0.128489765410305</v>
      </c>
    </row>
    <row r="114" customFormat="false" ht="15" hidden="false" customHeight="false" outlineLevel="0" collapsed="false">
      <c r="A114" s="44" t="n">
        <f aca="false">Inputs!B7+(0.05)</f>
        <v>0.35</v>
      </c>
      <c r="B114" s="18" t="n">
        <f aca="false">((B$110*B90+B92+B93)/((Inputs!B6*(1+$A114)*B9)+B11+Inputs!B16*((Inputs!B6*(1+$A114)*B9)+B11+B12)+B31-B21-B22-B23))^(1/Inputs!B19)-1</f>
        <v>0.0414718427642242</v>
      </c>
      <c r="C114" s="18" t="n">
        <f aca="false">((C$110*B90+B92+B93)/((Inputs!B6*(1+$A114)*B9)+B11+Inputs!B16*((Inputs!B6*(1+$A114)*B9)+B11+B12)+B31-B21-B22-B23))^(1/Inputs!B19)-1</f>
        <v>0.0610194748616801</v>
      </c>
      <c r="D114" s="18" t="n">
        <f aca="false">((D$110*B90+B92+B93)/((Inputs!B6*(1+$A114)*B9)+B11+Inputs!B16*((Inputs!B6*(1+$A114)*B9)+B11+B12)+B31-B21-B22-B23))^(1/Inputs!B19)-1</f>
        <v>0.0792244521919203</v>
      </c>
      <c r="E114" s="18" t="n">
        <f aca="false">((E$110*B90+B92+B93)/((Inputs!B6*(1+$A114)*B9)+B11+Inputs!B16*((Inputs!B6*(1+$A114)*B9)+B11+B12)+B31-B21-B22-B23))^(1/Inputs!B19)-1</f>
        <v>0.0962779868500325</v>
      </c>
      <c r="F114" s="18" t="n">
        <f aca="false">((F$110*B90+B92+B93)/((Inputs!B6*(1+$A114)*B9)+B11+Inputs!B16*((Inputs!B6*(1+$A114)*B9)+B11+B12)+B31-B21-B22-B23))^(1/Inputs!B19)-1</f>
        <v>0.112332015991819</v>
      </c>
    </row>
    <row r="115" customFormat="false" ht="15" hidden="false" customHeight="false" outlineLevel="0" collapsed="false">
      <c r="A115" s="44" t="n">
        <f aca="false">Inputs!B7+(0.1)</f>
        <v>0.4</v>
      </c>
      <c r="B115" s="18" t="n">
        <f aca="false">((B$110*B90+B92+B93)/((Inputs!B6*(1+$A115)*B9)+B11+Inputs!B16*((Inputs!B6*(1+$A115)*B9)+B11+B12)+B31-B21-B22-B23))^(1/Inputs!B19)-1</f>
        <v>0.0275565993658555</v>
      </c>
      <c r="C115" s="18" t="n">
        <f aca="false">((C$110*B90+B92+B93)/((Inputs!B6*(1+$A115)*B9)+B11+Inputs!B16*((Inputs!B6*(1+$A115)*B9)+B11+B12)+B31-B21-B22-B23))^(1/Inputs!B19)-1</f>
        <v>0.0468430529586907</v>
      </c>
      <c r="D115" s="18" t="n">
        <f aca="false">((D$110*B90+B92+B93)/((Inputs!B6*(1+$A115)*B9)+B11+Inputs!B16*((Inputs!B6*(1+$A115)*B9)+B11+B12)+B31-B21-B22-B23))^(1/Inputs!B19)-1</f>
        <v>0.0648047911727012</v>
      </c>
      <c r="E115" s="18" t="n">
        <f aca="false">((E$110*B90+B92+B93)/((Inputs!B6*(1+$A115)*B9)+B11+Inputs!B16*((Inputs!B6*(1+$A115)*B9)+B11+B12)+B31-B21-B22-B23))^(1/Inputs!B19)-1</f>
        <v>0.0816304712928162</v>
      </c>
      <c r="F115" s="18" t="n">
        <f aca="false">((F$110*B90+B92+B93)/((Inputs!B6*(1+$A115)*B9)+B11+Inputs!B16*((Inputs!B6*(1+$A115)*B9)+B11+B12)+B31-B21-B22-B23))^(1/Inputs!B19)-1</f>
        <v>0.0974700004223508</v>
      </c>
    </row>
    <row r="116" customFormat="false" ht="15" hidden="false" customHeight="false" outlineLevel="0" collapsed="false">
      <c r="A116" s="2" t="s">
        <v>198</v>
      </c>
    </row>
    <row r="118" customFormat="false" ht="15" hidden="false" customHeight="false" outlineLevel="0" collapsed="false">
      <c r="A118" s="4" t="s">
        <v>199</v>
      </c>
      <c r="B118" s="4"/>
      <c r="C118" s="4"/>
      <c r="D118" s="4"/>
      <c r="E118" s="4"/>
      <c r="F118" s="4"/>
      <c r="G118" s="4"/>
      <c r="H118" s="4"/>
    </row>
    <row r="119" customFormat="false" ht="15" hidden="false" customHeight="false" outlineLevel="0" collapsed="false">
      <c r="A119" s="2" t="s">
        <v>197</v>
      </c>
      <c r="B119" s="42" t="n">
        <f aca="false">B15+(-2)</f>
        <v>13.1586158484358</v>
      </c>
      <c r="C119" s="42" t="n">
        <f aca="false">B15+(-1)</f>
        <v>14.1586158484358</v>
      </c>
      <c r="D119" s="43" t="n">
        <f aca="false">B15</f>
        <v>15.1586158484358</v>
      </c>
      <c r="E119" s="42" t="n">
        <f aca="false">B15+(1)</f>
        <v>16.1586158484358</v>
      </c>
      <c r="F119" s="42" t="n">
        <f aca="false">B15+(2)</f>
        <v>17.1586158484358</v>
      </c>
    </row>
    <row r="120" customFormat="false" ht="15" hidden="false" customHeight="false" outlineLevel="0" collapsed="false">
      <c r="A120" s="44" t="n">
        <f aca="false">Inputs!B7+(-0.1)</f>
        <v>0.2</v>
      </c>
      <c r="B120" s="46" t="n">
        <f aca="false">(B$119*B90+B92+B93)/((Inputs!B6*(1+$A120)*B9)+B11+Inputs!B16*((Inputs!B6*(1+$A120)*B9)+B11+B12)+B31-B21-B22-B23)</f>
        <v>1.54846259400881</v>
      </c>
      <c r="C120" s="46" t="n">
        <f aca="false">(C$119*B90+B92+B93)/((Inputs!B6*(1+$A120)*B9)+B11+Inputs!B16*((Inputs!B6*(1+$A120)*B9)+B11+B12)+B31-B21-B22-B23)</f>
        <v>1.6993382435007</v>
      </c>
      <c r="D120" s="46" t="n">
        <f aca="false">(D$119*B90+B92+B93)/((Inputs!B6*(1+$A120)*B9)+B11+Inputs!B16*((Inputs!B6*(1+$A120)*B9)+B11+B12)+B31-B21-B22-B23)</f>
        <v>1.85021389299258</v>
      </c>
      <c r="E120" s="46" t="n">
        <f aca="false">(E$119*B90+B92+B93)/((Inputs!B6*(1+$A120)*B9)+B11+Inputs!B16*((Inputs!B6*(1+$A120)*B9)+B11+B12)+B31-B21-B22-B23)</f>
        <v>2.00108954248447</v>
      </c>
      <c r="F120" s="46" t="n">
        <f aca="false">(F$119*B90+B92+B93)/((Inputs!B6*(1+$A120)*B9)+B11+Inputs!B16*((Inputs!B6*(1+$A120)*B9)+B11+B12)+B31-B21-B22-B23)</f>
        <v>2.15196519197636</v>
      </c>
    </row>
    <row r="121" customFormat="false" ht="15" hidden="false" customHeight="false" outlineLevel="0" collapsed="false">
      <c r="A121" s="44" t="n">
        <f aca="false">Inputs!B7+(-0.05)</f>
        <v>0.25</v>
      </c>
      <c r="B121" s="46" t="n">
        <f aca="false">(B$119*B90+B92+B93)/((Inputs!B6*(1+$A121)*B9)+B11+Inputs!B16*((Inputs!B6*(1+$A121)*B9)+B11+B12)+B31-B21-B22-B23)</f>
        <v>1.4233259201051</v>
      </c>
      <c r="C121" s="46" t="n">
        <f aca="false">(C$119*B90+B92+B93)/((Inputs!B6*(1+$A121)*B9)+B11+Inputs!B16*((Inputs!B6*(1+$A121)*B9)+B11+B12)+B31-B21-B22-B23)</f>
        <v>1.56200878107015</v>
      </c>
      <c r="D121" s="46" t="n">
        <f aca="false">(D$119*B90+B92+B93)/((Inputs!B6*(1+$A121)*B9)+B11+Inputs!B16*((Inputs!B6*(1+$A121)*B9)+B11+B12)+B31-B21-B22-B23)</f>
        <v>1.70069164203519</v>
      </c>
      <c r="E121" s="46" t="n">
        <f aca="false">(E$119*B90+B92+B93)/((Inputs!B6*(1+$A121)*B9)+B11+Inputs!B16*((Inputs!B6*(1+$A121)*B9)+B11+B12)+B31-B21-B22-B23)</f>
        <v>1.83937450300024</v>
      </c>
      <c r="F121" s="46" t="n">
        <f aca="false">(F$119*B90+B92+B93)/((Inputs!B6*(1+$A121)*B9)+B11+Inputs!B16*((Inputs!B6*(1+$A121)*B9)+B11+B12)+B31-B21-B22-B23)</f>
        <v>1.97805736396528</v>
      </c>
    </row>
    <row r="122" customFormat="false" ht="15" hidden="false" customHeight="false" outlineLevel="0" collapsed="false">
      <c r="A122" s="45" t="n">
        <f aca="false">Inputs!B7</f>
        <v>0.3</v>
      </c>
      <c r="B122" s="46" t="n">
        <f aca="false">(B$119*B90+B92+B93)/((Inputs!B6*(1+$A122)*B9)+B11+Inputs!B16*((Inputs!B6*(1+$A122)*B9)+B11+B12)+B31-B21-B22-B23)</f>
        <v>1.31690243215446</v>
      </c>
      <c r="C122" s="46" t="n">
        <f aca="false">(C$119*B90+B92+B93)/((Inputs!B6*(1+$A122)*B9)+B11+Inputs!B16*((Inputs!B6*(1+$A122)*B9)+B11+B12)+B31-B21-B22-B23)</f>
        <v>1.44521583832746</v>
      </c>
      <c r="D122" s="41" t="n">
        <f aca="false">(D$119*B90+B92+B93)/((Inputs!B6*(1+$A122)*B9)+B11+Inputs!B16*((Inputs!B6*(1+$A122)*B9)+B11+B12)+B31-B21-B22-B23)</f>
        <v>1.57352924450046</v>
      </c>
      <c r="E122" s="46" t="n">
        <f aca="false">(E$119*B90+B92+B93)/((Inputs!B6*(1+$A122)*B9)+B11+Inputs!B16*((Inputs!B6*(1+$A122)*B9)+B11+B12)+B31-B21-B22-B23)</f>
        <v>1.70184265067347</v>
      </c>
      <c r="F122" s="46" t="n">
        <f aca="false">(F$119*B90+B92+B93)/((Inputs!B6*(1+$A122)*B9)+B11+Inputs!B16*((Inputs!B6*(1+$A122)*B9)+B11+B12)+B31-B21-B22-B23)</f>
        <v>1.83015605684647</v>
      </c>
    </row>
    <row r="123" customFormat="false" ht="15" hidden="false" customHeight="false" outlineLevel="0" collapsed="false">
      <c r="A123" s="44" t="n">
        <f aca="false">Inputs!B7+(0.05)</f>
        <v>0.35</v>
      </c>
      <c r="B123" s="46" t="n">
        <f aca="false">(B$119*B90+B92+B93)/((Inputs!B6*(1+$A123)*B9)+B11+Inputs!B16*((Inputs!B6*(1+$A123)*B9)+B11+B12)+B31-B21-B22-B23)</f>
        <v>1.225286544361</v>
      </c>
      <c r="C123" s="46" t="n">
        <f aca="false">(C$119*B90+B92+B93)/((Inputs!B6*(1+$A123)*B9)+B11+Inputs!B16*((Inputs!B6*(1+$A123)*B9)+B11+B12)+B31-B21-B22-B23)</f>
        <v>1.34467328570651</v>
      </c>
      <c r="D123" s="46" t="n">
        <f aca="false">(D$119*B90+B92+B93)/((Inputs!B6*(1+$A123)*B9)+B11+Inputs!B16*((Inputs!B6*(1+$A123)*B9)+B11+B12)+B31-B21-B22-B23)</f>
        <v>1.46406002705203</v>
      </c>
      <c r="E123" s="46" t="n">
        <f aca="false">(E$119*B90+B92+B93)/((Inputs!B6*(1+$A123)*B9)+B11+Inputs!B16*((Inputs!B6*(1+$A123)*B9)+B11+B12)+B31-B21-B22-B23)</f>
        <v>1.58344676839754</v>
      </c>
      <c r="F123" s="46" t="n">
        <f aca="false">(F$119*B90+B92+B93)/((Inputs!B6*(1+$A123)*B9)+B11+Inputs!B16*((Inputs!B6*(1+$A123)*B9)+B11+B12)+B31-B21-B22-B23)</f>
        <v>1.70283350974306</v>
      </c>
    </row>
    <row r="124" customFormat="false" ht="15" hidden="false" customHeight="false" outlineLevel="0" collapsed="false">
      <c r="A124" s="44" t="n">
        <f aca="false">Inputs!B7+(0.1)</f>
        <v>0.4</v>
      </c>
      <c r="B124" s="46" t="n">
        <f aca="false">(B$119*B90+B92+B93)/((Inputs!B6*(1+$A124)*B9)+B11+Inputs!B16*((Inputs!B6*(1+$A124)*B9)+B11+B12)+B31-B21-B22-B23)</f>
        <v>1.14558881308323</v>
      </c>
      <c r="C124" s="46" t="n">
        <f aca="false">(C$119*B90+B92+B93)/((Inputs!B6*(1+$A124)*B9)+B11+Inputs!B16*((Inputs!B6*(1+$A124)*B9)+B11+B12)+B31-B21-B22-B23)</f>
        <v>1.25721014439166</v>
      </c>
      <c r="D124" s="46" t="n">
        <f aca="false">(D$119*B90+B92+B93)/((Inputs!B6*(1+$A124)*B9)+B11+Inputs!B16*((Inputs!B6*(1+$A124)*B9)+B11+B12)+B31-B21-B22-B23)</f>
        <v>1.36883147570009</v>
      </c>
      <c r="E124" s="46" t="n">
        <f aca="false">(E$119*B90+B92+B93)/((Inputs!B6*(1+$A124)*B9)+B11+Inputs!B16*((Inputs!B6*(1+$A124)*B9)+B11+B12)+B31-B21-B22-B23)</f>
        <v>1.48045280700853</v>
      </c>
      <c r="F124" s="46" t="n">
        <f aca="false">(F$119*B90+B92+B93)/((Inputs!B6*(1+$A124)*B9)+B11+Inputs!B16*((Inputs!B6*(1+$A124)*B9)+B11+B12)+B31-B21-B22-B23)</f>
        <v>1.59207413831696</v>
      </c>
    </row>
    <row r="125" customFormat="false" ht="15" hidden="false" customHeight="false" outlineLevel="0" collapsed="false">
      <c r="A125" s="2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2026-10-16T03:23:35Z</dcterms:created>
  <dc:creator>openpyxl</dc:creator>
  <dc:description/>
  <dc:language>en-US</dc:language>
  <cp:lastModifiedBy/>
  <dcterms:modified xsi:type="dcterms:W3CDTF">2026-10-16T03:23:36Z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