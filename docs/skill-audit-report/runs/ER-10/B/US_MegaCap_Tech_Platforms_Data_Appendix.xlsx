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ata" sheetId="1" state="visible" r:id="rId1"/>
    <sheet xmlns:r="http://schemas.openxmlformats.org/officeDocument/2006/relationships" name="Capex history" sheetId="2" state="visible" r:id="rId2"/>
    <sheet xmlns:r="http://schemas.openxmlformats.org/officeDocument/2006/relationships" name="Valuation vs rates" sheetId="3" state="visible" r:id="rId3"/>
    <sheet xmlns:r="http://schemas.openxmlformats.org/officeDocument/2006/relationships" name="Mar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Segment</t>
        </is>
      </c>
      <c r="D1" s="1" t="inlineStr">
        <is>
          <t>Mkt cap</t>
        </is>
      </c>
      <c r="E1" s="1" t="inlineStr">
        <is>
          <t>LFY</t>
        </is>
      </c>
      <c r="F1" s="1" t="inlineStr">
        <is>
          <t>LFY end</t>
        </is>
      </c>
      <c r="G1" s="1" t="inlineStr">
        <is>
          <t>LFY revenue</t>
        </is>
      </c>
      <c r="H1" s="1" t="inlineStr">
        <is>
          <t>LFY growth %</t>
        </is>
      </c>
      <c r="I1" s="1" t="inlineStr">
        <is>
          <t>LFY GAAP op margin %</t>
        </is>
      </c>
      <c r="J1" s="1" t="inlineStr">
        <is>
          <t>LFY capex</t>
        </is>
      </c>
      <c r="K1" s="1" t="inlineStr">
        <is>
          <t>TTM revenue</t>
        </is>
      </c>
      <c r="L1" s="1" t="inlineStr">
        <is>
          <t>TTM growth %</t>
        </is>
      </c>
      <c r="M1" s="1" t="inlineStr">
        <is>
          <t>TTM op margin %</t>
        </is>
      </c>
      <c r="N1" s="1" t="inlineStr">
        <is>
          <t>TTM capex</t>
        </is>
      </c>
      <c r="O1" s="1" t="inlineStr">
        <is>
          <t>Latest-Q capex annualised</t>
        </is>
      </c>
      <c r="P1" s="1" t="inlineStr">
        <is>
          <t>Net cash (debt)</t>
        </is>
      </c>
      <c r="Q1" s="1" t="inlineStr">
        <is>
          <t>EV</t>
        </is>
      </c>
      <c r="R1" s="1" t="inlineStr">
        <is>
          <t>EV/LFY rev</t>
        </is>
      </c>
      <c r="S1" s="1" t="inlineStr">
        <is>
          <t>EV/TTM rev</t>
        </is>
      </c>
      <c r="T1" s="1" t="inlineStr">
        <is>
          <t>EV/TTM EBIT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AI semiconductors / accelerated computing</t>
        </is>
      </c>
      <c r="D2" s="2" t="n">
        <v>5518073</v>
      </c>
      <c r="E2" t="inlineStr">
        <is>
          <t>FY2026</t>
        </is>
      </c>
      <c r="F2" t="inlineStr">
        <is>
          <t>2026-01-25</t>
        </is>
      </c>
      <c r="G2" s="2" t="n">
        <v>215938</v>
      </c>
      <c r="H2" t="n">
        <v>65.5</v>
      </c>
      <c r="I2" t="n">
        <v>60.4</v>
      </c>
      <c r="J2" s="2" t="n">
        <v>6042</v>
      </c>
      <c r="K2" s="2" t="n">
        <v>302969</v>
      </c>
      <c r="L2" t="n">
        <v>83.40000000000001</v>
      </c>
      <c r="M2" t="n">
        <v>65.2</v>
      </c>
      <c r="N2" s="2" t="n">
        <v>7354</v>
      </c>
      <c r="O2" s="2" t="n">
        <v>10708</v>
      </c>
      <c r="P2" s="2" t="n">
        <v>-10923</v>
      </c>
      <c r="Q2" s="2" t="n">
        <v>5528996</v>
      </c>
      <c r="R2" t="n">
        <v>25.6</v>
      </c>
      <c r="S2" t="n">
        <v>18.2</v>
      </c>
      <c r="T2" t="n">
        <v>28</v>
      </c>
    </row>
    <row r="3">
      <c r="A3" t="inlineStr">
        <is>
          <t>AAPL</t>
        </is>
      </c>
      <c r="B3" t="inlineStr">
        <is>
          <t>Apple</t>
        </is>
      </c>
      <c r="C3" t="inlineStr">
        <is>
          <t>Devices + services</t>
        </is>
      </c>
      <c r="D3" s="2" t="n">
        <v>4980556</v>
      </c>
      <c r="E3" t="inlineStr">
        <is>
          <t>FY2025</t>
        </is>
      </c>
      <c r="F3" t="inlineStr">
        <is>
          <t>2025-09-27</t>
        </is>
      </c>
      <c r="G3" s="2" t="n">
        <v>416161</v>
      </c>
      <c r="H3" t="n">
        <v>6.4</v>
      </c>
      <c r="I3" t="n">
        <v>32</v>
      </c>
      <c r="J3" s="2" t="n">
        <v>12715</v>
      </c>
      <c r="K3" s="2" t="n">
        <v>466823</v>
      </c>
      <c r="L3" t="n">
        <v>14.2</v>
      </c>
      <c r="M3" t="n">
        <v>33.2</v>
      </c>
      <c r="N3" s="2" t="n">
        <v>10041</v>
      </c>
      <c r="O3" s="2" t="n">
        <v>9820</v>
      </c>
      <c r="P3" s="2" t="n">
        <v>-19948</v>
      </c>
      <c r="Q3" s="2" t="n">
        <v>5000504</v>
      </c>
      <c r="R3" t="n">
        <v>12</v>
      </c>
      <c r="S3" t="n">
        <v>10.7</v>
      </c>
      <c r="T3" t="n">
        <v>32.3</v>
      </c>
    </row>
    <row r="4">
      <c r="A4" t="inlineStr">
        <is>
          <t>GOOGL</t>
        </is>
      </c>
      <c r="B4" t="inlineStr">
        <is>
          <t>Alphabet</t>
        </is>
      </c>
      <c r="C4" t="inlineStr">
        <is>
          <t>Digital ads + cloud (GCP)</t>
        </is>
      </c>
      <c r="D4" s="2" t="n">
        <v>4326706</v>
      </c>
      <c r="E4" t="inlineStr">
        <is>
          <t>FY2025</t>
        </is>
      </c>
      <c r="F4" t="inlineStr">
        <is>
          <t>2025-12-31</t>
        </is>
      </c>
      <c r="G4" s="2" t="n">
        <v>402836</v>
      </c>
      <c r="H4" t="n">
        <v>15.1</v>
      </c>
      <c r="I4" t="n">
        <v>32</v>
      </c>
      <c r="J4" s="2" t="n">
        <v>91447</v>
      </c>
      <c r="K4" s="2" t="n">
        <v>445867</v>
      </c>
      <c r="L4" t="n">
        <v>20.1</v>
      </c>
      <c r="M4" t="n">
        <v>33.1</v>
      </c>
      <c r="N4" s="2" t="n">
        <v>132402</v>
      </c>
      <c r="O4" s="2" t="n">
        <v>179696</v>
      </c>
      <c r="P4" s="2" t="n">
        <v>142310</v>
      </c>
      <c r="Q4" s="2" t="n">
        <v>4184396</v>
      </c>
      <c r="R4" t="n">
        <v>10.4</v>
      </c>
      <c r="S4" t="n">
        <v>9.4</v>
      </c>
      <c r="T4" t="n">
        <v>28.3</v>
      </c>
    </row>
    <row r="5">
      <c r="A5" t="inlineStr">
        <is>
          <t>MSFT</t>
        </is>
      </c>
      <c r="B5" t="inlineStr">
        <is>
          <t>Microsoft</t>
        </is>
      </c>
      <c r="C5" t="inlineStr">
        <is>
          <t>Cloud (Azure) + software</t>
        </is>
      </c>
      <c r="D5" s="2" t="n">
        <v>4035413</v>
      </c>
      <c r="E5" t="inlineStr">
        <is>
          <t>FY2026</t>
        </is>
      </c>
      <c r="F5" t="inlineStr">
        <is>
          <t>2026-06-30</t>
        </is>
      </c>
      <c r="G5" s="2" t="n">
        <v>331839</v>
      </c>
      <c r="H5" t="n">
        <v>17.8</v>
      </c>
      <c r="I5" t="n">
        <v>46.8</v>
      </c>
      <c r="J5" s="2" t="n">
        <v>115948</v>
      </c>
      <c r="K5" s="2" t="n">
        <v>331839</v>
      </c>
      <c r="L5" t="n">
        <v>17.8</v>
      </c>
      <c r="M5" t="n">
        <v>46.8</v>
      </c>
      <c r="N5" s="2" t="n">
        <v>115948</v>
      </c>
      <c r="O5" s="2" t="n">
        <v>143208</v>
      </c>
      <c r="P5" s="2" t="n">
        <v>36549</v>
      </c>
      <c r="Q5" s="2" t="n">
        <v>3998864</v>
      </c>
      <c r="R5" t="n">
        <v>12.1</v>
      </c>
      <c r="S5" t="n">
        <v>12.1</v>
      </c>
      <c r="T5" t="n">
        <v>25.8</v>
      </c>
    </row>
    <row r="6">
      <c r="A6" t="inlineStr">
        <is>
          <t>AMZN</t>
        </is>
      </c>
      <c r="B6" t="inlineStr">
        <is>
          <t>Amazon</t>
        </is>
      </c>
      <c r="C6" t="inlineStr">
        <is>
          <t>Cloud (AWS) + e-commerce + ads</t>
        </is>
      </c>
      <c r="D6" s="2" t="n">
        <v>2789125</v>
      </c>
      <c r="E6" t="inlineStr">
        <is>
          <t>FY2025</t>
        </is>
      </c>
      <c r="F6" t="inlineStr">
        <is>
          <t>2025-12-31</t>
        </is>
      </c>
      <c r="G6" s="2" t="n">
        <v>716924</v>
      </c>
      <c r="H6" t="n">
        <v>12.4</v>
      </c>
      <c r="I6" t="n">
        <v>11.2</v>
      </c>
      <c r="J6" s="2" t="n">
        <v>131819</v>
      </c>
      <c r="K6" s="2" t="n">
        <v>775680</v>
      </c>
      <c r="L6" t="n">
        <v>15.8</v>
      </c>
      <c r="M6" t="n">
        <v>12.1</v>
      </c>
      <c r="N6" s="2" t="n">
        <v>173028</v>
      </c>
      <c r="O6" s="2" t="n">
        <v>216832</v>
      </c>
      <c r="P6" s="2" t="n">
        <v>-9236</v>
      </c>
      <c r="Q6" s="2" t="n">
        <v>2798361</v>
      </c>
      <c r="R6" t="n">
        <v>3.9</v>
      </c>
      <c r="S6" t="n">
        <v>3.6</v>
      </c>
      <c r="T6" t="n">
        <v>29.9</v>
      </c>
    </row>
    <row r="7">
      <c r="A7" t="inlineStr">
        <is>
          <t>META</t>
        </is>
      </c>
      <c r="B7" t="inlineStr">
        <is>
          <t>Meta Platforms</t>
        </is>
      </c>
      <c r="C7" t="inlineStr">
        <is>
          <t>Digital ads (social)</t>
        </is>
      </c>
      <c r="D7" s="2" t="n">
        <v>1942473</v>
      </c>
      <c r="E7" t="inlineStr">
        <is>
          <t>FY2025</t>
        </is>
      </c>
      <c r="F7" t="inlineStr">
        <is>
          <t>2025-12-31</t>
        </is>
      </c>
      <c r="G7" s="2" t="n">
        <v>200966</v>
      </c>
      <c r="H7" t="n">
        <v>22.2</v>
      </c>
      <c r="I7" t="n">
        <v>41.4</v>
      </c>
      <c r="J7" s="2" t="n">
        <v>69691</v>
      </c>
      <c r="K7" s="2" t="n">
        <v>228247</v>
      </c>
      <c r="L7" t="n">
        <v>27.7</v>
      </c>
      <c r="M7" t="n">
        <v>38.1</v>
      </c>
      <c r="N7" s="2" t="n">
        <v>89325</v>
      </c>
      <c r="O7" s="2" t="n">
        <v>120464</v>
      </c>
      <c r="P7" s="2" t="n">
        <v>6596</v>
      </c>
      <c r="Q7" s="2" t="n">
        <v>1935877</v>
      </c>
      <c r="R7" t="n">
        <v>9.6</v>
      </c>
      <c r="S7" t="n">
        <v>8.5</v>
      </c>
      <c r="T7" t="n">
        <v>22.3</v>
      </c>
    </row>
    <row r="8">
      <c r="A8" s="3" t="inlineStr">
        <is>
          <t>Total/Median</t>
        </is>
      </c>
      <c r="B8" s="3" t="inlineStr"/>
      <c r="C8" s="3" t="inlineStr"/>
      <c r="D8" s="4">
        <f>SUM(D2:D7)</f>
        <v/>
      </c>
      <c r="E8" s="3" t="inlineStr"/>
      <c r="F8" s="3" t="inlineStr"/>
      <c r="G8" s="4">
        <f>SUM(G2:G7)</f>
        <v/>
      </c>
      <c r="H8" s="3" t="inlineStr"/>
      <c r="I8" s="3" t="inlineStr"/>
      <c r="J8" s="4">
        <f>SUM(J2:J7)</f>
        <v/>
      </c>
      <c r="K8" s="4">
        <f>SUM(K2:K7)</f>
        <v/>
      </c>
      <c r="L8" s="3" t="inlineStr"/>
      <c r="M8" s="3" t="inlineStr"/>
      <c r="N8" s="4">
        <f>SUM(N2:N7)</f>
        <v/>
      </c>
      <c r="O8" s="4">
        <f>SUM(O2:O7)</f>
        <v/>
      </c>
      <c r="P8" s="4" t="inlineStr"/>
      <c r="Q8" s="4">
        <f>SUM(Q2:Q7)</f>
        <v/>
      </c>
      <c r="R8" s="3">
        <f>MEDIAN(R2:R7)</f>
        <v/>
      </c>
      <c r="S8" s="3">
        <f>MEDIAN(S2:S7)</f>
        <v/>
      </c>
      <c r="T8" s="3">
        <f>MEDIAN(T2:T7)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FY-4</t>
        </is>
      </c>
      <c r="C1" t="inlineStr">
        <is>
          <t>FY-3</t>
        </is>
      </c>
      <c r="D1" t="inlineStr">
        <is>
          <t>FY-2</t>
        </is>
      </c>
      <c r="E1" t="inlineStr">
        <is>
          <t>FY-1</t>
        </is>
      </c>
      <c r="F1" t="inlineStr">
        <is>
          <t>LFY</t>
        </is>
      </c>
    </row>
    <row r="2">
      <c r="A2" t="inlineStr">
        <is>
          <t>NVDA</t>
        </is>
      </c>
      <c r="B2" t="n">
        <v>976</v>
      </c>
      <c r="C2" t="n">
        <v>1833</v>
      </c>
      <c r="D2" t="n">
        <v>1069</v>
      </c>
      <c r="E2" t="n">
        <v>3236</v>
      </c>
      <c r="F2" t="n">
        <v>6042</v>
      </c>
    </row>
    <row r="3">
      <c r="A3" t="inlineStr">
        <is>
          <t>AAPL</t>
        </is>
      </c>
      <c r="B3" t="n">
        <v>11085</v>
      </c>
      <c r="C3" t="n">
        <v>10708</v>
      </c>
      <c r="D3" t="n">
        <v>10959</v>
      </c>
      <c r="E3" t="n">
        <v>9447</v>
      </c>
      <c r="F3" t="n">
        <v>12715</v>
      </c>
    </row>
    <row r="4">
      <c r="A4" t="inlineStr">
        <is>
          <t>GOOGL</t>
        </is>
      </c>
      <c r="B4" t="n">
        <v>24640</v>
      </c>
      <c r="C4" t="n">
        <v>31485</v>
      </c>
      <c r="D4" t="n">
        <v>32251</v>
      </c>
      <c r="E4" t="n">
        <v>52535</v>
      </c>
      <c r="F4" t="n">
        <v>91447</v>
      </c>
    </row>
    <row r="5">
      <c r="A5" t="inlineStr">
        <is>
          <t>MSFT</t>
        </is>
      </c>
      <c r="B5" t="n">
        <v>23886</v>
      </c>
      <c r="C5" t="n">
        <v>28107</v>
      </c>
      <c r="D5" t="n">
        <v>44477</v>
      </c>
      <c r="E5" t="n">
        <v>64551</v>
      </c>
      <c r="F5" t="n">
        <v>115948</v>
      </c>
    </row>
    <row r="6">
      <c r="A6" t="inlineStr">
        <is>
          <t>AMZN</t>
        </is>
      </c>
      <c r="B6" t="n">
        <v>61053</v>
      </c>
      <c r="C6" t="n">
        <v>63645</v>
      </c>
      <c r="D6" t="n">
        <v>52729</v>
      </c>
      <c r="E6" t="n">
        <v>82999</v>
      </c>
      <c r="F6" t="n">
        <v>131819</v>
      </c>
    </row>
    <row r="7">
      <c r="A7" t="inlineStr">
        <is>
          <t>META</t>
        </is>
      </c>
      <c r="B7" t="n">
        <v>18690</v>
      </c>
      <c r="C7" t="n">
        <v>31186</v>
      </c>
      <c r="D7" t="n">
        <v>27045</v>
      </c>
      <c r="E7" t="n">
        <v>37256</v>
      </c>
      <c r="F7" t="n">
        <v>69691</v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 cap / trailing op income (x)</t>
        </is>
      </c>
      <c r="C1" t="inlineStr">
        <is>
          <t>10y UST %</t>
        </is>
      </c>
      <c r="D1" t="inlineStr">
        <is>
          <t>EBIT yield %</t>
        </is>
      </c>
    </row>
    <row r="2">
      <c r="A2" t="inlineStr">
        <is>
          <t>2021-12</t>
        </is>
      </c>
      <c r="B2" t="n">
        <v>30.9</v>
      </c>
      <c r="C2" t="n">
        <v>1.52</v>
      </c>
      <c r="D2" t="n">
        <v>3.24</v>
      </c>
    </row>
    <row r="3">
      <c r="A3" t="inlineStr">
        <is>
          <t>2022-12</t>
        </is>
      </c>
      <c r="B3" t="n">
        <v>20.3</v>
      </c>
      <c r="C3" t="n">
        <v>3.88</v>
      </c>
      <c r="D3" t="n">
        <v>4.92</v>
      </c>
    </row>
    <row r="4">
      <c r="A4" t="inlineStr">
        <is>
          <t>2023-12</t>
        </is>
      </c>
      <c r="B4" t="n">
        <v>27.5</v>
      </c>
      <c r="C4" t="n">
        <v>3.88</v>
      </c>
      <c r="D4" t="n">
        <v>3.64</v>
      </c>
    </row>
    <row r="5">
      <c r="A5" t="inlineStr">
        <is>
          <t>2024-12</t>
        </is>
      </c>
      <c r="B5" t="n">
        <v>28.9</v>
      </c>
      <c r="C5" t="n">
        <v>4.58</v>
      </c>
      <c r="D5" t="n">
        <v>3.46</v>
      </c>
    </row>
    <row r="6">
      <c r="A6" t="inlineStr">
        <is>
          <t>2025-12</t>
        </is>
      </c>
      <c r="B6" t="n">
        <v>29.1</v>
      </c>
      <c r="C6" t="n">
        <v>4.18</v>
      </c>
      <c r="D6" t="n">
        <v>3.44</v>
      </c>
    </row>
    <row r="7">
      <c r="A7" t="inlineStr">
        <is>
          <t>2026-10</t>
        </is>
      </c>
      <c r="B7" t="n">
        <v>28.2</v>
      </c>
      <c r="C7" t="n">
        <v>5.24</v>
      </c>
      <c r="D7" t="n">
        <v>3.54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As of</t>
        </is>
      </c>
    </row>
    <row r="2">
      <c r="A2" t="inlineStr">
        <is>
          <t>XLK 1y total return %</t>
        </is>
      </c>
      <c r="B2" t="n">
        <v>40.2</v>
      </c>
      <c r="C2" t="inlineStr">
        <is>
          <t>2025-10-14 to 2026-10-13</t>
        </is>
      </c>
    </row>
    <row r="3">
      <c r="A3" t="inlineStr">
        <is>
          <t>SPY 1y total return %</t>
        </is>
      </c>
      <c r="B3" t="n">
        <v>18.8</v>
      </c>
      <c r="C3" t="inlineStr">
        <is>
          <t>2025-10-14 to 2026-10-13</t>
        </is>
      </c>
    </row>
    <row r="4">
      <c r="A4" t="inlineStr">
        <is>
          <t>10y UST now %</t>
        </is>
      </c>
      <c r="B4" t="n">
        <v>5.24</v>
      </c>
      <c r="C4" t="inlineStr">
        <is>
          <t>2026-10-09</t>
        </is>
      </c>
    </row>
    <row r="5">
      <c r="A5" t="inlineStr">
        <is>
          <t>10y UST 1y ago %</t>
        </is>
      </c>
      <c r="B5" t="n">
        <v>4.14</v>
      </c>
      <c r="C5" t="inlineStr">
        <is>
          <t>2025-10-09</t>
        </is>
      </c>
    </row>
    <row r="6">
      <c r="A6" t="inlineStr">
        <is>
          <t>10y TIPS real yield %</t>
        </is>
      </c>
      <c r="B6" t="n">
        <v>2.93</v>
      </c>
      <c r="C6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2026-10-14T08:25:13Z</dcterms:created>
  <dcterms:modified xmlns:dcterms="http://purl.org/dc/terms/" xmlns:xsi="http://www.w3.org/2001/XMLSchema-instance" xsi:type="dcterms:W3CDTF">2026-10-14T08:25:13Z</dcterms:modified>
</cp:coreProperties>
</file>