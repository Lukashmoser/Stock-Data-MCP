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 data" sheetId="1" state="visible" r:id="rId1"/>
    <sheet xmlns:r="http://schemas.openxmlformats.org/officeDocument/2006/relationships" name="Mark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wrapText="1"/>
    </xf>
    <xf numFmtId="3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cols>
    <col width="11" customWidth="1" min="1" max="1"/>
    <col width="7" customWidth="1" min="2" max="2"/>
    <col width="22" customWidth="1" min="3" max="3"/>
    <col width="14" customWidth="1" min="4" max="4"/>
    <col width="14" customWidth="1" min="5" max="5"/>
    <col width="14" customWidth="1" min="6" max="6"/>
    <col width="14" customWidth="1" min="7" max="7"/>
    <col width="10" customWidth="1" min="8" max="8"/>
    <col width="14" customWidth="1" min="9" max="9"/>
    <col width="10" customWidth="1" min="10" max="10"/>
    <col width="12" customWidth="1" min="11" max="11"/>
    <col width="10" customWidth="1" min="12" max="12"/>
    <col width="10" customWidth="1" min="13" max="13"/>
    <col width="10" customWidth="1" min="14" max="14"/>
    <col width="50" customWidth="1" min="15" max="15"/>
  </cols>
  <sheetData>
    <row r="1">
      <c r="A1" s="1" t="inlineStr">
        <is>
          <t>Company</t>
        </is>
      </c>
      <c r="B1" s="1" t="inlineStr">
        <is>
          <t>Ticker</t>
        </is>
      </c>
      <c r="C1" s="1" t="inlineStr">
        <is>
          <t>Fiscal year</t>
        </is>
      </c>
      <c r="D1" s="1" t="inlineStr">
        <is>
          <t>Market cap (USD m)</t>
        </is>
      </c>
      <c r="E1" s="1" t="inlineStr">
        <is>
          <t>EV (USD m)</t>
        </is>
      </c>
      <c r="F1" s="1" t="inlineStr">
        <is>
          <t>Revenue (USD m)</t>
        </is>
      </c>
      <c r="G1" s="1" t="inlineStr">
        <is>
          <t>Prior-yr revenue (USD m)</t>
        </is>
      </c>
      <c r="H1" s="1" t="inlineStr">
        <is>
          <t>Revenue growth %</t>
        </is>
      </c>
      <c r="I1" s="1" t="inlineStr">
        <is>
          <t>GAAP op. income (USD m)</t>
        </is>
      </c>
      <c r="J1" s="1" t="inlineStr">
        <is>
          <t>GAAP op. margin %</t>
        </is>
      </c>
      <c r="K1" s="1" t="inlineStr">
        <is>
          <t>Capex (USD m)</t>
        </is>
      </c>
      <c r="L1" s="1" t="inlineStr">
        <is>
          <t>Capex/revenue %</t>
        </is>
      </c>
      <c r="M1" s="1" t="inlineStr">
        <is>
          <t>EV/Sales TTM (x)</t>
        </is>
      </c>
      <c r="N1" s="1" t="inlineStr">
        <is>
          <t>Fwd P/E (x)</t>
        </is>
      </c>
      <c r="O1" s="1" t="inlineStr">
        <is>
          <t>Financials source</t>
        </is>
      </c>
    </row>
    <row r="2">
      <c r="A2" t="inlineStr">
        <is>
          <t>NVIDIA</t>
        </is>
      </c>
      <c r="B2" t="inlineStr">
        <is>
          <t>NVDA</t>
        </is>
      </c>
      <c r="C2" t="inlineStr">
        <is>
          <t>FY2026 (to 2026-01-25)</t>
        </is>
      </c>
      <c r="D2" s="2" t="n">
        <v>5518000</v>
      </c>
      <c r="E2" s="2" t="n">
        <v>5490000</v>
      </c>
      <c r="F2" s="2" t="n">
        <v>215938</v>
      </c>
      <c r="G2" s="2" t="n">
        <v>130497</v>
      </c>
      <c r="H2" s="3">
        <f>ROUND((F2/G2-1)*100,1)</f>
        <v/>
      </c>
      <c r="I2" s="2" t="n">
        <v>130387</v>
      </c>
      <c r="J2" s="3">
        <f>ROUND(I2/F2*100,1)</f>
        <v/>
      </c>
      <c r="K2" s="2" t="n">
        <v>6042</v>
      </c>
      <c r="L2">
        <f>ROUND(K2/F2*100,1)</f>
        <v/>
      </c>
      <c r="M2" t="n">
        <v>18.14</v>
      </c>
      <c r="N2" t="n">
        <v>18.89</v>
      </c>
      <c r="O2" t="inlineStr">
        <is>
          <t>8-K 2026-02-25</t>
        </is>
      </c>
    </row>
    <row r="3">
      <c r="A3" t="inlineStr">
        <is>
          <t>Apple</t>
        </is>
      </c>
      <c r="B3" t="inlineStr">
        <is>
          <t>AAPL</t>
        </is>
      </c>
      <c r="C3" t="inlineStr">
        <is>
          <t>FY2025 (to 2025-09-27)</t>
        </is>
      </c>
      <c r="D3" s="2" t="n">
        <v>4980000</v>
      </c>
      <c r="E3" s="2" t="n">
        <v>4920000</v>
      </c>
      <c r="F3" s="2" t="n">
        <v>416161</v>
      </c>
      <c r="G3" s="2" t="n">
        <v>391035</v>
      </c>
      <c r="H3" s="3">
        <f>ROUND((F3/G3-1)*100,1)</f>
        <v/>
      </c>
      <c r="I3" s="2" t="n">
        <v>133050</v>
      </c>
      <c r="J3" s="3">
        <f>ROUND(I3/F3*100,1)</f>
        <v/>
      </c>
      <c r="K3" s="2" t="n">
        <v>12715</v>
      </c>
      <c r="L3">
        <f>ROUND(K3/F3*100,1)</f>
        <v/>
      </c>
      <c r="M3" t="n">
        <v>10.54</v>
      </c>
      <c r="N3" t="n">
        <v>37.02</v>
      </c>
      <c r="O3" t="inlineStr">
        <is>
          <t>model knowledge (10-K 2025-10-31); rev/capex cross-checked appleworld.today</t>
        </is>
      </c>
    </row>
    <row r="4">
      <c r="A4" t="inlineStr">
        <is>
          <t>Alphabet</t>
        </is>
      </c>
      <c r="B4" t="inlineStr">
        <is>
          <t>GOOGL</t>
        </is>
      </c>
      <c r="C4" t="inlineStr">
        <is>
          <t>FY2025 (to 2025-12-31)</t>
        </is>
      </c>
      <c r="D4" s="2" t="n">
        <v>4330000</v>
      </c>
      <c r="E4" s="2" t="n">
        <v>4210000</v>
      </c>
      <c r="F4" s="2" t="n">
        <v>402836</v>
      </c>
      <c r="G4" s="2" t="n">
        <v>350018</v>
      </c>
      <c r="H4" s="3">
        <f>ROUND((F4/G4-1)*100,1)</f>
        <v/>
      </c>
      <c r="I4" s="2" t="n">
        <v>129039</v>
      </c>
      <c r="J4" s="3">
        <f>ROUND(I4/F4*100,1)</f>
        <v/>
      </c>
      <c r="K4" s="2" t="n">
        <v>91400</v>
      </c>
      <c r="L4">
        <f>ROUND(K4/F4*100,1)</f>
        <v/>
      </c>
      <c r="M4" t="n">
        <v>9.43</v>
      </c>
      <c r="N4" t="n">
        <v>26.26</v>
      </c>
      <c r="O4" t="inlineStr">
        <is>
          <t>10-K filed 2026-02-04 (via last10k.com); capex beancount.io</t>
        </is>
      </c>
    </row>
    <row r="5">
      <c r="A5" t="inlineStr">
        <is>
          <t>Microsoft</t>
        </is>
      </c>
      <c r="B5" t="inlineStr">
        <is>
          <t>MSFT</t>
        </is>
      </c>
      <c r="C5" t="inlineStr">
        <is>
          <t>FY2026 (to 2026-06-30)</t>
        </is>
      </c>
      <c r="D5" s="2" t="n">
        <v>4035000</v>
      </c>
      <c r="E5" s="2" t="n">
        <v>4090000</v>
      </c>
      <c r="F5" s="2" t="n">
        <v>331839</v>
      </c>
      <c r="G5" s="2" t="n">
        <v>281724</v>
      </c>
      <c r="H5" s="3">
        <f>ROUND((F5/G5-1)*100,1)</f>
        <v/>
      </c>
      <c r="I5" s="2" t="n">
        <v>155237</v>
      </c>
      <c r="J5" s="3">
        <f>ROUND(I5/F5*100,1)</f>
        <v/>
      </c>
      <c r="K5" s="2" t="n">
        <v>115948</v>
      </c>
      <c r="L5">
        <f>ROUND(K5/F5*100,1)</f>
        <v/>
      </c>
      <c r="M5" t="n">
        <v>12.32</v>
      </c>
      <c r="N5" t="n">
        <v>27.5</v>
      </c>
      <c r="O5" t="inlineStr">
        <is>
          <t>8-K Ex.99.1 2026-07-29</t>
        </is>
      </c>
    </row>
    <row r="6">
      <c r="A6" t="inlineStr">
        <is>
          <t>Amazon</t>
        </is>
      </c>
      <c r="B6" t="inlineStr">
        <is>
          <t>AMZN</t>
        </is>
      </c>
      <c r="C6" t="inlineStr">
        <is>
          <t>FY2025 (to 2025-12-31)</t>
        </is>
      </c>
      <c r="D6" s="2" t="n">
        <v>2789000</v>
      </c>
      <c r="E6" s="2" t="n">
        <v>2920000</v>
      </c>
      <c r="F6" s="2" t="n">
        <v>716900</v>
      </c>
      <c r="G6" s="2" t="n">
        <v>638000</v>
      </c>
      <c r="H6" s="3">
        <f>ROUND((F6/G6-1)*100,1)</f>
        <v/>
      </c>
      <c r="I6" s="2" t="n">
        <v>80000</v>
      </c>
      <c r="J6" s="3">
        <f>ROUND(I6/F6*100,1)</f>
        <v/>
      </c>
      <c r="K6" s="2" t="n">
        <v>131800</v>
      </c>
      <c r="L6">
        <f>ROUND(K6/F6*100,1)</f>
        <v/>
      </c>
      <c r="M6" t="n">
        <v>3.76</v>
      </c>
      <c r="N6" t="n">
        <v>27.55</v>
      </c>
      <c r="O6" t="inlineStr">
        <is>
          <t>Q4 release 2026-02-05 (businesswire)</t>
        </is>
      </c>
    </row>
    <row r="7">
      <c r="A7" t="inlineStr">
        <is>
          <t>Meta</t>
        </is>
      </c>
      <c r="B7" t="inlineStr">
        <is>
          <t>META</t>
        </is>
      </c>
      <c r="C7" t="inlineStr">
        <is>
          <t>FY2025 (to 2025-12-31)</t>
        </is>
      </c>
      <c r="D7" s="2" t="n">
        <v>1942000</v>
      </c>
      <c r="E7" s="2" t="n">
        <v>1960000</v>
      </c>
      <c r="F7" s="2" t="n">
        <v>200966</v>
      </c>
      <c r="G7" s="2" t="n">
        <v>164501</v>
      </c>
      <c r="H7" s="3">
        <f>ROUND((F7/G7-1)*100,1)</f>
        <v/>
      </c>
      <c r="I7" s="2" t="n">
        <v>83276</v>
      </c>
      <c r="J7" s="3">
        <f>ROUND(I7/F7*100,1)</f>
        <v/>
      </c>
      <c r="K7" s="2" t="n">
        <v>72220</v>
      </c>
      <c r="L7">
        <f>ROUND(K7/F7*100,1)</f>
        <v/>
      </c>
      <c r="M7" t="n">
        <v>8.609999999999999</v>
      </c>
      <c r="N7" t="n">
        <v>23.71</v>
      </c>
      <c r="O7" t="inlineStr">
        <is>
          <t>Q4 release Ex.99.1 2026-01-28</t>
        </is>
      </c>
    </row>
    <row r="8">
      <c r="A8" s="4" t="inlineStr">
        <is>
          <t>Total / median</t>
        </is>
      </c>
      <c r="B8" s="4" t="inlineStr"/>
      <c r="C8" s="4" t="inlineStr"/>
      <c r="D8" s="5">
        <f>SUM(D2:D7)</f>
        <v/>
      </c>
      <c r="E8" s="5">
        <f>SUM(E2:E7)</f>
        <v/>
      </c>
      <c r="F8" s="5">
        <f>SUM(F2:F7)</f>
        <v/>
      </c>
      <c r="G8" s="5">
        <f>SUM(G2:G7)</f>
        <v/>
      </c>
      <c r="H8" s="6" t="inlineStr"/>
      <c r="I8" s="5">
        <f>SUM(I2:I7)</f>
        <v/>
      </c>
      <c r="J8" s="6" t="inlineStr"/>
      <c r="K8" s="5">
        <f>SUM(K2:K7)</f>
        <v/>
      </c>
      <c r="L8" s="4" t="inlineStr"/>
      <c r="M8" s="4">
        <f>MEDIAN(M2:M7)</f>
        <v/>
      </c>
      <c r="N8" s="4">
        <f>MEDIAN(N2:N7)</f>
        <v/>
      </c>
      <c r="O8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50" customWidth="1" min="1" max="1"/>
    <col width="45" customWidth="1" min="5" max="5"/>
  </cols>
  <sheetData>
    <row r="1">
      <c r="A1" s="4" t="inlineStr">
        <is>
          <t>Metric</t>
        </is>
      </c>
      <c r="B1" s="4" t="inlineStr">
        <is>
          <t>Value</t>
        </is>
      </c>
      <c r="C1" s="4" t="inlineStr">
        <is>
          <t>Units</t>
        </is>
      </c>
      <c r="D1" s="4" t="inlineStr">
        <is>
          <t>As of</t>
        </is>
      </c>
      <c r="E1" s="4" t="inlineStr">
        <is>
          <t>Source</t>
        </is>
      </c>
    </row>
    <row r="2">
      <c r="A2" t="inlineStr">
        <is>
          <t>XLK 1-yr total return</t>
        </is>
      </c>
      <c r="B2" t="n">
        <v>41.7</v>
      </c>
      <c r="C2" t="inlineStr">
        <is>
          <t>%</t>
        </is>
      </c>
      <c r="D2" t="inlineStr">
        <is>
          <t>2026-10-13</t>
        </is>
      </c>
      <c r="E2" t="inlineStr">
        <is>
          <t>stockanalysis.com/etf/xlk</t>
        </is>
      </c>
    </row>
    <row r="3">
      <c r="A3" t="inlineStr">
        <is>
          <t>S&amp;P 500 (SPY) 1-yr total return</t>
        </is>
      </c>
      <c r="B3" t="n">
        <v>20.4</v>
      </c>
      <c r="C3" t="inlineStr">
        <is>
          <t>%</t>
        </is>
      </c>
      <c r="D3" t="inlineStr">
        <is>
          <t>2026-10-13</t>
        </is>
      </c>
      <c r="E3" t="inlineStr">
        <is>
          <t>stockanalysis.com/etf/spy</t>
        </is>
      </c>
    </row>
    <row r="4">
      <c r="A4" t="inlineStr">
        <is>
          <t>10-yr UST yield, now</t>
        </is>
      </c>
      <c r="B4" t="n">
        <v>5.21</v>
      </c>
      <c r="C4" t="inlineStr">
        <is>
          <t>%</t>
        </is>
      </c>
      <c r="D4" t="inlineStr">
        <is>
          <t>2026-10-13</t>
        </is>
      </c>
      <c r="E4" t="inlineStr">
        <is>
          <t>ycharts.com (FRED DGS10 5.24% on 2026-10-09)</t>
        </is>
      </c>
    </row>
    <row r="5">
      <c r="A5" t="inlineStr">
        <is>
          <t>10-yr UST yield, 1 yr ago</t>
        </is>
      </c>
      <c r="B5" t="n">
        <v>4.05</v>
      </c>
      <c r="C5" t="inlineStr">
        <is>
          <t>%</t>
        </is>
      </c>
      <c r="D5" t="inlineStr">
        <is>
          <t>2025-10-13 (approx.)</t>
        </is>
      </c>
      <c r="E5" t="inlineStr">
        <is>
          <t>ycharts.com</t>
        </is>
      </c>
    </row>
    <row r="6">
      <c r="A6" t="inlineStr">
        <is>
          <t>2026 capex guide: Amazon</t>
        </is>
      </c>
      <c r="B6" t="n">
        <v>220000</v>
      </c>
      <c r="C6" t="inlineStr">
        <is>
          <t>USD m</t>
        </is>
      </c>
      <c r="D6" t="inlineStr">
        <is>
          <t>2026-07-30</t>
        </is>
      </c>
      <c r="E6" t="inlineStr">
        <is>
          <t>valueaddvc.com (secondary)</t>
        </is>
      </c>
    </row>
    <row r="7">
      <c r="A7" t="inlineStr">
        <is>
          <t>2026 capex guide: Alphabet (midpoint 195-205bn)</t>
        </is>
      </c>
      <c r="B7" t="n">
        <v>200000</v>
      </c>
      <c r="C7" t="inlineStr">
        <is>
          <t>USD m</t>
        </is>
      </c>
      <c r="D7" t="inlineStr">
        <is>
          <t>2026-07-22</t>
        </is>
      </c>
      <c r="E7" t="inlineStr">
        <is>
          <t>valueaddvc.com (secondary)</t>
        </is>
      </c>
    </row>
    <row r="8">
      <c r="A8" t="inlineStr">
        <is>
          <t>2026 capex guide: Microsoft (CY, incl. finance leases)</t>
        </is>
      </c>
      <c r="B8" t="n">
        <v>175000</v>
      </c>
      <c r="C8" t="inlineStr">
        <is>
          <t>USD m</t>
        </is>
      </c>
      <c r="D8" t="inlineStr">
        <is>
          <t>2026-07-29</t>
        </is>
      </c>
      <c r="E8" t="inlineStr">
        <is>
          <t>valueaddvc.com (secondary)</t>
        </is>
      </c>
    </row>
    <row r="9">
      <c r="A9" t="inlineStr">
        <is>
          <t>2026 capex guide: Meta (midpoint 130-145bn)</t>
        </is>
      </c>
      <c r="B9" t="n">
        <v>137500</v>
      </c>
      <c r="C9" t="inlineStr">
        <is>
          <t>USD m</t>
        </is>
      </c>
      <c r="D9" t="inlineStr">
        <is>
          <t>2026-07-29</t>
        </is>
      </c>
      <c r="E9" t="inlineStr">
        <is>
          <t>valueaddvc.com (secondary)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2026-10-14T08:26:05Z</dcterms:created>
  <dcterms:modified xmlns:dcterms="http://purl.org/dc/terms/" xmlns:xsi="http://www.w3.org/2001/XMLSchema-instance" xsi:type="dcterms:W3CDTF">2026-10-14T08:26:05Z</dcterms:modified>
</cp:coreProperties>
</file>