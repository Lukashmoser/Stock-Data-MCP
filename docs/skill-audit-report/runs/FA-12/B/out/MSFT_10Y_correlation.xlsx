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hecks" sheetId="4" state="visible" r:id="rId4"/>
  </sheets>
  <definedNames>
    <definedName name="FullPeriodCorr">Calc!$C$3</definedName>
    <definedName name="LatestRollingCorr">Calc!$F$66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"/>
    <numFmt numFmtId="166" formatCode="0.0%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sz val="8"/>
    </font>
    <font>
      <color rgb="000000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164" fontId="4" fillId="0" borderId="0" pivotButton="0" quotePrefix="0" xfId="0"/>
    <xf numFmtId="2" fontId="4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4" fontId="5" fillId="0" borderId="0" pivotButton="0" quotePrefix="0" xfId="0"/>
    <xf numFmtId="2" fontId="5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MSFT return vs 10Y yield change: 12-month rolling correlation</a:t>
            </a:r>
          </a:p>
        </rich>
      </tx>
    </title>
    <plotArea>
      <lineChart>
        <grouping val="standard"/>
        <ser>
          <idx val="0"/>
          <order val="0"/>
          <tx>
            <v>12M rolling correlation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'Calc'!$A$18:$A$66</f>
            </numRef>
          </cat>
          <val>
            <numRef>
              <f>'Calc'!$F$18:$F$66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Month-end</a:t>
                </a:r>
              </a:p>
            </rich>
          </tx>
        </title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-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Correlation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Monthly: MSFT return vs change in 10Y yield</a:t>
            </a:r>
          </a:p>
        </rich>
      </tx>
    </title>
    <plotArea>
      <scatterChart>
        <ser>
          <idx val="0"/>
          <order val="0"/>
          <tx>
            <v>Months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'Calc'!$E$7:$E$66</f>
            </numRef>
          </xVal>
          <yVal>
            <numRef>
              <f>'Calc'!$D$7:$D$66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Change in 10Y yield (pp)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MSFT monthly return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21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</cols>
  <sheetData>
    <row r="1">
      <c r="A1" s="1" t="inlineStr">
        <is>
          <t>MSFT vs US 10-Year Treasury - monthly inputs</t>
        </is>
      </c>
    </row>
    <row r="2">
      <c r="A2" t="inlineStr">
        <is>
          <t>Blue = hardcoded input. Month-end dates are calendar month-ends; values are the last trading-day observation in each month.</t>
        </is>
      </c>
    </row>
    <row r="3">
      <c r="A3" t="inlineStr">
        <is>
          <t>Retrieved 2026-10-15. Window: 2021-09-30 to 2026-09-30 (61 month-ends -&gt; 60 monthly changes). Partial Oct-2026 excluded.</t>
        </is>
      </c>
    </row>
    <row r="4">
      <c r="A4" s="2" t="inlineStr">
        <is>
          <t>Month-end</t>
        </is>
      </c>
      <c r="B4" s="2" t="inlineStr">
        <is>
          <t>MSFT adj. close (USD/share)</t>
        </is>
      </c>
      <c r="C4" s="2" t="inlineStr">
        <is>
          <t>10Y Treasury yield (%)</t>
        </is>
      </c>
    </row>
    <row r="5" ht="60" customHeight="1">
      <c r="A5" s="3" t="inlineStr">
        <is>
          <t>Source: calendar month-end (constructed)</t>
        </is>
      </c>
      <c r="B5" s="3" t="inlineStr">
        <is>
          <t>Source: Yahoo Finance via stock-data get_price_history (MSFT, interval 1mo, adj_close = split &amp; dividend adjusted)</t>
        </is>
      </c>
      <c r="C5" s="3" t="inlineStr">
        <is>
          <t>Source: FRED series DGS10 (Board of Governors / U.S. Treasury), monthly end-of-period aggregation, via stock-data get_macro_series; FRED last_updated 2026-10-13</t>
        </is>
      </c>
    </row>
    <row r="6">
      <c r="A6" s="4" t="n">
        <v>44469</v>
      </c>
      <c r="B6" s="5" t="n">
        <v>270.57</v>
      </c>
      <c r="C6" s="5" t="n">
        <v>1.52</v>
      </c>
    </row>
    <row r="7">
      <c r="A7" s="4" t="n">
        <v>44500</v>
      </c>
      <c r="B7" s="5" t="n">
        <v>318.26</v>
      </c>
      <c r="C7" s="5" t="n">
        <v>1.55</v>
      </c>
    </row>
    <row r="8">
      <c r="A8" s="4" t="n">
        <v>44530</v>
      </c>
      <c r="B8" s="5" t="n">
        <v>317.86</v>
      </c>
      <c r="C8" s="5" t="n">
        <v>1.43</v>
      </c>
    </row>
    <row r="9">
      <c r="A9" s="4" t="n">
        <v>44561</v>
      </c>
      <c r="B9" s="5" t="n">
        <v>323.37</v>
      </c>
      <c r="C9" s="5" t="n">
        <v>1.52</v>
      </c>
    </row>
    <row r="10">
      <c r="A10" s="4" t="n">
        <v>44592</v>
      </c>
      <c r="B10" s="5" t="n">
        <v>299</v>
      </c>
      <c r="C10" s="5" t="n">
        <v>1.79</v>
      </c>
    </row>
    <row r="11">
      <c r="A11" s="4" t="n">
        <v>44620</v>
      </c>
      <c r="B11" s="5" t="n">
        <v>287.88</v>
      </c>
      <c r="C11" s="5" t="n">
        <v>1.83</v>
      </c>
    </row>
    <row r="12">
      <c r="A12" s="4" t="n">
        <v>44651</v>
      </c>
      <c r="B12" s="5" t="n">
        <v>297.05</v>
      </c>
      <c r="C12" s="5" t="n">
        <v>2.32</v>
      </c>
    </row>
    <row r="13">
      <c r="A13" s="4" t="n">
        <v>44681</v>
      </c>
      <c r="B13" s="5" t="n">
        <v>267.38</v>
      </c>
      <c r="C13" s="5" t="n">
        <v>2.89</v>
      </c>
    </row>
    <row r="14">
      <c r="A14" s="4" t="n">
        <v>44712</v>
      </c>
      <c r="B14" s="5" t="n">
        <v>262.55</v>
      </c>
      <c r="C14" s="5" t="n">
        <v>2.85</v>
      </c>
    </row>
    <row r="15">
      <c r="A15" s="4" t="n">
        <v>44742</v>
      </c>
      <c r="B15" s="5" t="n">
        <v>248.02</v>
      </c>
      <c r="C15" s="5" t="n">
        <v>2.98</v>
      </c>
    </row>
    <row r="16">
      <c r="A16" s="4" t="n">
        <v>44773</v>
      </c>
      <c r="B16" s="5" t="n">
        <v>271.11</v>
      </c>
      <c r="C16" s="5" t="n">
        <v>2.67</v>
      </c>
    </row>
    <row r="17">
      <c r="A17" s="4" t="n">
        <v>44804</v>
      </c>
      <c r="B17" s="5" t="n">
        <v>253.04</v>
      </c>
      <c r="C17" s="5" t="n">
        <v>3.15</v>
      </c>
    </row>
    <row r="18">
      <c r="A18" s="4" t="n">
        <v>44834</v>
      </c>
      <c r="B18" s="5" t="n">
        <v>225.39</v>
      </c>
      <c r="C18" s="5" t="n">
        <v>3.83</v>
      </c>
    </row>
    <row r="19">
      <c r="A19" s="4" t="n">
        <v>44865</v>
      </c>
      <c r="B19" s="5" t="n">
        <v>224.65</v>
      </c>
      <c r="C19" s="5" t="n">
        <v>4.1</v>
      </c>
    </row>
    <row r="20">
      <c r="A20" s="4" t="n">
        <v>44895</v>
      </c>
      <c r="B20" s="5" t="n">
        <v>247.61</v>
      </c>
      <c r="C20" s="5" t="n">
        <v>3.68</v>
      </c>
    </row>
    <row r="21">
      <c r="A21" s="4" t="n">
        <v>44926</v>
      </c>
      <c r="B21" s="5" t="n">
        <v>232.74</v>
      </c>
      <c r="C21" s="5" t="n">
        <v>3.88</v>
      </c>
    </row>
    <row r="22">
      <c r="A22" s="4" t="n">
        <v>44957</v>
      </c>
      <c r="B22" s="5" t="n">
        <v>240.5</v>
      </c>
      <c r="C22" s="5" t="n">
        <v>3.52</v>
      </c>
    </row>
    <row r="23">
      <c r="A23" s="4" t="n">
        <v>44985</v>
      </c>
      <c r="B23" s="5" t="n">
        <v>242.67</v>
      </c>
      <c r="C23" s="5" t="n">
        <v>3.92</v>
      </c>
    </row>
    <row r="24">
      <c r="A24" s="4" t="n">
        <v>45016</v>
      </c>
      <c r="B24" s="5" t="n">
        <v>280.49</v>
      </c>
      <c r="C24" s="5" t="n">
        <v>3.48</v>
      </c>
    </row>
    <row r="25">
      <c r="A25" s="4" t="n">
        <v>45046</v>
      </c>
      <c r="B25" s="5" t="n">
        <v>298.94</v>
      </c>
      <c r="C25" s="5" t="n">
        <v>3.44</v>
      </c>
    </row>
    <row r="26">
      <c r="A26" s="4" t="n">
        <v>45077</v>
      </c>
      <c r="B26" s="5" t="n">
        <v>320.2</v>
      </c>
      <c r="C26" s="5" t="n">
        <v>3.64</v>
      </c>
    </row>
    <row r="27">
      <c r="A27" s="4" t="n">
        <v>45107</v>
      </c>
      <c r="B27" s="5" t="n">
        <v>332.04</v>
      </c>
      <c r="C27" s="5" t="n">
        <v>3.81</v>
      </c>
    </row>
    <row r="28">
      <c r="A28" s="4" t="n">
        <v>45138</v>
      </c>
      <c r="B28" s="5" t="n">
        <v>327.54</v>
      </c>
      <c r="C28" s="5" t="n">
        <v>3.97</v>
      </c>
    </row>
    <row r="29">
      <c r="A29" s="4" t="n">
        <v>45169</v>
      </c>
      <c r="B29" s="5" t="n">
        <v>320.26</v>
      </c>
      <c r="C29" s="5" t="n">
        <v>4.09</v>
      </c>
    </row>
    <row r="30">
      <c r="A30" s="4" t="n">
        <v>45199</v>
      </c>
      <c r="B30" s="5" t="n">
        <v>308.52</v>
      </c>
      <c r="C30" s="5" t="n">
        <v>4.59</v>
      </c>
    </row>
    <row r="31">
      <c r="A31" s="4" t="n">
        <v>45230</v>
      </c>
      <c r="B31" s="5" t="n">
        <v>330.37</v>
      </c>
      <c r="C31" s="5" t="n">
        <v>4.88</v>
      </c>
    </row>
    <row r="32">
      <c r="A32" s="4" t="n">
        <v>45260</v>
      </c>
      <c r="B32" s="5" t="n">
        <v>370.99</v>
      </c>
      <c r="C32" s="5" t="n">
        <v>4.37</v>
      </c>
    </row>
    <row r="33">
      <c r="A33" s="4" t="n">
        <v>45291</v>
      </c>
      <c r="B33" s="5" t="n">
        <v>368.18</v>
      </c>
      <c r="C33" s="5" t="n">
        <v>3.88</v>
      </c>
    </row>
    <row r="34">
      <c r="A34" s="4" t="n">
        <v>45322</v>
      </c>
      <c r="B34" s="5" t="n">
        <v>389.27</v>
      </c>
      <c r="C34" s="5" t="n">
        <v>3.99</v>
      </c>
    </row>
    <row r="35">
      <c r="A35" s="4" t="n">
        <v>45351</v>
      </c>
      <c r="B35" s="5" t="n">
        <v>405.74</v>
      </c>
      <c r="C35" s="5" t="n">
        <v>4.25</v>
      </c>
    </row>
    <row r="36">
      <c r="A36" s="4" t="n">
        <v>45382</v>
      </c>
      <c r="B36" s="5" t="n">
        <v>412.69</v>
      </c>
      <c r="C36" s="5" t="n">
        <v>4.2</v>
      </c>
    </row>
    <row r="37">
      <c r="A37" s="4" t="n">
        <v>45412</v>
      </c>
      <c r="B37" s="5" t="n">
        <v>381.9</v>
      </c>
      <c r="C37" s="5" t="n">
        <v>4.69</v>
      </c>
    </row>
    <row r="38">
      <c r="A38" s="4" t="n">
        <v>45443</v>
      </c>
      <c r="B38" s="5" t="n">
        <v>407.94</v>
      </c>
      <c r="C38" s="5" t="n">
        <v>4.51</v>
      </c>
    </row>
    <row r="39">
      <c r="A39" s="4" t="n">
        <v>45473</v>
      </c>
      <c r="B39" s="5" t="n">
        <v>439.21</v>
      </c>
      <c r="C39" s="5" t="n">
        <v>4.36</v>
      </c>
    </row>
    <row r="40">
      <c r="A40" s="4" t="n">
        <v>45504</v>
      </c>
      <c r="B40" s="5" t="n">
        <v>411.1</v>
      </c>
      <c r="C40" s="5" t="n">
        <v>4.09</v>
      </c>
    </row>
    <row r="41">
      <c r="A41" s="4" t="n">
        <v>45535</v>
      </c>
      <c r="B41" s="5" t="n">
        <v>410.65</v>
      </c>
      <c r="C41" s="5" t="n">
        <v>3.91</v>
      </c>
    </row>
    <row r="42">
      <c r="A42" s="4" t="n">
        <v>45565</v>
      </c>
      <c r="B42" s="5" t="n">
        <v>423.61</v>
      </c>
      <c r="C42" s="5" t="n">
        <v>3.81</v>
      </c>
    </row>
    <row r="43">
      <c r="A43" s="4" t="n">
        <v>45596</v>
      </c>
      <c r="B43" s="5" t="n">
        <v>400.03</v>
      </c>
      <c r="C43" s="5" t="n">
        <v>4.28</v>
      </c>
    </row>
    <row r="44">
      <c r="A44" s="4" t="n">
        <v>45626</v>
      </c>
      <c r="B44" s="5" t="n">
        <v>417.71</v>
      </c>
      <c r="C44" s="5" t="n">
        <v>4.18</v>
      </c>
    </row>
    <row r="45">
      <c r="A45" s="4" t="n">
        <v>45657</v>
      </c>
      <c r="B45" s="5" t="n">
        <v>415.78</v>
      </c>
      <c r="C45" s="5" t="n">
        <v>4.58</v>
      </c>
    </row>
    <row r="46">
      <c r="A46" s="4" t="n">
        <v>45688</v>
      </c>
      <c r="B46" s="5" t="n">
        <v>409.42</v>
      </c>
      <c r="C46" s="5" t="n">
        <v>4.58</v>
      </c>
    </row>
    <row r="47">
      <c r="A47" s="4" t="n">
        <v>45716</v>
      </c>
      <c r="B47" s="5" t="n">
        <v>392.38</v>
      </c>
      <c r="C47" s="5" t="n">
        <v>4.24</v>
      </c>
    </row>
    <row r="48">
      <c r="A48" s="4" t="n">
        <v>45747</v>
      </c>
      <c r="B48" s="5" t="n">
        <v>371.03</v>
      </c>
      <c r="C48" s="5" t="n">
        <v>4.23</v>
      </c>
    </row>
    <row r="49">
      <c r="A49" s="4" t="n">
        <v>45777</v>
      </c>
      <c r="B49" s="5" t="n">
        <v>390.67</v>
      </c>
      <c r="C49" s="5" t="n">
        <v>4.17</v>
      </c>
    </row>
    <row r="50">
      <c r="A50" s="4" t="n">
        <v>45808</v>
      </c>
      <c r="B50" s="5" t="n">
        <v>455.85</v>
      </c>
      <c r="C50" s="5" t="n">
        <v>4.41</v>
      </c>
    </row>
    <row r="51">
      <c r="A51" s="4" t="n">
        <v>45838</v>
      </c>
      <c r="B51" s="5" t="n">
        <v>492.54</v>
      </c>
      <c r="C51" s="5" t="n">
        <v>4.24</v>
      </c>
    </row>
    <row r="52">
      <c r="A52" s="4" t="n">
        <v>45869</v>
      </c>
      <c r="B52" s="5" t="n">
        <v>528.28</v>
      </c>
      <c r="C52" s="5" t="n">
        <v>4.37</v>
      </c>
    </row>
    <row r="53">
      <c r="A53" s="4" t="n">
        <v>45900</v>
      </c>
      <c r="B53" s="5" t="n">
        <v>502.56</v>
      </c>
      <c r="C53" s="5" t="n">
        <v>4.23</v>
      </c>
    </row>
    <row r="54">
      <c r="A54" s="4" t="n">
        <v>45930</v>
      </c>
      <c r="B54" s="5" t="n">
        <v>513.72</v>
      </c>
      <c r="C54" s="5" t="n">
        <v>4.16</v>
      </c>
    </row>
    <row r="55">
      <c r="A55" s="4" t="n">
        <v>45961</v>
      </c>
      <c r="B55" s="5" t="n">
        <v>513.58</v>
      </c>
      <c r="C55" s="5" t="n">
        <v>4.11</v>
      </c>
    </row>
    <row r="56">
      <c r="A56" s="4" t="n">
        <v>45991</v>
      </c>
      <c r="B56" s="5" t="n">
        <v>488.91</v>
      </c>
      <c r="C56" s="5" t="n">
        <v>4.02</v>
      </c>
    </row>
    <row r="57">
      <c r="A57" s="4" t="n">
        <v>46022</v>
      </c>
      <c r="B57" s="5" t="n">
        <v>480.57</v>
      </c>
      <c r="C57" s="5" t="n">
        <v>4.18</v>
      </c>
    </row>
    <row r="58">
      <c r="A58" s="4" t="n">
        <v>46053</v>
      </c>
      <c r="B58" s="5" t="n">
        <v>427.58</v>
      </c>
      <c r="C58" s="5" t="n">
        <v>4.26</v>
      </c>
    </row>
    <row r="59">
      <c r="A59" s="4" t="n">
        <v>46081</v>
      </c>
      <c r="B59" s="5" t="n">
        <v>391.15</v>
      </c>
      <c r="C59" s="5" t="n">
        <v>3.97</v>
      </c>
    </row>
    <row r="60">
      <c r="A60" s="4" t="n">
        <v>46112</v>
      </c>
      <c r="B60" s="5" t="n">
        <v>368.68</v>
      </c>
      <c r="C60" s="5" t="n">
        <v>4.3</v>
      </c>
    </row>
    <row r="61">
      <c r="A61" s="4" t="n">
        <v>46142</v>
      </c>
      <c r="B61" s="5" t="n">
        <v>406.13</v>
      </c>
      <c r="C61" s="5" t="n">
        <v>4.4</v>
      </c>
    </row>
    <row r="62">
      <c r="A62" s="4" t="n">
        <v>46173</v>
      </c>
      <c r="B62" s="5" t="n">
        <v>449.39</v>
      </c>
      <c r="C62" s="5" t="n">
        <v>4.45</v>
      </c>
    </row>
    <row r="63">
      <c r="A63" s="4" t="n">
        <v>46203</v>
      </c>
      <c r="B63" s="5" t="n">
        <v>372.32</v>
      </c>
      <c r="C63" s="5" t="n">
        <v>4.44</v>
      </c>
    </row>
    <row r="64">
      <c r="A64" s="4" t="n">
        <v>46234</v>
      </c>
      <c r="B64" s="5" t="n">
        <v>463.85</v>
      </c>
      <c r="C64" s="5" t="n">
        <v>4.75</v>
      </c>
    </row>
    <row r="65">
      <c r="A65" s="4" t="n">
        <v>46265</v>
      </c>
      <c r="B65" s="5" t="n">
        <v>507.29</v>
      </c>
      <c r="C65" s="5" t="n">
        <v>4.75</v>
      </c>
    </row>
    <row r="66">
      <c r="A66" s="4" t="n">
        <v>46295</v>
      </c>
      <c r="B66" s="5" t="n">
        <v>512.9</v>
      </c>
      <c r="C66" s="5" t="n">
        <v>5.29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0" customWidth="1" min="4" max="4"/>
    <col width="24" customWidth="1" min="5" max="5"/>
    <col width="24" customWidth="1" min="6" max="6"/>
  </cols>
  <sheetData>
    <row r="1">
      <c r="A1" s="1" t="inlineStr">
        <is>
          <t>Calculations (all cells below row 5 are live formulas)</t>
        </is>
      </c>
    </row>
    <row r="2">
      <c r="A2" t="inlineStr">
        <is>
          <t>Return = adj close / prior adj close - 1. Yield change in percentage points. Rolling corr = CORREL over trailing 12 monthly pairs.</t>
        </is>
      </c>
    </row>
    <row r="3">
      <c r="A3" s="6" t="inlineStr">
        <is>
          <t>Full-period correlation:</t>
        </is>
      </c>
      <c r="C3" s="7">
        <f>CORREL(D7:D66,E7:E66)</f>
        <v/>
      </c>
      <c r="D3" t="inlineStr">
        <is>
          <t>Obs:</t>
        </is>
      </c>
      <c r="E3">
        <f>COUNT(D7:D66)</f>
        <v/>
      </c>
    </row>
    <row r="5">
      <c r="A5" s="2" t="inlineStr">
        <is>
          <t>Month-end</t>
        </is>
      </c>
      <c r="B5" s="2" t="inlineStr">
        <is>
          <t>MSFT adj. close</t>
        </is>
      </c>
      <c r="C5" s="2" t="inlineStr">
        <is>
          <t>10Y yield (%)</t>
        </is>
      </c>
      <c r="D5" s="2" t="inlineStr">
        <is>
          <t>MSFT monthly return</t>
        </is>
      </c>
      <c r="E5" s="2" t="inlineStr">
        <is>
          <t>Change in 10Y yield (pp)</t>
        </is>
      </c>
      <c r="F5" s="2" t="inlineStr">
        <is>
          <t>12M rolling correlation</t>
        </is>
      </c>
    </row>
    <row r="6">
      <c r="A6" s="8">
        <f>Inputs!A6</f>
        <v/>
      </c>
      <c r="B6" s="9">
        <f>Inputs!B6</f>
        <v/>
      </c>
      <c r="C6" s="9">
        <f>Inputs!C6</f>
        <v/>
      </c>
      <c r="D6">
        <f>NA()</f>
        <v/>
      </c>
      <c r="E6">
        <f>NA()</f>
        <v/>
      </c>
      <c r="F6">
        <f>NA()</f>
        <v/>
      </c>
    </row>
    <row r="7">
      <c r="A7" s="8">
        <f>Inputs!A7</f>
        <v/>
      </c>
      <c r="B7" s="9">
        <f>Inputs!B7</f>
        <v/>
      </c>
      <c r="C7" s="9">
        <f>Inputs!C7</f>
        <v/>
      </c>
      <c r="D7" s="10">
        <f>B7/B6-1</f>
        <v/>
      </c>
      <c r="E7" s="11">
        <f>C7-C6</f>
        <v/>
      </c>
      <c r="F7">
        <f>NA()</f>
        <v/>
      </c>
    </row>
    <row r="8">
      <c r="A8" s="8">
        <f>Inputs!A8</f>
        <v/>
      </c>
      <c r="B8" s="9">
        <f>Inputs!B8</f>
        <v/>
      </c>
      <c r="C8" s="9">
        <f>Inputs!C8</f>
        <v/>
      </c>
      <c r="D8" s="10">
        <f>B8/B7-1</f>
        <v/>
      </c>
      <c r="E8" s="11">
        <f>C8-C7</f>
        <v/>
      </c>
      <c r="F8">
        <f>NA()</f>
        <v/>
      </c>
    </row>
    <row r="9">
      <c r="A9" s="8">
        <f>Inputs!A9</f>
        <v/>
      </c>
      <c r="B9" s="9">
        <f>Inputs!B9</f>
        <v/>
      </c>
      <c r="C9" s="9">
        <f>Inputs!C9</f>
        <v/>
      </c>
      <c r="D9" s="10">
        <f>B9/B8-1</f>
        <v/>
      </c>
      <c r="E9" s="11">
        <f>C9-C8</f>
        <v/>
      </c>
      <c r="F9">
        <f>NA()</f>
        <v/>
      </c>
    </row>
    <row r="10">
      <c r="A10" s="8">
        <f>Inputs!A10</f>
        <v/>
      </c>
      <c r="B10" s="9">
        <f>Inputs!B10</f>
        <v/>
      </c>
      <c r="C10" s="9">
        <f>Inputs!C10</f>
        <v/>
      </c>
      <c r="D10" s="10">
        <f>B10/B9-1</f>
        <v/>
      </c>
      <c r="E10" s="11">
        <f>C10-C9</f>
        <v/>
      </c>
      <c r="F10">
        <f>NA()</f>
        <v/>
      </c>
    </row>
    <row r="11">
      <c r="A11" s="8">
        <f>Inputs!A11</f>
        <v/>
      </c>
      <c r="B11" s="9">
        <f>Inputs!B11</f>
        <v/>
      </c>
      <c r="C11" s="9">
        <f>Inputs!C11</f>
        <v/>
      </c>
      <c r="D11" s="10">
        <f>B11/B10-1</f>
        <v/>
      </c>
      <c r="E11" s="11">
        <f>C11-C10</f>
        <v/>
      </c>
      <c r="F11">
        <f>NA()</f>
        <v/>
      </c>
    </row>
    <row r="12">
      <c r="A12" s="8">
        <f>Inputs!A12</f>
        <v/>
      </c>
      <c r="B12" s="9">
        <f>Inputs!B12</f>
        <v/>
      </c>
      <c r="C12" s="9">
        <f>Inputs!C12</f>
        <v/>
      </c>
      <c r="D12" s="10">
        <f>B12/B11-1</f>
        <v/>
      </c>
      <c r="E12" s="11">
        <f>C12-C11</f>
        <v/>
      </c>
      <c r="F12">
        <f>NA()</f>
        <v/>
      </c>
    </row>
    <row r="13">
      <c r="A13" s="8">
        <f>Inputs!A13</f>
        <v/>
      </c>
      <c r="B13" s="9">
        <f>Inputs!B13</f>
        <v/>
      </c>
      <c r="C13" s="9">
        <f>Inputs!C13</f>
        <v/>
      </c>
      <c r="D13" s="10">
        <f>B13/B12-1</f>
        <v/>
      </c>
      <c r="E13" s="11">
        <f>C13-C12</f>
        <v/>
      </c>
      <c r="F13">
        <f>NA()</f>
        <v/>
      </c>
    </row>
    <row r="14">
      <c r="A14" s="8">
        <f>Inputs!A14</f>
        <v/>
      </c>
      <c r="B14" s="9">
        <f>Inputs!B14</f>
        <v/>
      </c>
      <c r="C14" s="9">
        <f>Inputs!C14</f>
        <v/>
      </c>
      <c r="D14" s="10">
        <f>B14/B13-1</f>
        <v/>
      </c>
      <c r="E14" s="11">
        <f>C14-C13</f>
        <v/>
      </c>
      <c r="F14">
        <f>NA()</f>
        <v/>
      </c>
    </row>
    <row r="15">
      <c r="A15" s="8">
        <f>Inputs!A15</f>
        <v/>
      </c>
      <c r="B15" s="9">
        <f>Inputs!B15</f>
        <v/>
      </c>
      <c r="C15" s="9">
        <f>Inputs!C15</f>
        <v/>
      </c>
      <c r="D15" s="10">
        <f>B15/B14-1</f>
        <v/>
      </c>
      <c r="E15" s="11">
        <f>C15-C14</f>
        <v/>
      </c>
      <c r="F15">
        <f>NA()</f>
        <v/>
      </c>
    </row>
    <row r="16">
      <c r="A16" s="8">
        <f>Inputs!A16</f>
        <v/>
      </c>
      <c r="B16" s="9">
        <f>Inputs!B16</f>
        <v/>
      </c>
      <c r="C16" s="9">
        <f>Inputs!C16</f>
        <v/>
      </c>
      <c r="D16" s="10">
        <f>B16/B15-1</f>
        <v/>
      </c>
      <c r="E16" s="11">
        <f>C16-C15</f>
        <v/>
      </c>
      <c r="F16">
        <f>NA()</f>
        <v/>
      </c>
    </row>
    <row r="17">
      <c r="A17" s="8">
        <f>Inputs!A17</f>
        <v/>
      </c>
      <c r="B17" s="9">
        <f>Inputs!B17</f>
        <v/>
      </c>
      <c r="C17" s="9">
        <f>Inputs!C17</f>
        <v/>
      </c>
      <c r="D17" s="10">
        <f>B17/B16-1</f>
        <v/>
      </c>
      <c r="E17" s="11">
        <f>C17-C16</f>
        <v/>
      </c>
      <c r="F17">
        <f>NA()</f>
        <v/>
      </c>
    </row>
    <row r="18">
      <c r="A18" s="8">
        <f>Inputs!A18</f>
        <v/>
      </c>
      <c r="B18" s="9">
        <f>Inputs!B18</f>
        <v/>
      </c>
      <c r="C18" s="9">
        <f>Inputs!C18</f>
        <v/>
      </c>
      <c r="D18" s="10">
        <f>B18/B17-1</f>
        <v/>
      </c>
      <c r="E18" s="11">
        <f>C18-C17</f>
        <v/>
      </c>
      <c r="F18" s="7">
        <f>CORREL(D7:D18,E7:E18)</f>
        <v/>
      </c>
    </row>
    <row r="19">
      <c r="A19" s="8">
        <f>Inputs!A19</f>
        <v/>
      </c>
      <c r="B19" s="9">
        <f>Inputs!B19</f>
        <v/>
      </c>
      <c r="C19" s="9">
        <f>Inputs!C19</f>
        <v/>
      </c>
      <c r="D19" s="10">
        <f>B19/B18-1</f>
        <v/>
      </c>
      <c r="E19" s="11">
        <f>C19-C18</f>
        <v/>
      </c>
      <c r="F19" s="7">
        <f>CORREL(D8:D19,E8:E19)</f>
        <v/>
      </c>
    </row>
    <row r="20">
      <c r="A20" s="8">
        <f>Inputs!A20</f>
        <v/>
      </c>
      <c r="B20" s="9">
        <f>Inputs!B20</f>
        <v/>
      </c>
      <c r="C20" s="9">
        <f>Inputs!C20</f>
        <v/>
      </c>
      <c r="D20" s="10">
        <f>B20/B19-1</f>
        <v/>
      </c>
      <c r="E20" s="11">
        <f>C20-C19</f>
        <v/>
      </c>
      <c r="F20" s="7">
        <f>CORREL(D9:D20,E9:E20)</f>
        <v/>
      </c>
    </row>
    <row r="21">
      <c r="A21" s="8">
        <f>Inputs!A21</f>
        <v/>
      </c>
      <c r="B21" s="9">
        <f>Inputs!B21</f>
        <v/>
      </c>
      <c r="C21" s="9">
        <f>Inputs!C21</f>
        <v/>
      </c>
      <c r="D21" s="10">
        <f>B21/B20-1</f>
        <v/>
      </c>
      <c r="E21" s="11">
        <f>C21-C20</f>
        <v/>
      </c>
      <c r="F21" s="7">
        <f>CORREL(D10:D21,E10:E21)</f>
        <v/>
      </c>
    </row>
    <row r="22">
      <c r="A22" s="8">
        <f>Inputs!A22</f>
        <v/>
      </c>
      <c r="B22" s="9">
        <f>Inputs!B22</f>
        <v/>
      </c>
      <c r="C22" s="9">
        <f>Inputs!C22</f>
        <v/>
      </c>
      <c r="D22" s="10">
        <f>B22/B21-1</f>
        <v/>
      </c>
      <c r="E22" s="11">
        <f>C22-C21</f>
        <v/>
      </c>
      <c r="F22" s="7">
        <f>CORREL(D11:D22,E11:E22)</f>
        <v/>
      </c>
    </row>
    <row r="23">
      <c r="A23" s="8">
        <f>Inputs!A23</f>
        <v/>
      </c>
      <c r="B23" s="9">
        <f>Inputs!B23</f>
        <v/>
      </c>
      <c r="C23" s="9">
        <f>Inputs!C23</f>
        <v/>
      </c>
      <c r="D23" s="10">
        <f>B23/B22-1</f>
        <v/>
      </c>
      <c r="E23" s="11">
        <f>C23-C22</f>
        <v/>
      </c>
      <c r="F23" s="7">
        <f>CORREL(D12:D23,E12:E23)</f>
        <v/>
      </c>
    </row>
    <row r="24">
      <c r="A24" s="8">
        <f>Inputs!A24</f>
        <v/>
      </c>
      <c r="B24" s="9">
        <f>Inputs!B24</f>
        <v/>
      </c>
      <c r="C24" s="9">
        <f>Inputs!C24</f>
        <v/>
      </c>
      <c r="D24" s="10">
        <f>B24/B23-1</f>
        <v/>
      </c>
      <c r="E24" s="11">
        <f>C24-C23</f>
        <v/>
      </c>
      <c r="F24" s="7">
        <f>CORREL(D13:D24,E13:E24)</f>
        <v/>
      </c>
    </row>
    <row r="25">
      <c r="A25" s="8">
        <f>Inputs!A25</f>
        <v/>
      </c>
      <c r="B25" s="9">
        <f>Inputs!B25</f>
        <v/>
      </c>
      <c r="C25" s="9">
        <f>Inputs!C25</f>
        <v/>
      </c>
      <c r="D25" s="10">
        <f>B25/B24-1</f>
        <v/>
      </c>
      <c r="E25" s="11">
        <f>C25-C24</f>
        <v/>
      </c>
      <c r="F25" s="7">
        <f>CORREL(D14:D25,E14:E25)</f>
        <v/>
      </c>
    </row>
    <row r="26">
      <c r="A26" s="8">
        <f>Inputs!A26</f>
        <v/>
      </c>
      <c r="B26" s="9">
        <f>Inputs!B26</f>
        <v/>
      </c>
      <c r="C26" s="9">
        <f>Inputs!C26</f>
        <v/>
      </c>
      <c r="D26" s="10">
        <f>B26/B25-1</f>
        <v/>
      </c>
      <c r="E26" s="11">
        <f>C26-C25</f>
        <v/>
      </c>
      <c r="F26" s="7">
        <f>CORREL(D15:D26,E15:E26)</f>
        <v/>
      </c>
    </row>
    <row r="27">
      <c r="A27" s="8">
        <f>Inputs!A27</f>
        <v/>
      </c>
      <c r="B27" s="9">
        <f>Inputs!B27</f>
        <v/>
      </c>
      <c r="C27" s="9">
        <f>Inputs!C27</f>
        <v/>
      </c>
      <c r="D27" s="10">
        <f>B27/B26-1</f>
        <v/>
      </c>
      <c r="E27" s="11">
        <f>C27-C26</f>
        <v/>
      </c>
      <c r="F27" s="7">
        <f>CORREL(D16:D27,E16:E27)</f>
        <v/>
      </c>
    </row>
    <row r="28">
      <c r="A28" s="8">
        <f>Inputs!A28</f>
        <v/>
      </c>
      <c r="B28" s="9">
        <f>Inputs!B28</f>
        <v/>
      </c>
      <c r="C28" s="9">
        <f>Inputs!C28</f>
        <v/>
      </c>
      <c r="D28" s="10">
        <f>B28/B27-1</f>
        <v/>
      </c>
      <c r="E28" s="11">
        <f>C28-C27</f>
        <v/>
      </c>
      <c r="F28" s="7">
        <f>CORREL(D17:D28,E17:E28)</f>
        <v/>
      </c>
    </row>
    <row r="29">
      <c r="A29" s="8">
        <f>Inputs!A29</f>
        <v/>
      </c>
      <c r="B29" s="9">
        <f>Inputs!B29</f>
        <v/>
      </c>
      <c r="C29" s="9">
        <f>Inputs!C29</f>
        <v/>
      </c>
      <c r="D29" s="10">
        <f>B29/B28-1</f>
        <v/>
      </c>
      <c r="E29" s="11">
        <f>C29-C28</f>
        <v/>
      </c>
      <c r="F29" s="7">
        <f>CORREL(D18:D29,E18:E29)</f>
        <v/>
      </c>
    </row>
    <row r="30">
      <c r="A30" s="8">
        <f>Inputs!A30</f>
        <v/>
      </c>
      <c r="B30" s="9">
        <f>Inputs!B30</f>
        <v/>
      </c>
      <c r="C30" s="9">
        <f>Inputs!C30</f>
        <v/>
      </c>
      <c r="D30" s="10">
        <f>B30/B29-1</f>
        <v/>
      </c>
      <c r="E30" s="11">
        <f>C30-C29</f>
        <v/>
      </c>
      <c r="F30" s="7">
        <f>CORREL(D19:D30,E19:E30)</f>
        <v/>
      </c>
    </row>
    <row r="31">
      <c r="A31" s="8">
        <f>Inputs!A31</f>
        <v/>
      </c>
      <c r="B31" s="9">
        <f>Inputs!B31</f>
        <v/>
      </c>
      <c r="C31" s="9">
        <f>Inputs!C31</f>
        <v/>
      </c>
      <c r="D31" s="10">
        <f>B31/B30-1</f>
        <v/>
      </c>
      <c r="E31" s="11">
        <f>C31-C30</f>
        <v/>
      </c>
      <c r="F31" s="7">
        <f>CORREL(D20:D31,E20:E31)</f>
        <v/>
      </c>
    </row>
    <row r="32">
      <c r="A32" s="8">
        <f>Inputs!A32</f>
        <v/>
      </c>
      <c r="B32" s="9">
        <f>Inputs!B32</f>
        <v/>
      </c>
      <c r="C32" s="9">
        <f>Inputs!C32</f>
        <v/>
      </c>
      <c r="D32" s="10">
        <f>B32/B31-1</f>
        <v/>
      </c>
      <c r="E32" s="11">
        <f>C32-C31</f>
        <v/>
      </c>
      <c r="F32" s="7">
        <f>CORREL(D21:D32,E21:E32)</f>
        <v/>
      </c>
    </row>
    <row r="33">
      <c r="A33" s="8">
        <f>Inputs!A33</f>
        <v/>
      </c>
      <c r="B33" s="9">
        <f>Inputs!B33</f>
        <v/>
      </c>
      <c r="C33" s="9">
        <f>Inputs!C33</f>
        <v/>
      </c>
      <c r="D33" s="10">
        <f>B33/B32-1</f>
        <v/>
      </c>
      <c r="E33" s="11">
        <f>C33-C32</f>
        <v/>
      </c>
      <c r="F33" s="7">
        <f>CORREL(D22:D33,E22:E33)</f>
        <v/>
      </c>
    </row>
    <row r="34">
      <c r="A34" s="8">
        <f>Inputs!A34</f>
        <v/>
      </c>
      <c r="B34" s="9">
        <f>Inputs!B34</f>
        <v/>
      </c>
      <c r="C34" s="9">
        <f>Inputs!C34</f>
        <v/>
      </c>
      <c r="D34" s="10">
        <f>B34/B33-1</f>
        <v/>
      </c>
      <c r="E34" s="11">
        <f>C34-C33</f>
        <v/>
      </c>
      <c r="F34" s="7">
        <f>CORREL(D23:D34,E23:E34)</f>
        <v/>
      </c>
    </row>
    <row r="35">
      <c r="A35" s="8">
        <f>Inputs!A35</f>
        <v/>
      </c>
      <c r="B35" s="9">
        <f>Inputs!B35</f>
        <v/>
      </c>
      <c r="C35" s="9">
        <f>Inputs!C35</f>
        <v/>
      </c>
      <c r="D35" s="10">
        <f>B35/B34-1</f>
        <v/>
      </c>
      <c r="E35" s="11">
        <f>C35-C34</f>
        <v/>
      </c>
      <c r="F35" s="7">
        <f>CORREL(D24:D35,E24:E35)</f>
        <v/>
      </c>
    </row>
    <row r="36">
      <c r="A36" s="8">
        <f>Inputs!A36</f>
        <v/>
      </c>
      <c r="B36" s="9">
        <f>Inputs!B36</f>
        <v/>
      </c>
      <c r="C36" s="9">
        <f>Inputs!C36</f>
        <v/>
      </c>
      <c r="D36" s="10">
        <f>B36/B35-1</f>
        <v/>
      </c>
      <c r="E36" s="11">
        <f>C36-C35</f>
        <v/>
      </c>
      <c r="F36" s="7">
        <f>CORREL(D25:D36,E25:E36)</f>
        <v/>
      </c>
    </row>
    <row r="37">
      <c r="A37" s="8">
        <f>Inputs!A37</f>
        <v/>
      </c>
      <c r="B37" s="9">
        <f>Inputs!B37</f>
        <v/>
      </c>
      <c r="C37" s="9">
        <f>Inputs!C37</f>
        <v/>
      </c>
      <c r="D37" s="10">
        <f>B37/B36-1</f>
        <v/>
      </c>
      <c r="E37" s="11">
        <f>C37-C36</f>
        <v/>
      </c>
      <c r="F37" s="7">
        <f>CORREL(D26:D37,E26:E37)</f>
        <v/>
      </c>
    </row>
    <row r="38">
      <c r="A38" s="8">
        <f>Inputs!A38</f>
        <v/>
      </c>
      <c r="B38" s="9">
        <f>Inputs!B38</f>
        <v/>
      </c>
      <c r="C38" s="9">
        <f>Inputs!C38</f>
        <v/>
      </c>
      <c r="D38" s="10">
        <f>B38/B37-1</f>
        <v/>
      </c>
      <c r="E38" s="11">
        <f>C38-C37</f>
        <v/>
      </c>
      <c r="F38" s="7">
        <f>CORREL(D27:D38,E27:E38)</f>
        <v/>
      </c>
    </row>
    <row r="39">
      <c r="A39" s="8">
        <f>Inputs!A39</f>
        <v/>
      </c>
      <c r="B39" s="9">
        <f>Inputs!B39</f>
        <v/>
      </c>
      <c r="C39" s="9">
        <f>Inputs!C39</f>
        <v/>
      </c>
      <c r="D39" s="10">
        <f>B39/B38-1</f>
        <v/>
      </c>
      <c r="E39" s="11">
        <f>C39-C38</f>
        <v/>
      </c>
      <c r="F39" s="7">
        <f>CORREL(D28:D39,E28:E39)</f>
        <v/>
      </c>
    </row>
    <row r="40">
      <c r="A40" s="8">
        <f>Inputs!A40</f>
        <v/>
      </c>
      <c r="B40" s="9">
        <f>Inputs!B40</f>
        <v/>
      </c>
      <c r="C40" s="9">
        <f>Inputs!C40</f>
        <v/>
      </c>
      <c r="D40" s="10">
        <f>B40/B39-1</f>
        <v/>
      </c>
      <c r="E40" s="11">
        <f>C40-C39</f>
        <v/>
      </c>
      <c r="F40" s="7">
        <f>CORREL(D29:D40,E29:E40)</f>
        <v/>
      </c>
    </row>
    <row r="41">
      <c r="A41" s="8">
        <f>Inputs!A41</f>
        <v/>
      </c>
      <c r="B41" s="9">
        <f>Inputs!B41</f>
        <v/>
      </c>
      <c r="C41" s="9">
        <f>Inputs!C41</f>
        <v/>
      </c>
      <c r="D41" s="10">
        <f>B41/B40-1</f>
        <v/>
      </c>
      <c r="E41" s="11">
        <f>C41-C40</f>
        <v/>
      </c>
      <c r="F41" s="7">
        <f>CORREL(D30:D41,E30:E41)</f>
        <v/>
      </c>
    </row>
    <row r="42">
      <c r="A42" s="8">
        <f>Inputs!A42</f>
        <v/>
      </c>
      <c r="B42" s="9">
        <f>Inputs!B42</f>
        <v/>
      </c>
      <c r="C42" s="9">
        <f>Inputs!C42</f>
        <v/>
      </c>
      <c r="D42" s="10">
        <f>B42/B41-1</f>
        <v/>
      </c>
      <c r="E42" s="11">
        <f>C42-C41</f>
        <v/>
      </c>
      <c r="F42" s="7">
        <f>CORREL(D31:D42,E31:E42)</f>
        <v/>
      </c>
    </row>
    <row r="43">
      <c r="A43" s="8">
        <f>Inputs!A43</f>
        <v/>
      </c>
      <c r="B43" s="9">
        <f>Inputs!B43</f>
        <v/>
      </c>
      <c r="C43" s="9">
        <f>Inputs!C43</f>
        <v/>
      </c>
      <c r="D43" s="10">
        <f>B43/B42-1</f>
        <v/>
      </c>
      <c r="E43" s="11">
        <f>C43-C42</f>
        <v/>
      </c>
      <c r="F43" s="7">
        <f>CORREL(D32:D43,E32:E43)</f>
        <v/>
      </c>
    </row>
    <row r="44">
      <c r="A44" s="8">
        <f>Inputs!A44</f>
        <v/>
      </c>
      <c r="B44" s="9">
        <f>Inputs!B44</f>
        <v/>
      </c>
      <c r="C44" s="9">
        <f>Inputs!C44</f>
        <v/>
      </c>
      <c r="D44" s="10">
        <f>B44/B43-1</f>
        <v/>
      </c>
      <c r="E44" s="11">
        <f>C44-C43</f>
        <v/>
      </c>
      <c r="F44" s="7">
        <f>CORREL(D33:D44,E33:E44)</f>
        <v/>
      </c>
    </row>
    <row r="45">
      <c r="A45" s="8">
        <f>Inputs!A45</f>
        <v/>
      </c>
      <c r="B45" s="9">
        <f>Inputs!B45</f>
        <v/>
      </c>
      <c r="C45" s="9">
        <f>Inputs!C45</f>
        <v/>
      </c>
      <c r="D45" s="10">
        <f>B45/B44-1</f>
        <v/>
      </c>
      <c r="E45" s="11">
        <f>C45-C44</f>
        <v/>
      </c>
      <c r="F45" s="7">
        <f>CORREL(D34:D45,E34:E45)</f>
        <v/>
      </c>
    </row>
    <row r="46">
      <c r="A46" s="8">
        <f>Inputs!A46</f>
        <v/>
      </c>
      <c r="B46" s="9">
        <f>Inputs!B46</f>
        <v/>
      </c>
      <c r="C46" s="9">
        <f>Inputs!C46</f>
        <v/>
      </c>
      <c r="D46" s="10">
        <f>B46/B45-1</f>
        <v/>
      </c>
      <c r="E46" s="11">
        <f>C46-C45</f>
        <v/>
      </c>
      <c r="F46" s="7">
        <f>CORREL(D35:D46,E35:E46)</f>
        <v/>
      </c>
    </row>
    <row r="47">
      <c r="A47" s="8">
        <f>Inputs!A47</f>
        <v/>
      </c>
      <c r="B47" s="9">
        <f>Inputs!B47</f>
        <v/>
      </c>
      <c r="C47" s="9">
        <f>Inputs!C47</f>
        <v/>
      </c>
      <c r="D47" s="10">
        <f>B47/B46-1</f>
        <v/>
      </c>
      <c r="E47" s="11">
        <f>C47-C46</f>
        <v/>
      </c>
      <c r="F47" s="7">
        <f>CORREL(D36:D47,E36:E47)</f>
        <v/>
      </c>
    </row>
    <row r="48">
      <c r="A48" s="8">
        <f>Inputs!A48</f>
        <v/>
      </c>
      <c r="B48" s="9">
        <f>Inputs!B48</f>
        <v/>
      </c>
      <c r="C48" s="9">
        <f>Inputs!C48</f>
        <v/>
      </c>
      <c r="D48" s="10">
        <f>B48/B47-1</f>
        <v/>
      </c>
      <c r="E48" s="11">
        <f>C48-C47</f>
        <v/>
      </c>
      <c r="F48" s="7">
        <f>CORREL(D37:D48,E37:E48)</f>
        <v/>
      </c>
    </row>
    <row r="49">
      <c r="A49" s="8">
        <f>Inputs!A49</f>
        <v/>
      </c>
      <c r="B49" s="9">
        <f>Inputs!B49</f>
        <v/>
      </c>
      <c r="C49" s="9">
        <f>Inputs!C49</f>
        <v/>
      </c>
      <c r="D49" s="10">
        <f>B49/B48-1</f>
        <v/>
      </c>
      <c r="E49" s="11">
        <f>C49-C48</f>
        <v/>
      </c>
      <c r="F49" s="7">
        <f>CORREL(D38:D49,E38:E49)</f>
        <v/>
      </c>
    </row>
    <row r="50">
      <c r="A50" s="8">
        <f>Inputs!A50</f>
        <v/>
      </c>
      <c r="B50" s="9">
        <f>Inputs!B50</f>
        <v/>
      </c>
      <c r="C50" s="9">
        <f>Inputs!C50</f>
        <v/>
      </c>
      <c r="D50" s="10">
        <f>B50/B49-1</f>
        <v/>
      </c>
      <c r="E50" s="11">
        <f>C50-C49</f>
        <v/>
      </c>
      <c r="F50" s="7">
        <f>CORREL(D39:D50,E39:E50)</f>
        <v/>
      </c>
    </row>
    <row r="51">
      <c r="A51" s="8">
        <f>Inputs!A51</f>
        <v/>
      </c>
      <c r="B51" s="9">
        <f>Inputs!B51</f>
        <v/>
      </c>
      <c r="C51" s="9">
        <f>Inputs!C51</f>
        <v/>
      </c>
      <c r="D51" s="10">
        <f>B51/B50-1</f>
        <v/>
      </c>
      <c r="E51" s="11">
        <f>C51-C50</f>
        <v/>
      </c>
      <c r="F51" s="7">
        <f>CORREL(D40:D51,E40:E51)</f>
        <v/>
      </c>
    </row>
    <row r="52">
      <c r="A52" s="8">
        <f>Inputs!A52</f>
        <v/>
      </c>
      <c r="B52" s="9">
        <f>Inputs!B52</f>
        <v/>
      </c>
      <c r="C52" s="9">
        <f>Inputs!C52</f>
        <v/>
      </c>
      <c r="D52" s="10">
        <f>B52/B51-1</f>
        <v/>
      </c>
      <c r="E52" s="11">
        <f>C52-C51</f>
        <v/>
      </c>
      <c r="F52" s="7">
        <f>CORREL(D41:D52,E41:E52)</f>
        <v/>
      </c>
    </row>
    <row r="53">
      <c r="A53" s="8">
        <f>Inputs!A53</f>
        <v/>
      </c>
      <c r="B53" s="9">
        <f>Inputs!B53</f>
        <v/>
      </c>
      <c r="C53" s="9">
        <f>Inputs!C53</f>
        <v/>
      </c>
      <c r="D53" s="10">
        <f>B53/B52-1</f>
        <v/>
      </c>
      <c r="E53" s="11">
        <f>C53-C52</f>
        <v/>
      </c>
      <c r="F53" s="7">
        <f>CORREL(D42:D53,E42:E53)</f>
        <v/>
      </c>
    </row>
    <row r="54">
      <c r="A54" s="8">
        <f>Inputs!A54</f>
        <v/>
      </c>
      <c r="B54" s="9">
        <f>Inputs!B54</f>
        <v/>
      </c>
      <c r="C54" s="9">
        <f>Inputs!C54</f>
        <v/>
      </c>
      <c r="D54" s="10">
        <f>B54/B53-1</f>
        <v/>
      </c>
      <c r="E54" s="11">
        <f>C54-C53</f>
        <v/>
      </c>
      <c r="F54" s="7">
        <f>CORREL(D43:D54,E43:E54)</f>
        <v/>
      </c>
    </row>
    <row r="55">
      <c r="A55" s="8">
        <f>Inputs!A55</f>
        <v/>
      </c>
      <c r="B55" s="9">
        <f>Inputs!B55</f>
        <v/>
      </c>
      <c r="C55" s="9">
        <f>Inputs!C55</f>
        <v/>
      </c>
      <c r="D55" s="10">
        <f>B55/B54-1</f>
        <v/>
      </c>
      <c r="E55" s="11">
        <f>C55-C54</f>
        <v/>
      </c>
      <c r="F55" s="7">
        <f>CORREL(D44:D55,E44:E55)</f>
        <v/>
      </c>
    </row>
    <row r="56">
      <c r="A56" s="8">
        <f>Inputs!A56</f>
        <v/>
      </c>
      <c r="B56" s="9">
        <f>Inputs!B56</f>
        <v/>
      </c>
      <c r="C56" s="9">
        <f>Inputs!C56</f>
        <v/>
      </c>
      <c r="D56" s="10">
        <f>B56/B55-1</f>
        <v/>
      </c>
      <c r="E56" s="11">
        <f>C56-C55</f>
        <v/>
      </c>
      <c r="F56" s="7">
        <f>CORREL(D45:D56,E45:E56)</f>
        <v/>
      </c>
    </row>
    <row r="57">
      <c r="A57" s="8">
        <f>Inputs!A57</f>
        <v/>
      </c>
      <c r="B57" s="9">
        <f>Inputs!B57</f>
        <v/>
      </c>
      <c r="C57" s="9">
        <f>Inputs!C57</f>
        <v/>
      </c>
      <c r="D57" s="10">
        <f>B57/B56-1</f>
        <v/>
      </c>
      <c r="E57" s="11">
        <f>C57-C56</f>
        <v/>
      </c>
      <c r="F57" s="7">
        <f>CORREL(D46:D57,E46:E57)</f>
        <v/>
      </c>
    </row>
    <row r="58">
      <c r="A58" s="8">
        <f>Inputs!A58</f>
        <v/>
      </c>
      <c r="B58" s="9">
        <f>Inputs!B58</f>
        <v/>
      </c>
      <c r="C58" s="9">
        <f>Inputs!C58</f>
        <v/>
      </c>
      <c r="D58" s="10">
        <f>B58/B57-1</f>
        <v/>
      </c>
      <c r="E58" s="11">
        <f>C58-C57</f>
        <v/>
      </c>
      <c r="F58" s="7">
        <f>CORREL(D47:D58,E47:E58)</f>
        <v/>
      </c>
    </row>
    <row r="59">
      <c r="A59" s="8">
        <f>Inputs!A59</f>
        <v/>
      </c>
      <c r="B59" s="9">
        <f>Inputs!B59</f>
        <v/>
      </c>
      <c r="C59" s="9">
        <f>Inputs!C59</f>
        <v/>
      </c>
      <c r="D59" s="10">
        <f>B59/B58-1</f>
        <v/>
      </c>
      <c r="E59" s="11">
        <f>C59-C58</f>
        <v/>
      </c>
      <c r="F59" s="7">
        <f>CORREL(D48:D59,E48:E59)</f>
        <v/>
      </c>
    </row>
    <row r="60">
      <c r="A60" s="8">
        <f>Inputs!A60</f>
        <v/>
      </c>
      <c r="B60" s="9">
        <f>Inputs!B60</f>
        <v/>
      </c>
      <c r="C60" s="9">
        <f>Inputs!C60</f>
        <v/>
      </c>
      <c r="D60" s="10">
        <f>B60/B59-1</f>
        <v/>
      </c>
      <c r="E60" s="11">
        <f>C60-C59</f>
        <v/>
      </c>
      <c r="F60" s="7">
        <f>CORREL(D49:D60,E49:E60)</f>
        <v/>
      </c>
    </row>
    <row r="61">
      <c r="A61" s="8">
        <f>Inputs!A61</f>
        <v/>
      </c>
      <c r="B61" s="9">
        <f>Inputs!B61</f>
        <v/>
      </c>
      <c r="C61" s="9">
        <f>Inputs!C61</f>
        <v/>
      </c>
      <c r="D61" s="10">
        <f>B61/B60-1</f>
        <v/>
      </c>
      <c r="E61" s="11">
        <f>C61-C60</f>
        <v/>
      </c>
      <c r="F61" s="7">
        <f>CORREL(D50:D61,E50:E61)</f>
        <v/>
      </c>
    </row>
    <row r="62">
      <c r="A62" s="8">
        <f>Inputs!A62</f>
        <v/>
      </c>
      <c r="B62" s="9">
        <f>Inputs!B62</f>
        <v/>
      </c>
      <c r="C62" s="9">
        <f>Inputs!C62</f>
        <v/>
      </c>
      <c r="D62" s="10">
        <f>B62/B61-1</f>
        <v/>
      </c>
      <c r="E62" s="11">
        <f>C62-C61</f>
        <v/>
      </c>
      <c r="F62" s="7">
        <f>CORREL(D51:D62,E51:E62)</f>
        <v/>
      </c>
    </row>
    <row r="63">
      <c r="A63" s="8">
        <f>Inputs!A63</f>
        <v/>
      </c>
      <c r="B63" s="9">
        <f>Inputs!B63</f>
        <v/>
      </c>
      <c r="C63" s="9">
        <f>Inputs!C63</f>
        <v/>
      </c>
      <c r="D63" s="10">
        <f>B63/B62-1</f>
        <v/>
      </c>
      <c r="E63" s="11">
        <f>C63-C62</f>
        <v/>
      </c>
      <c r="F63" s="7">
        <f>CORREL(D52:D63,E52:E63)</f>
        <v/>
      </c>
    </row>
    <row r="64">
      <c r="A64" s="8">
        <f>Inputs!A64</f>
        <v/>
      </c>
      <c r="B64" s="9">
        <f>Inputs!B64</f>
        <v/>
      </c>
      <c r="C64" s="9">
        <f>Inputs!C64</f>
        <v/>
      </c>
      <c r="D64" s="10">
        <f>B64/B63-1</f>
        <v/>
      </c>
      <c r="E64" s="11">
        <f>C64-C63</f>
        <v/>
      </c>
      <c r="F64" s="7">
        <f>CORREL(D53:D64,E53:E64)</f>
        <v/>
      </c>
    </row>
    <row r="65">
      <c r="A65" s="8">
        <f>Inputs!A65</f>
        <v/>
      </c>
      <c r="B65" s="9">
        <f>Inputs!B65</f>
        <v/>
      </c>
      <c r="C65" s="9">
        <f>Inputs!C65</f>
        <v/>
      </c>
      <c r="D65" s="10">
        <f>B65/B64-1</f>
        <v/>
      </c>
      <c r="E65" s="11">
        <f>C65-C64</f>
        <v/>
      </c>
      <c r="F65" s="7">
        <f>CORREL(D54:D65,E54:E65)</f>
        <v/>
      </c>
    </row>
    <row r="66">
      <c r="A66" s="8">
        <f>Inputs!A66</f>
        <v/>
      </c>
      <c r="B66" s="9">
        <f>Inputs!B66</f>
        <v/>
      </c>
      <c r="C66" s="9">
        <f>Inputs!C66</f>
        <v/>
      </c>
      <c r="D66" s="10">
        <f>B66/B65-1</f>
        <v/>
      </c>
      <c r="E66" s="11">
        <f>C66-C65</f>
        <v/>
      </c>
      <c r="F66" s="7">
        <f>CORREL(D55:D66,E55:E66)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Summary - MSFT monthly returns vs change in 10Y Treasury yield</t>
        </is>
      </c>
    </row>
    <row r="3">
      <c r="A3" t="inlineStr">
        <is>
          <t>First month</t>
        </is>
      </c>
      <c r="B3" s="12">
        <f>Calc!A6</f>
        <v/>
      </c>
    </row>
    <row r="4">
      <c r="A4" t="inlineStr">
        <is>
          <t>Last month</t>
        </is>
      </c>
      <c r="B4" s="12">
        <f>Calc!A66</f>
        <v/>
      </c>
    </row>
    <row r="5">
      <c r="A5" t="inlineStr">
        <is>
          <t>Monthly price rows</t>
        </is>
      </c>
      <c r="B5" s="13">
        <f>COUNT(Inputs!B6:B66)</f>
        <v/>
      </c>
    </row>
    <row r="6">
      <c r="A6" t="inlineStr">
        <is>
          <t>Monthly return observations</t>
        </is>
      </c>
      <c r="B6" s="13">
        <f>Calc!E3</f>
        <v/>
      </c>
    </row>
    <row r="7">
      <c r="A7" t="inlineStr">
        <is>
          <t>First MSFT adj. close (USD)</t>
        </is>
      </c>
      <c r="B7" s="11">
        <f>Calc!B6</f>
        <v/>
      </c>
    </row>
    <row r="8">
      <c r="A8" t="inlineStr">
        <is>
          <t>Last MSFT adj. close (USD)</t>
        </is>
      </c>
      <c r="B8" s="11">
        <f>Calc!B66</f>
        <v/>
      </c>
    </row>
    <row r="9">
      <c r="A9" t="inlineStr">
        <is>
          <t>First 10Y yield (%)</t>
        </is>
      </c>
      <c r="B9" s="11">
        <f>Calc!C6</f>
        <v/>
      </c>
    </row>
    <row r="10">
      <c r="A10" t="inlineStr">
        <is>
          <t>Last 10Y yield (%)</t>
        </is>
      </c>
      <c r="B10" s="11">
        <f>Calc!C66</f>
        <v/>
      </c>
    </row>
    <row r="11">
      <c r="A11" t="inlineStr">
        <is>
          <t>Full-period correlation</t>
        </is>
      </c>
      <c r="B11" s="7">
        <f>Calc!C3</f>
        <v/>
      </c>
    </row>
    <row r="12">
      <c r="A12" t="inlineStr">
        <is>
          <t>Latest 12M rolling correlation</t>
        </is>
      </c>
      <c r="B12" s="7">
        <f>Calc!F66</f>
        <v/>
      </c>
    </row>
    <row r="13">
      <c r="A13" t="inlineStr">
        <is>
          <t>Min 12M rolling correlation</t>
        </is>
      </c>
      <c r="B13" s="7">
        <f>MIN(Calc!F18:F66)</f>
        <v/>
      </c>
    </row>
    <row r="14">
      <c r="A14" t="inlineStr">
        <is>
          <t>Max 12M rolling correlation</t>
        </is>
      </c>
      <c r="B14" s="7">
        <f>MAX(Calc!F18:F66)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6" t="inlineStr">
        <is>
          <t>Checks</t>
        </is>
      </c>
    </row>
    <row r="3">
      <c r="A3" t="inlineStr">
        <is>
          <t>Price and yield row counts match</t>
        </is>
      </c>
      <c r="B3">
        <f>COUNT(Inputs!B6:B66)=COUNT(Inputs!C6:C66)</f>
        <v/>
      </c>
    </row>
    <row r="4">
      <c r="A4" t="inlineStr">
        <is>
          <t>No blank inputs</t>
        </is>
      </c>
      <c r="B4">
        <f>COUNTBLANK(Inputs!A6:C66)=0</f>
        <v/>
      </c>
    </row>
    <row r="5">
      <c r="A5" t="inlineStr">
        <is>
          <t>All prices positive</t>
        </is>
      </c>
      <c r="B5">
        <f>MIN(Inputs!B6:B66)&gt;0</f>
        <v/>
      </c>
    </row>
    <row r="6">
      <c r="A6" t="inlineStr">
        <is>
          <t>Dates strictly increasing</t>
        </is>
      </c>
      <c r="B6">
        <f>SUMPRODUCT(--(Inputs!A7:A66&gt;Inputs!A6:A65))=60</f>
        <v/>
      </c>
    </row>
    <row r="7">
      <c r="A7" t="inlineStr">
        <is>
          <t>Correlations within [-1,1]</t>
        </is>
      </c>
      <c r="B7">
        <f>AND(MAX(Calc!F18:F66)&lt;=1,MIN(Calc!F18:F66)&gt;=-1,ABS(Calc!C3)&lt;=1)</f>
        <v/>
      </c>
    </row>
    <row r="8">
      <c r="A8" s="6" t="inlineStr">
        <is>
          <t>All checks pass</t>
        </is>
      </c>
      <c r="B8" s="6">
        <f>AND(B3:B7)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2026-10-16T03:36:13Z</dcterms:created>
  <dcterms:modified xmlns:dcterms="http://purl.org/dc/terms/" xmlns:xsi="http://www.w3.org/2001/XMLSchema-instance" xsi:type="dcterms:W3CDTF">2026-10-16T03:36:13Z</dcterms:modified>
</cp:coreProperties>
</file>