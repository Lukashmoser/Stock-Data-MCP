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lc" sheetId="2" state="visible" r:id="rId4"/>
    <sheet name="Summary" sheetId="3" state="visible" r:id="rId5"/>
    <sheet name="Checks" sheetId="4" state="visible" r:id="rId6"/>
  </sheets>
  <definedNames>
    <definedName function="false" hidden="false" name="FullPeriodCorr" vbProcedure="false">Calc!$C$3</definedName>
    <definedName function="false" hidden="false" name="LatestRollingCorr" vbProcedure="false">Calc!$F$66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<sst xmlns="http://schemas.openxmlformats.org/spreadsheetml/2006/main" count="39" uniqueCount="38">
  <si>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MSFT vs US 10-Year Treasury - monthly inputs</t>
  </si>
  <si>
    <t xml:space="preserve">Blue = hardcoded input. Month-end dates are calendar month-ends; values are the last trading-day observation in each month.</t>
  </si>
  <si>
    <t xml:space="preserve">Retrieved 2026-10-15. Window: 2021-09-30 to 2026-09-30 (61 month-ends -&gt; 60 monthly changes). Partial Oct-2026 excluded.</t>
  </si>
  <si>
    <t xml:space="preserve">Month-end</t>
  </si>
  <si>
    <t xml:space="preserve">MSFT adj. close (USD/share)</t>
  </si>
  <si>
    <t xml:space="preserve">10Y Treasury yield (%)</t>
  </si>
  <si>
    <t xml:space="preserve">Source: calendar month-end (constructed)</t>
  </si>
  <si>
    <t xml:space="preserve">Source: Yahoo Finance via stock-data get_price_history (MSFT, interval 1mo, adj_close = split &amp; dividend adjusted)</t>
  </si>
  <si>
    <t xml:space="preserve">Source: FRED series DGS10 (Board of Governors / U.S. Treasury), monthly end-of-period aggregation, via stock-data get_macro_series; FRED last_updated 2026-10-13</t>
  </si>
  <si>
    <t xml:space="preserve">Calculations (all cells below row 5 are live formulas)</t>
  </si>
  <si>
    <t xml:space="preserve">Return = adj close / prior adj close - 1. Yield change in percentage points. Rolling corr = CORREL over trailing 12 monthly pairs.</t>
  </si>
  <si>
    <t xml:space="preserve">Full-period correlation:</t>
  </si>
  <si>
    <t xml:space="preserve">Obs:</t>
  </si>
  <si>
    <t xml:space="preserve">MSFT adj. close</t>
  </si>
  <si>
    <t xml:space="preserve">10Y yield (%)</t>
  </si>
  <si>
    <t xml:space="preserve">MSFT monthly return</t>
  </si>
  <si>
    <t xml:space="preserve">Change in 10Y yield (pp)</t>
  </si>
  <si>
    <t xml:space="preserve">12M rolling correlation</t>
  </si>
  <si>
    <t xml:space="preserve">Summary - MSFT monthly returns vs change in 10Y Treasury yield</t>
  </si>
  <si>
    <t xml:space="preserve">First month</t>
  </si>
  <si>
    <t xml:space="preserve">Last month</t>
  </si>
  <si>
    <t xml:space="preserve">Monthly price rows</t>
  </si>
  <si>
    <t xml:space="preserve">Monthly return observations</t>
  </si>
  <si>
    <t xml:space="preserve">First MSFT adj. close (USD)</t>
  </si>
  <si>
    <t xml:space="preserve">Last MSFT adj. close (USD)</t>
  </si>
  <si>
    <t xml:space="preserve">First 10Y yield (%)</t>
  </si>
  <si>
    <t xml:space="preserve">Last 10Y yield (%)</t>
  </si>
  <si>
    <t xml:space="preserve">Full-period correlation</t>
  </si>
  <si>
    <t xml:space="preserve">Latest 12M rolling correlation</t>
  </si>
  <si>
    <t xml:space="preserve">Min 12M rolling correlation</t>
  </si>
  <si>
    <t xml:space="preserve">Max 12M rolling correlation</t>
  </si>
  <si>
    <t xml:space="preserve">Checks</t>
  </si>
  <si>
    <t xml:space="preserve">Price and yield row counts match</t>
  </si>
  <si>
    <t xml:space="preserve">No blank inputs</t>
  </si>
  <si>
    <t xml:space="preserve">All prices positive</t>
  </si>
  <si>
    <t xml:space="preserve">Dates strictly increasing</t>
  </si>
  <si>
    <t xml:space="preserve">Correlations within [-1,1]</t>
  </si>
  <si>
    <t xml:space="preserve">All checks pass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</si>
</sst>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0"/>
    <numFmt numFmtId="167" formatCode="0.000"/>
    <numFmt numFmtId="168" formatCode="0.0%"/>
    <numFmt numFmtId="169" formatCode="0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8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MSFT return vs 10Y yield change: 12-month rolling correlation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"12M rolling correlation"</c:f>
              <c:strCache>
                <c:ptCount val="1"/>
                <c:pt idx="0">
                  <c:v>12M rolling correlation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Calc!$A$18:$A$66</c:f>
              <c:strCache>
                <c:ptCount val="49"/>
                <c:pt idx="0">
                  <c:v>2022-09-30</c:v>
                </c:pt>
                <c:pt idx="1">
                  <c:v>2022-10-31</c:v>
                </c:pt>
                <c:pt idx="2">
                  <c:v>2022-11-30</c:v>
                </c:pt>
                <c:pt idx="3">
                  <c:v>2022-12-31</c:v>
                </c:pt>
                <c:pt idx="4">
                  <c:v>2023-01-31</c:v>
                </c:pt>
                <c:pt idx="5">
                  <c:v>2023-02-28</c:v>
                </c:pt>
                <c:pt idx="6">
                  <c:v>2023-03-31</c:v>
                </c:pt>
                <c:pt idx="7">
                  <c:v>2023-04-30</c:v>
                </c:pt>
                <c:pt idx="8">
                  <c:v>2023-05-31</c:v>
                </c:pt>
                <c:pt idx="9">
                  <c:v>2023-06-30</c:v>
                </c:pt>
                <c:pt idx="10">
                  <c:v>2023-07-31</c:v>
                </c:pt>
                <c:pt idx="11">
                  <c:v>2023-08-31</c:v>
                </c:pt>
                <c:pt idx="12">
                  <c:v>2023-09-30</c:v>
                </c:pt>
                <c:pt idx="13">
                  <c:v>2023-10-31</c:v>
                </c:pt>
                <c:pt idx="14">
                  <c:v>2023-11-30</c:v>
                </c:pt>
                <c:pt idx="15">
                  <c:v>2023-12-31</c:v>
                </c:pt>
                <c:pt idx="16">
                  <c:v>2024-01-31</c:v>
                </c:pt>
                <c:pt idx="17">
                  <c:v>2024-02-29</c:v>
                </c:pt>
                <c:pt idx="18">
                  <c:v>2024-03-31</c:v>
                </c:pt>
                <c:pt idx="19">
                  <c:v>2024-04-30</c:v>
                </c:pt>
                <c:pt idx="20">
                  <c:v>2024-05-31</c:v>
                </c:pt>
                <c:pt idx="21">
                  <c:v>2024-06-30</c:v>
                </c:pt>
                <c:pt idx="22">
                  <c:v>2024-07-31</c:v>
                </c:pt>
                <c:pt idx="23">
                  <c:v>2024-08-31</c:v>
                </c:pt>
                <c:pt idx="24">
                  <c:v>2024-09-30</c:v>
                </c:pt>
                <c:pt idx="25">
                  <c:v>2024-10-31</c:v>
                </c:pt>
                <c:pt idx="26">
                  <c:v>2024-11-30</c:v>
                </c:pt>
                <c:pt idx="27">
                  <c:v>2024-12-31</c:v>
                </c:pt>
                <c:pt idx="28">
                  <c:v>2025-01-31</c:v>
                </c:pt>
                <c:pt idx="29">
                  <c:v>2025-02-28</c:v>
                </c:pt>
                <c:pt idx="30">
                  <c:v>2025-03-31</c:v>
                </c:pt>
                <c:pt idx="31">
                  <c:v>2025-04-30</c:v>
                </c:pt>
                <c:pt idx="32">
                  <c:v>2025-05-31</c:v>
                </c:pt>
                <c:pt idx="33">
                  <c:v>2025-06-30</c:v>
                </c:pt>
                <c:pt idx="34">
                  <c:v>2025-07-31</c:v>
                </c:pt>
                <c:pt idx="35">
                  <c:v>2025-08-31</c:v>
                </c:pt>
                <c:pt idx="36">
                  <c:v>2025-09-30</c:v>
                </c:pt>
                <c:pt idx="37">
                  <c:v>2025-10-31</c:v>
                </c:pt>
                <c:pt idx="38">
                  <c:v>2025-11-30</c:v>
                </c:pt>
                <c:pt idx="39">
                  <c:v>2025-12-31</c:v>
                </c:pt>
                <c:pt idx="40">
                  <c:v>2026-01-31</c:v>
                </c:pt>
                <c:pt idx="41">
                  <c:v>2026-02-28</c:v>
                </c:pt>
                <c:pt idx="42">
                  <c:v>2026-03-31</c:v>
                </c:pt>
                <c:pt idx="43">
                  <c:v>2026-04-30</c:v>
                </c:pt>
                <c:pt idx="44">
                  <c:v>2026-05-31</c:v>
                </c:pt>
                <c:pt idx="45">
                  <c:v>2026-06-30</c:v>
                </c:pt>
                <c:pt idx="46">
                  <c:v>2026-07-31</c:v>
                </c:pt>
                <c:pt idx="47">
                  <c:v>2026-08-31</c:v>
                </c:pt>
                <c:pt idx="48">
                  <c:v>2026-09-30</c:v>
                </c:pt>
              </c:strCache>
            </c:strRef>
          </c:cat>
          <c:val>
            <c:numRef>
              <c:f>Calc!$F$18:$F$66</c:f>
              <c:numCache>
                <c:formatCode>0.000</c:formatCode>
                <c:ptCount val="49"/>
                <c:pt idx="0">
                  <c:v>-0.608339051804796</c:v>
                </c:pt>
                <c:pt idx="1">
                  <c:v>-0.692443847974092</c:v>
                </c:pt>
                <c:pt idx="2">
                  <c:v>-0.787503031575106</c:v>
                </c:pt>
                <c:pt idx="3">
                  <c:v>-0.776868713954858</c:v>
                </c:pt>
                <c:pt idx="4">
                  <c:v>-0.786593540937415</c:v>
                </c:pt>
                <c:pt idx="5">
                  <c:v>-0.766429248289084</c:v>
                </c:pt>
                <c:pt idx="6">
                  <c:v>-0.881596733932853</c:v>
                </c:pt>
                <c:pt idx="7">
                  <c:v>-0.856584543724373</c:v>
                </c:pt>
                <c:pt idx="8">
                  <c:v>-0.828261704483556</c:v>
                </c:pt>
                <c:pt idx="9">
                  <c:v>-0.843759112637256</c:v>
                </c:pt>
                <c:pt idx="10">
                  <c:v>-0.828367882165334</c:v>
                </c:pt>
                <c:pt idx="11">
                  <c:v>-0.797940911805559</c:v>
                </c:pt>
                <c:pt idx="12">
                  <c:v>-0.740545731244525</c:v>
                </c:pt>
                <c:pt idx="13">
                  <c:v>-0.660604945892421</c:v>
                </c:pt>
                <c:pt idx="14">
                  <c:v>-0.687581858286482</c:v>
                </c:pt>
                <c:pt idx="15">
                  <c:v>-0.512982453901025</c:v>
                </c:pt>
                <c:pt idx="16">
                  <c:v>-0.545428278078977</c:v>
                </c:pt>
                <c:pt idx="17">
                  <c:v>-0.514678140906091</c:v>
                </c:pt>
                <c:pt idx="18">
                  <c:v>-0.330727718932495</c:v>
                </c:pt>
                <c:pt idx="19">
                  <c:v>-0.453170644109222</c:v>
                </c:pt>
                <c:pt idx="20">
                  <c:v>-0.533202700967316</c:v>
                </c:pt>
                <c:pt idx="21">
                  <c:v>-0.566696971692418</c:v>
                </c:pt>
                <c:pt idx="22">
                  <c:v>-0.377726428694456</c:v>
                </c:pt>
                <c:pt idx="23">
                  <c:v>-0.341076589080852</c:v>
                </c:pt>
                <c:pt idx="24">
                  <c:v>-0.235385977262587</c:v>
                </c:pt>
                <c:pt idx="25">
                  <c:v>-0.472176647960937</c:v>
                </c:pt>
                <c:pt idx="26">
                  <c:v>-0.319099582645984</c:v>
                </c:pt>
                <c:pt idx="27">
                  <c:v>-0.439934781746088</c:v>
                </c:pt>
                <c:pt idx="28">
                  <c:v>-0.463566428857046</c:v>
                </c:pt>
                <c:pt idx="29">
                  <c:v>-0.402652148916458</c:v>
                </c:pt>
                <c:pt idx="30">
                  <c:v>-0.379839698648964</c:v>
                </c:pt>
                <c:pt idx="31">
                  <c:v>-0.210792929075937</c:v>
                </c:pt>
                <c:pt idx="32">
                  <c:v>0.122870721902161</c:v>
                </c:pt>
                <c:pt idx="33">
                  <c:v>0.11159611794395</c:v>
                </c:pt>
                <c:pt idx="34">
                  <c:v>0.0313823159696197</c:v>
                </c:pt>
                <c:pt idx="35">
                  <c:v>0.0689477040159574</c:v>
                </c:pt>
                <c:pt idx="36">
                  <c:v>0.0766900799396371</c:v>
                </c:pt>
                <c:pt idx="37">
                  <c:v>0.362856020509416</c:v>
                </c:pt>
                <c:pt idx="38">
                  <c:v>0.399826622690151</c:v>
                </c:pt>
                <c:pt idx="39">
                  <c:v>0.513012528204719</c:v>
                </c:pt>
                <c:pt idx="40">
                  <c:v>0.352288080089134</c:v>
                </c:pt>
                <c:pt idx="41">
                  <c:v>0.425658381716452</c:v>
                </c:pt>
                <c:pt idx="42">
                  <c:v>0.225473006214207</c:v>
                </c:pt>
                <c:pt idx="43">
                  <c:v>0.285295383370885</c:v>
                </c:pt>
                <c:pt idx="44">
                  <c:v>0.107004449313978</c:v>
                </c:pt>
                <c:pt idx="45">
                  <c:v>0.227181859568818</c:v>
                </c:pt>
                <c:pt idx="46">
                  <c:v>0.444788570701245</c:v>
                </c:pt>
                <c:pt idx="47">
                  <c:v>0.398627928183583</c:v>
                </c:pt>
                <c:pt idx="48">
                  <c:v>0.329608849739683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976712"/>
        <c:axId val="72852429"/>
      </c:lineChart>
      <c:catAx>
        <c:axId val="319767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Month-end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52429"/>
        <c:crosses val="autoZero"/>
        <c:auto val="1"/>
        <c:lblAlgn val="ctr"/>
        <c:lblOffset val="100"/>
        <c:noMultiLvlLbl val="0"/>
      </c:catAx>
      <c:valAx>
        <c:axId val="72852429"/>
        <c:scaling>
          <c:orientation val="minMax"/>
          <c:max val="1"/>
          <c:min val="-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Correlation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767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Monthly: MSFT return vs change in 10Y yield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"Months"</c:f>
              <c:strCache>
                <c:ptCount val="1"/>
                <c:pt idx="0">
                  <c:v>Months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Calc!$E$7:$E$66</c:f>
              <c:numCache>
                <c:formatCode>0.00</c:formatCode>
                <c:ptCount val="60"/>
                <c:pt idx="0">
                  <c:v>0.03</c:v>
                </c:pt>
                <c:pt idx="1">
                  <c:v>-0.12</c:v>
                </c:pt>
                <c:pt idx="2">
                  <c:v>0.0900000000000001</c:v>
                </c:pt>
                <c:pt idx="3">
                  <c:v>0.27</c:v>
                </c:pt>
                <c:pt idx="4">
                  <c:v>0.04</c:v>
                </c:pt>
                <c:pt idx="5">
                  <c:v>0.49</c:v>
                </c:pt>
                <c:pt idx="6">
                  <c:v>0.57</c:v>
                </c:pt>
                <c:pt idx="7">
                  <c:v>-0.04</c:v>
                </c:pt>
                <c:pt idx="8">
                  <c:v>0.13</c:v>
                </c:pt>
                <c:pt idx="9">
                  <c:v>-0.31</c:v>
                </c:pt>
                <c:pt idx="10">
                  <c:v>0.48</c:v>
                </c:pt>
                <c:pt idx="11">
                  <c:v>0.68</c:v>
                </c:pt>
                <c:pt idx="12">
                  <c:v>0.27</c:v>
                </c:pt>
                <c:pt idx="13">
                  <c:v>-0.42</c:v>
                </c:pt>
                <c:pt idx="14">
                  <c:v>0.2</c:v>
                </c:pt>
                <c:pt idx="15">
                  <c:v>-0.36</c:v>
                </c:pt>
                <c:pt idx="16">
                  <c:v>0.4</c:v>
                </c:pt>
                <c:pt idx="17">
                  <c:v>-0.44</c:v>
                </c:pt>
                <c:pt idx="18">
                  <c:v>-0.04</c:v>
                </c:pt>
                <c:pt idx="19">
                  <c:v>0.2</c:v>
                </c:pt>
                <c:pt idx="20">
                  <c:v>0.17</c:v>
                </c:pt>
                <c:pt idx="21">
                  <c:v>0.16</c:v>
                </c:pt>
                <c:pt idx="22">
                  <c:v>0.12</c:v>
                </c:pt>
                <c:pt idx="23">
                  <c:v>0.5</c:v>
                </c:pt>
                <c:pt idx="24">
                  <c:v>0.29</c:v>
                </c:pt>
                <c:pt idx="25">
                  <c:v>-0.51</c:v>
                </c:pt>
                <c:pt idx="26">
                  <c:v>-0.49</c:v>
                </c:pt>
                <c:pt idx="27">
                  <c:v>0.11</c:v>
                </c:pt>
                <c:pt idx="28">
                  <c:v>0.26</c:v>
                </c:pt>
                <c:pt idx="29">
                  <c:v>-0.0499999999999998</c:v>
                </c:pt>
                <c:pt idx="30">
                  <c:v>0.49</c:v>
                </c:pt>
                <c:pt idx="31">
                  <c:v>-0.180000000000001</c:v>
                </c:pt>
                <c:pt idx="32">
                  <c:v>-0.149999999999999</c:v>
                </c:pt>
                <c:pt idx="33">
                  <c:v>-0.27</c:v>
                </c:pt>
                <c:pt idx="34">
                  <c:v>-0.18</c:v>
                </c:pt>
                <c:pt idx="35">
                  <c:v>-0.1</c:v>
                </c:pt>
                <c:pt idx="36">
                  <c:v>0.47</c:v>
                </c:pt>
                <c:pt idx="37">
                  <c:v>-0.100000000000001</c:v>
                </c:pt>
                <c:pt idx="38">
                  <c:v>0.4</c:v>
                </c:pt>
                <c:pt idx="39">
                  <c:v>0</c:v>
                </c:pt>
                <c:pt idx="40">
                  <c:v>-0.34</c:v>
                </c:pt>
                <c:pt idx="41">
                  <c:v>-0.00999999999999979</c:v>
                </c:pt>
                <c:pt idx="42">
                  <c:v>-0.0600000000000005</c:v>
                </c:pt>
                <c:pt idx="43">
                  <c:v>0.24</c:v>
                </c:pt>
                <c:pt idx="44">
                  <c:v>-0.17</c:v>
                </c:pt>
                <c:pt idx="45">
                  <c:v>0.13</c:v>
                </c:pt>
                <c:pt idx="46">
                  <c:v>-0.14</c:v>
                </c:pt>
                <c:pt idx="47">
                  <c:v>-0.0700000000000003</c:v>
                </c:pt>
                <c:pt idx="48">
                  <c:v>-0.0499999999999998</c:v>
                </c:pt>
                <c:pt idx="49">
                  <c:v>-0.0900000000000008</c:v>
                </c:pt>
                <c:pt idx="50">
                  <c:v>0.16</c:v>
                </c:pt>
                <c:pt idx="51">
                  <c:v>0.0800000000000001</c:v>
                </c:pt>
                <c:pt idx="52">
                  <c:v>-0.29</c:v>
                </c:pt>
                <c:pt idx="53">
                  <c:v>0.33</c:v>
                </c:pt>
                <c:pt idx="54">
                  <c:v>0.100000000000001</c:v>
                </c:pt>
                <c:pt idx="55">
                  <c:v>0.0499999999999998</c:v>
                </c:pt>
                <c:pt idx="56">
                  <c:v>-0.00999999999999979</c:v>
                </c:pt>
                <c:pt idx="57">
                  <c:v>0.31</c:v>
                </c:pt>
                <c:pt idx="58">
                  <c:v>0</c:v>
                </c:pt>
                <c:pt idx="59">
                  <c:v>0.54</c:v>
                </c:pt>
              </c:numCache>
            </c:numRef>
          </c:xVal>
          <c:yVal>
            <c:numRef>
              <c:f>Calc!$D$7:$D$66</c:f>
              <c:numCache>
                <c:formatCode>0.0%</c:formatCode>
                <c:ptCount val="60"/>
                <c:pt idx="0">
                  <c:v>0.176257530398788</c:v>
                </c:pt>
                <c:pt idx="1">
                  <c:v>-0.0012568340350656</c:v>
                </c:pt>
                <c:pt idx="2">
                  <c:v>0.017334675643365</c:v>
                </c:pt>
                <c:pt idx="3">
                  <c:v>-0.0753625877477812</c:v>
                </c:pt>
                <c:pt idx="4">
                  <c:v>-0.037190635451505</c:v>
                </c:pt>
                <c:pt idx="5">
                  <c:v>0.0318535500903154</c:v>
                </c:pt>
                <c:pt idx="6">
                  <c:v>-0.0998821747180609</c:v>
                </c:pt>
                <c:pt idx="7">
                  <c:v>-0.0180641783229859</c:v>
                </c:pt>
                <c:pt idx="8">
                  <c:v>-0.0553418396495906</c:v>
                </c:pt>
                <c:pt idx="9">
                  <c:v>0.0930973308604144</c:v>
                </c:pt>
                <c:pt idx="10">
                  <c:v>-0.0666519125078382</c:v>
                </c:pt>
                <c:pt idx="11">
                  <c:v>-0.109271261460639</c:v>
                </c:pt>
                <c:pt idx="12">
                  <c:v>-0.00328319801233412</c:v>
                </c:pt>
                <c:pt idx="13">
                  <c:v>0.102203427553973</c:v>
                </c:pt>
                <c:pt idx="14">
                  <c:v>-0.0600541173619805</c:v>
                </c:pt>
                <c:pt idx="15">
                  <c:v>0.0333419266133883</c:v>
                </c:pt>
                <c:pt idx="16">
                  <c:v>0.00902286902286886</c:v>
                </c:pt>
                <c:pt idx="17">
                  <c:v>0.155849507561709</c:v>
                </c:pt>
                <c:pt idx="18">
                  <c:v>0.0657777460872044</c:v>
                </c:pt>
                <c:pt idx="19">
                  <c:v>0.0711179500903192</c:v>
                </c:pt>
                <c:pt idx="20">
                  <c:v>0.0369768894440976</c:v>
                </c:pt>
                <c:pt idx="21">
                  <c:v>-0.013552584026021</c:v>
                </c:pt>
                <c:pt idx="22">
                  <c:v>-0.0222262929718509</c:v>
                </c:pt>
                <c:pt idx="23">
                  <c:v>-0.0366577156060701</c:v>
                </c:pt>
                <c:pt idx="24">
                  <c:v>0.0708219888499937</c:v>
                </c:pt>
                <c:pt idx="25">
                  <c:v>0.122953052637951</c:v>
                </c:pt>
                <c:pt idx="26">
                  <c:v>-0.00757432814900672</c:v>
                </c:pt>
                <c:pt idx="27">
                  <c:v>0.0572817643543917</c:v>
                </c:pt>
                <c:pt idx="28">
                  <c:v>0.0423099648059189</c:v>
                </c:pt>
                <c:pt idx="29">
                  <c:v>0.0171291960368709</c:v>
                </c:pt>
                <c:pt idx="30">
                  <c:v>-0.0746080593181323</c:v>
                </c:pt>
                <c:pt idx="31">
                  <c:v>0.0681853888452475</c:v>
                </c:pt>
                <c:pt idx="32">
                  <c:v>0.0766534294258958</c:v>
                </c:pt>
                <c:pt idx="33">
                  <c:v>-0.0640012750165068</c:v>
                </c:pt>
                <c:pt idx="34">
                  <c:v>-0.00109462417903194</c:v>
                </c:pt>
                <c:pt idx="35">
                  <c:v>0.0315597223913309</c:v>
                </c:pt>
                <c:pt idx="36">
                  <c:v>-0.0556644083000875</c:v>
                </c:pt>
                <c:pt idx="37">
                  <c:v>0.0441966852486064</c:v>
                </c:pt>
                <c:pt idx="38">
                  <c:v>-0.00462043044217286</c:v>
                </c:pt>
                <c:pt idx="39">
                  <c:v>-0.015296551060657</c:v>
                </c:pt>
                <c:pt idx="40">
                  <c:v>-0.0416198524742318</c:v>
                </c:pt>
                <c:pt idx="41">
                  <c:v>-0.0544115398338346</c:v>
                </c:pt>
                <c:pt idx="42">
                  <c:v>0.0529337250357116</c:v>
                </c:pt>
                <c:pt idx="43">
                  <c:v>0.166841579850001</c:v>
                </c:pt>
                <c:pt idx="44">
                  <c:v>0.0804870023033892</c:v>
                </c:pt>
                <c:pt idx="45">
                  <c:v>0.072562634506842</c:v>
                </c:pt>
                <c:pt idx="46">
                  <c:v>-0.0486863027182555</c:v>
                </c:pt>
                <c:pt idx="47">
                  <c:v>0.0222063037249285</c:v>
                </c:pt>
                <c:pt idx="48">
                  <c:v>-0.000272521996418251</c:v>
                </c:pt>
                <c:pt idx="49">
                  <c:v>-0.0480353596323845</c:v>
                </c:pt>
                <c:pt idx="50">
                  <c:v>-0.0170583542983371</c:v>
                </c:pt>
                <c:pt idx="51">
                  <c:v>-0.110264893771979</c:v>
                </c:pt>
                <c:pt idx="52">
                  <c:v>-0.0852004303288274</c:v>
                </c:pt>
                <c:pt idx="53">
                  <c:v>-0.0574459925859644</c:v>
                </c:pt>
                <c:pt idx="54">
                  <c:v>0.101578604752089</c:v>
                </c:pt>
                <c:pt idx="55">
                  <c:v>0.106517617511634</c:v>
                </c:pt>
                <c:pt idx="56">
                  <c:v>-0.171499143283117</c:v>
                </c:pt>
                <c:pt idx="57">
                  <c:v>0.245836914482166</c:v>
                </c:pt>
                <c:pt idx="58">
                  <c:v>0.093650964751536</c:v>
                </c:pt>
                <c:pt idx="59">
                  <c:v>0.0110587632320762</c:v>
                </c:pt>
              </c:numCache>
            </c:numRef>
          </c:yVal>
          <c:smooth val="1"/>
        </c:ser>
        <c:axId val="81863235"/>
        <c:axId val="76986418"/>
      </c:scatterChart>
      <c:valAx>
        <c:axId val="818632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Change in 10Y yield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86418"/>
        <c:crosses val="autoZero"/>
        <c:crossBetween val="midCat"/>
      </c:valAx>
      <c:valAx>
        <c:axId val="76986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MSFT monthly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632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175680</xdr:rowOff>
    </xdr:from>
    <xdr:to>
      <xdr:col>15</xdr:col>
      <xdr:colOff>581400</xdr:colOff>
      <xdr:row>18</xdr:row>
      <xdr:rowOff>176760</xdr:rowOff>
    </xdr:to>
    <xdr:graphicFrame>
      <xdr:nvGraphicFramePr>
        <xdr:cNvPr id="0" name="Chart 1"/>
        <xdr:cNvGraphicFramePr/>
      </xdr:nvGraphicFramePr>
      <xdr:xfrm>
        <a:off x="385380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176040</xdr:rowOff>
    </xdr:from>
    <xdr:to>
      <xdr:col>15</xdr:col>
      <xdr:colOff>581400</xdr:colOff>
      <xdr:row>37</xdr:row>
      <xdr:rowOff>177120</xdr:rowOff>
    </xdr:to>
    <xdr:graphicFrame>
      <xdr:nvGraphicFramePr>
        <xdr:cNvPr id="1" name="Chart 2"/>
        <xdr:cNvGraphicFramePr/>
      </xdr:nvGraphicFramePr>
      <xdr:xfrm>
        <a:off x="3853800" y="4000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</row>
    <row r="5" customFormat="false" ht="60" hidden="false" customHeight="true" outlineLevel="0" collapsed="false">
      <c r="A5" s="3" t="s">
        <v>6</v>
      </c>
      <c r="B5" s="3" t="s">
        <v>7</v>
      </c>
      <c r="C5" s="3" t="s">
        <v>8</v>
      </c>
    </row>
    <row r="6" customFormat="false" ht="15" hidden="false" customHeight="false" outlineLevel="0" collapsed="false">
      <c r="A6" s="4" t="n">
        <v>44469</v>
      </c>
      <c r="B6" s="5" t="n">
        <v>270.57</v>
      </c>
      <c r="C6" s="5" t="n">
        <v>1.52</v>
      </c>
    </row>
    <row r="7" customFormat="false" ht="15" hidden="false" customHeight="false" outlineLevel="0" collapsed="false">
      <c r="A7" s="4" t="n">
        <v>44500</v>
      </c>
      <c r="B7" s="5" t="n">
        <v>318.26</v>
      </c>
      <c r="C7" s="5" t="n">
        <v>1.55</v>
      </c>
    </row>
    <row r="8" customFormat="false" ht="15" hidden="false" customHeight="false" outlineLevel="0" collapsed="false">
      <c r="A8" s="4" t="n">
        <v>44530</v>
      </c>
      <c r="B8" s="5" t="n">
        <v>317.86</v>
      </c>
      <c r="C8" s="5" t="n">
        <v>1.43</v>
      </c>
    </row>
    <row r="9" customFormat="false" ht="15" hidden="false" customHeight="false" outlineLevel="0" collapsed="false">
      <c r="A9" s="4" t="n">
        <v>44561</v>
      </c>
      <c r="B9" s="5" t="n">
        <v>323.37</v>
      </c>
      <c r="C9" s="5" t="n">
        <v>1.52</v>
      </c>
    </row>
    <row r="10" customFormat="false" ht="15" hidden="false" customHeight="false" outlineLevel="0" collapsed="false">
      <c r="A10" s="4" t="n">
        <v>44592</v>
      </c>
      <c r="B10" s="5" t="n">
        <v>299</v>
      </c>
      <c r="C10" s="5" t="n">
        <v>1.79</v>
      </c>
    </row>
    <row r="11" customFormat="false" ht="15" hidden="false" customHeight="false" outlineLevel="0" collapsed="false">
      <c r="A11" s="4" t="n">
        <v>44620</v>
      </c>
      <c r="B11" s="5" t="n">
        <v>287.88</v>
      </c>
      <c r="C11" s="5" t="n">
        <v>1.83</v>
      </c>
    </row>
    <row r="12" customFormat="false" ht="15" hidden="false" customHeight="false" outlineLevel="0" collapsed="false">
      <c r="A12" s="4" t="n">
        <v>44651</v>
      </c>
      <c r="B12" s="5" t="n">
        <v>297.05</v>
      </c>
      <c r="C12" s="5" t="n">
        <v>2.32</v>
      </c>
    </row>
    <row r="13" customFormat="false" ht="15" hidden="false" customHeight="false" outlineLevel="0" collapsed="false">
      <c r="A13" s="4" t="n">
        <v>44681</v>
      </c>
      <c r="B13" s="5" t="n">
        <v>267.38</v>
      </c>
      <c r="C13" s="5" t="n">
        <v>2.89</v>
      </c>
    </row>
    <row r="14" customFormat="false" ht="15" hidden="false" customHeight="false" outlineLevel="0" collapsed="false">
      <c r="A14" s="4" t="n">
        <v>44712</v>
      </c>
      <c r="B14" s="5" t="n">
        <v>262.55</v>
      </c>
      <c r="C14" s="5" t="n">
        <v>2.85</v>
      </c>
    </row>
    <row r="15" customFormat="false" ht="15" hidden="false" customHeight="false" outlineLevel="0" collapsed="false">
      <c r="A15" s="4" t="n">
        <v>44742</v>
      </c>
      <c r="B15" s="5" t="n">
        <v>248.02</v>
      </c>
      <c r="C15" s="5" t="n">
        <v>2.98</v>
      </c>
    </row>
    <row r="16" customFormat="false" ht="15" hidden="false" customHeight="false" outlineLevel="0" collapsed="false">
      <c r="A16" s="4" t="n">
        <v>44773</v>
      </c>
      <c r="B16" s="5" t="n">
        <v>271.11</v>
      </c>
      <c r="C16" s="5" t="n">
        <v>2.67</v>
      </c>
    </row>
    <row r="17" customFormat="false" ht="15" hidden="false" customHeight="false" outlineLevel="0" collapsed="false">
      <c r="A17" s="4" t="n">
        <v>44804</v>
      </c>
      <c r="B17" s="5" t="n">
        <v>253.04</v>
      </c>
      <c r="C17" s="5" t="n">
        <v>3.15</v>
      </c>
    </row>
    <row r="18" customFormat="false" ht="15" hidden="false" customHeight="false" outlineLevel="0" collapsed="false">
      <c r="A18" s="4" t="n">
        <v>44834</v>
      </c>
      <c r="B18" s="5" t="n">
        <v>225.39</v>
      </c>
      <c r="C18" s="5" t="n">
        <v>3.83</v>
      </c>
    </row>
    <row r="19" customFormat="false" ht="15" hidden="false" customHeight="false" outlineLevel="0" collapsed="false">
      <c r="A19" s="4" t="n">
        <v>44865</v>
      </c>
      <c r="B19" s="5" t="n">
        <v>224.65</v>
      </c>
      <c r="C19" s="5" t="n">
        <v>4.1</v>
      </c>
    </row>
    <row r="20" customFormat="false" ht="15" hidden="false" customHeight="false" outlineLevel="0" collapsed="false">
      <c r="A20" s="4" t="n">
        <v>44895</v>
      </c>
      <c r="B20" s="5" t="n">
        <v>247.61</v>
      </c>
      <c r="C20" s="5" t="n">
        <v>3.68</v>
      </c>
    </row>
    <row r="21" customFormat="false" ht="15" hidden="false" customHeight="false" outlineLevel="0" collapsed="false">
      <c r="A21" s="4" t="n">
        <v>44926</v>
      </c>
      <c r="B21" s="5" t="n">
        <v>232.74</v>
      </c>
      <c r="C21" s="5" t="n">
        <v>3.88</v>
      </c>
    </row>
    <row r="22" customFormat="false" ht="15" hidden="false" customHeight="false" outlineLevel="0" collapsed="false">
      <c r="A22" s="4" t="n">
        <v>44957</v>
      </c>
      <c r="B22" s="5" t="n">
        <v>240.5</v>
      </c>
      <c r="C22" s="5" t="n">
        <v>3.52</v>
      </c>
    </row>
    <row r="23" customFormat="false" ht="15" hidden="false" customHeight="false" outlineLevel="0" collapsed="false">
      <c r="A23" s="4" t="n">
        <v>44985</v>
      </c>
      <c r="B23" s="5" t="n">
        <v>242.67</v>
      </c>
      <c r="C23" s="5" t="n">
        <v>3.92</v>
      </c>
    </row>
    <row r="24" customFormat="false" ht="15" hidden="false" customHeight="false" outlineLevel="0" collapsed="false">
      <c r="A24" s="4" t="n">
        <v>45016</v>
      </c>
      <c r="B24" s="5" t="n">
        <v>280.49</v>
      </c>
      <c r="C24" s="5" t="n">
        <v>3.48</v>
      </c>
    </row>
    <row r="25" customFormat="false" ht="15" hidden="false" customHeight="false" outlineLevel="0" collapsed="false">
      <c r="A25" s="4" t="n">
        <v>45046</v>
      </c>
      <c r="B25" s="5" t="n">
        <v>298.94</v>
      </c>
      <c r="C25" s="5" t="n">
        <v>3.44</v>
      </c>
    </row>
    <row r="26" customFormat="false" ht="15" hidden="false" customHeight="false" outlineLevel="0" collapsed="false">
      <c r="A26" s="4" t="n">
        <v>45077</v>
      </c>
      <c r="B26" s="5" t="n">
        <v>320.2</v>
      </c>
      <c r="C26" s="5" t="n">
        <v>3.64</v>
      </c>
    </row>
    <row r="27" customFormat="false" ht="15" hidden="false" customHeight="false" outlineLevel="0" collapsed="false">
      <c r="A27" s="4" t="n">
        <v>45107</v>
      </c>
      <c r="B27" s="5" t="n">
        <v>332.04</v>
      </c>
      <c r="C27" s="5" t="n">
        <v>3.81</v>
      </c>
    </row>
    <row r="28" customFormat="false" ht="15" hidden="false" customHeight="false" outlineLevel="0" collapsed="false">
      <c r="A28" s="4" t="n">
        <v>45138</v>
      </c>
      <c r="B28" s="5" t="n">
        <v>327.54</v>
      </c>
      <c r="C28" s="5" t="n">
        <v>3.97</v>
      </c>
    </row>
    <row r="29" customFormat="false" ht="15" hidden="false" customHeight="false" outlineLevel="0" collapsed="false">
      <c r="A29" s="4" t="n">
        <v>45169</v>
      </c>
      <c r="B29" s="5" t="n">
        <v>320.26</v>
      </c>
      <c r="C29" s="5" t="n">
        <v>4.09</v>
      </c>
    </row>
    <row r="30" customFormat="false" ht="15" hidden="false" customHeight="false" outlineLevel="0" collapsed="false">
      <c r="A30" s="4" t="n">
        <v>45199</v>
      </c>
      <c r="B30" s="5" t="n">
        <v>308.52</v>
      </c>
      <c r="C30" s="5" t="n">
        <v>4.59</v>
      </c>
    </row>
    <row r="31" customFormat="false" ht="15" hidden="false" customHeight="false" outlineLevel="0" collapsed="false">
      <c r="A31" s="4" t="n">
        <v>45230</v>
      </c>
      <c r="B31" s="5" t="n">
        <v>330.37</v>
      </c>
      <c r="C31" s="5" t="n">
        <v>4.88</v>
      </c>
    </row>
    <row r="32" customFormat="false" ht="15" hidden="false" customHeight="false" outlineLevel="0" collapsed="false">
      <c r="A32" s="4" t="n">
        <v>45260</v>
      </c>
      <c r="B32" s="5" t="n">
        <v>370.99</v>
      </c>
      <c r="C32" s="5" t="n">
        <v>4.37</v>
      </c>
    </row>
    <row r="33" customFormat="false" ht="15" hidden="false" customHeight="false" outlineLevel="0" collapsed="false">
      <c r="A33" s="4" t="n">
        <v>45291</v>
      </c>
      <c r="B33" s="5" t="n">
        <v>368.18</v>
      </c>
      <c r="C33" s="5" t="n">
        <v>3.88</v>
      </c>
    </row>
    <row r="34" customFormat="false" ht="15" hidden="false" customHeight="false" outlineLevel="0" collapsed="false">
      <c r="A34" s="4" t="n">
        <v>45322</v>
      </c>
      <c r="B34" s="5" t="n">
        <v>389.27</v>
      </c>
      <c r="C34" s="5" t="n">
        <v>3.99</v>
      </c>
    </row>
    <row r="35" customFormat="false" ht="15" hidden="false" customHeight="false" outlineLevel="0" collapsed="false">
      <c r="A35" s="4" t="n">
        <v>45351</v>
      </c>
      <c r="B35" s="5" t="n">
        <v>405.74</v>
      </c>
      <c r="C35" s="5" t="n">
        <v>4.25</v>
      </c>
    </row>
    <row r="36" customFormat="false" ht="15" hidden="false" customHeight="false" outlineLevel="0" collapsed="false">
      <c r="A36" s="4" t="n">
        <v>45382</v>
      </c>
      <c r="B36" s="5" t="n">
        <v>412.69</v>
      </c>
      <c r="C36" s="5" t="n">
        <v>4.2</v>
      </c>
    </row>
    <row r="37" customFormat="false" ht="15" hidden="false" customHeight="false" outlineLevel="0" collapsed="false">
      <c r="A37" s="4" t="n">
        <v>45412</v>
      </c>
      <c r="B37" s="5" t="n">
        <v>381.9</v>
      </c>
      <c r="C37" s="5" t="n">
        <v>4.69</v>
      </c>
    </row>
    <row r="38" customFormat="false" ht="15" hidden="false" customHeight="false" outlineLevel="0" collapsed="false">
      <c r="A38" s="4" t="n">
        <v>45443</v>
      </c>
      <c r="B38" s="5" t="n">
        <v>407.94</v>
      </c>
      <c r="C38" s="5" t="n">
        <v>4.51</v>
      </c>
    </row>
    <row r="39" customFormat="false" ht="15" hidden="false" customHeight="false" outlineLevel="0" collapsed="false">
      <c r="A39" s="4" t="n">
        <v>45473</v>
      </c>
      <c r="B39" s="5" t="n">
        <v>439.21</v>
      </c>
      <c r="C39" s="5" t="n">
        <v>4.36</v>
      </c>
    </row>
    <row r="40" customFormat="false" ht="15" hidden="false" customHeight="false" outlineLevel="0" collapsed="false">
      <c r="A40" s="4" t="n">
        <v>45504</v>
      </c>
      <c r="B40" s="5" t="n">
        <v>411.1</v>
      </c>
      <c r="C40" s="5" t="n">
        <v>4.09</v>
      </c>
    </row>
    <row r="41" customFormat="false" ht="15" hidden="false" customHeight="false" outlineLevel="0" collapsed="false">
      <c r="A41" s="4" t="n">
        <v>45535</v>
      </c>
      <c r="B41" s="5" t="n">
        <v>410.65</v>
      </c>
      <c r="C41" s="5" t="n">
        <v>3.91</v>
      </c>
    </row>
    <row r="42" customFormat="false" ht="15" hidden="false" customHeight="false" outlineLevel="0" collapsed="false">
      <c r="A42" s="4" t="n">
        <v>45565</v>
      </c>
      <c r="B42" s="5" t="n">
        <v>423.61</v>
      </c>
      <c r="C42" s="5" t="n">
        <v>3.81</v>
      </c>
    </row>
    <row r="43" customFormat="false" ht="15" hidden="false" customHeight="false" outlineLevel="0" collapsed="false">
      <c r="A43" s="4" t="n">
        <v>45596</v>
      </c>
      <c r="B43" s="5" t="n">
        <v>400.03</v>
      </c>
      <c r="C43" s="5" t="n">
        <v>4.28</v>
      </c>
    </row>
    <row r="44" customFormat="false" ht="15" hidden="false" customHeight="false" outlineLevel="0" collapsed="false">
      <c r="A44" s="4" t="n">
        <v>45626</v>
      </c>
      <c r="B44" s="5" t="n">
        <v>417.71</v>
      </c>
      <c r="C44" s="5" t="n">
        <v>4.18</v>
      </c>
    </row>
    <row r="45" customFormat="false" ht="15" hidden="false" customHeight="false" outlineLevel="0" collapsed="false">
      <c r="A45" s="4" t="n">
        <v>45657</v>
      </c>
      <c r="B45" s="5" t="n">
        <v>415.78</v>
      </c>
      <c r="C45" s="5" t="n">
        <v>4.58</v>
      </c>
    </row>
    <row r="46" customFormat="false" ht="15" hidden="false" customHeight="false" outlineLevel="0" collapsed="false">
      <c r="A46" s="4" t="n">
        <v>45688</v>
      </c>
      <c r="B46" s="5" t="n">
        <v>409.42</v>
      </c>
      <c r="C46" s="5" t="n">
        <v>4.58</v>
      </c>
    </row>
    <row r="47" customFormat="false" ht="15" hidden="false" customHeight="false" outlineLevel="0" collapsed="false">
      <c r="A47" s="4" t="n">
        <v>45716</v>
      </c>
      <c r="B47" s="5" t="n">
        <v>392.38</v>
      </c>
      <c r="C47" s="5" t="n">
        <v>4.24</v>
      </c>
    </row>
    <row r="48" customFormat="false" ht="15" hidden="false" customHeight="false" outlineLevel="0" collapsed="false">
      <c r="A48" s="4" t="n">
        <v>45747</v>
      </c>
      <c r="B48" s="5" t="n">
        <v>371.03</v>
      </c>
      <c r="C48" s="5" t="n">
        <v>4.23</v>
      </c>
    </row>
    <row r="49" customFormat="false" ht="15" hidden="false" customHeight="false" outlineLevel="0" collapsed="false">
      <c r="A49" s="4" t="n">
        <v>45777</v>
      </c>
      <c r="B49" s="5" t="n">
        <v>390.67</v>
      </c>
      <c r="C49" s="5" t="n">
        <v>4.17</v>
      </c>
    </row>
    <row r="50" customFormat="false" ht="15" hidden="false" customHeight="false" outlineLevel="0" collapsed="false">
      <c r="A50" s="4" t="n">
        <v>45808</v>
      </c>
      <c r="B50" s="5" t="n">
        <v>455.85</v>
      </c>
      <c r="C50" s="5" t="n">
        <v>4.41</v>
      </c>
    </row>
    <row r="51" customFormat="false" ht="15" hidden="false" customHeight="false" outlineLevel="0" collapsed="false">
      <c r="A51" s="4" t="n">
        <v>45838</v>
      </c>
      <c r="B51" s="5" t="n">
        <v>492.54</v>
      </c>
      <c r="C51" s="5" t="n">
        <v>4.24</v>
      </c>
    </row>
    <row r="52" customFormat="false" ht="15" hidden="false" customHeight="false" outlineLevel="0" collapsed="false">
      <c r="A52" s="4" t="n">
        <v>45869</v>
      </c>
      <c r="B52" s="5" t="n">
        <v>528.28</v>
      </c>
      <c r="C52" s="5" t="n">
        <v>4.37</v>
      </c>
    </row>
    <row r="53" customFormat="false" ht="15" hidden="false" customHeight="false" outlineLevel="0" collapsed="false">
      <c r="A53" s="4" t="n">
        <v>45900</v>
      </c>
      <c r="B53" s="5" t="n">
        <v>502.56</v>
      </c>
      <c r="C53" s="5" t="n">
        <v>4.23</v>
      </c>
    </row>
    <row r="54" customFormat="false" ht="15" hidden="false" customHeight="false" outlineLevel="0" collapsed="false">
      <c r="A54" s="4" t="n">
        <v>45930</v>
      </c>
      <c r="B54" s="5" t="n">
        <v>513.72</v>
      </c>
      <c r="C54" s="5" t="n">
        <v>4.16</v>
      </c>
    </row>
    <row r="55" customFormat="false" ht="15" hidden="false" customHeight="false" outlineLevel="0" collapsed="false">
      <c r="A55" s="4" t="n">
        <v>45961</v>
      </c>
      <c r="B55" s="5" t="n">
        <v>513.58</v>
      </c>
      <c r="C55" s="5" t="n">
        <v>4.11</v>
      </c>
    </row>
    <row r="56" customFormat="false" ht="15" hidden="false" customHeight="false" outlineLevel="0" collapsed="false">
      <c r="A56" s="4" t="n">
        <v>45991</v>
      </c>
      <c r="B56" s="5" t="n">
        <v>488.91</v>
      </c>
      <c r="C56" s="5" t="n">
        <v>4.02</v>
      </c>
    </row>
    <row r="57" customFormat="false" ht="15" hidden="false" customHeight="false" outlineLevel="0" collapsed="false">
      <c r="A57" s="4" t="n">
        <v>46022</v>
      </c>
      <c r="B57" s="5" t="n">
        <v>480.57</v>
      </c>
      <c r="C57" s="5" t="n">
        <v>4.18</v>
      </c>
    </row>
    <row r="58" customFormat="false" ht="15" hidden="false" customHeight="false" outlineLevel="0" collapsed="false">
      <c r="A58" s="4" t="n">
        <v>46053</v>
      </c>
      <c r="B58" s="5" t="n">
        <v>427.58</v>
      </c>
      <c r="C58" s="5" t="n">
        <v>4.26</v>
      </c>
    </row>
    <row r="59" customFormat="false" ht="15" hidden="false" customHeight="false" outlineLevel="0" collapsed="false">
      <c r="A59" s="4" t="n">
        <v>46081</v>
      </c>
      <c r="B59" s="5" t="n">
        <v>391.15</v>
      </c>
      <c r="C59" s="5" t="n">
        <v>3.97</v>
      </c>
    </row>
    <row r="60" customFormat="false" ht="15" hidden="false" customHeight="false" outlineLevel="0" collapsed="false">
      <c r="A60" s="4" t="n">
        <v>46112</v>
      </c>
      <c r="B60" s="5" t="n">
        <v>368.68</v>
      </c>
      <c r="C60" s="5" t="n">
        <v>4.3</v>
      </c>
    </row>
    <row r="61" customFormat="false" ht="15" hidden="false" customHeight="false" outlineLevel="0" collapsed="false">
      <c r="A61" s="4" t="n">
        <v>46142</v>
      </c>
      <c r="B61" s="5" t="n">
        <v>406.13</v>
      </c>
      <c r="C61" s="5" t="n">
        <v>4.4</v>
      </c>
    </row>
    <row r="62" customFormat="false" ht="15" hidden="false" customHeight="false" outlineLevel="0" collapsed="false">
      <c r="A62" s="4" t="n">
        <v>46173</v>
      </c>
      <c r="B62" s="5" t="n">
        <v>449.39</v>
      </c>
      <c r="C62" s="5" t="n">
        <v>4.45</v>
      </c>
    </row>
    <row r="63" customFormat="false" ht="15" hidden="false" customHeight="false" outlineLevel="0" collapsed="false">
      <c r="A63" s="4" t="n">
        <v>46203</v>
      </c>
      <c r="B63" s="5" t="n">
        <v>372.32</v>
      </c>
      <c r="C63" s="5" t="n">
        <v>4.44</v>
      </c>
    </row>
    <row r="64" customFormat="false" ht="15" hidden="false" customHeight="false" outlineLevel="0" collapsed="false">
      <c r="A64" s="4" t="n">
        <v>46234</v>
      </c>
      <c r="B64" s="5" t="n">
        <v>463.85</v>
      </c>
      <c r="C64" s="5" t="n">
        <v>4.75</v>
      </c>
    </row>
    <row r="65" customFormat="false" ht="15" hidden="false" customHeight="false" outlineLevel="0" collapsed="false">
      <c r="A65" s="4" t="n">
        <v>46265</v>
      </c>
      <c r="B65" s="5" t="n">
        <v>507.29</v>
      </c>
      <c r="C65" s="5" t="n">
        <v>4.75</v>
      </c>
    </row>
    <row r="66" customFormat="false" ht="15" hidden="false" customHeight="false" outlineLevel="0" collapsed="false">
      <c r="A66" s="4" t="n">
        <v>46295</v>
      </c>
      <c r="B66" s="5" t="n">
        <v>512.9</v>
      </c>
      <c r="C66" s="5" t="n">
        <v>5.29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24"/>
  </cols>
  <sheetData>
    <row r="1" customFormat="false" ht="16.15" hidden="false" customHeight="false" outlineLevel="0" collapsed="false">
      <c r="A1" s="1" t="s">
        <v>9</v>
      </c>
    </row>
    <row r="2" customFormat="false" ht="15" hidden="false" customHeight="false" outlineLevel="0" collapsed="false">
      <c r="A2" s="0" t="s">
        <v>10</v>
      </c>
    </row>
    <row r="3" customFormat="false" ht="15" hidden="false" customHeight="false" outlineLevel="0" collapsed="false">
      <c r="A3" s="6" t="s">
        <v>11</v>
      </c>
      <c r="C3" s="7" t="n">
        <f aca="false">CORREL(D7:D66,E7:E66)</f>
        <v>-0.256587340294092</v>
      </c>
      <c r="D3" s="8" t="s">
        <v>12</v>
      </c>
      <c r="E3" s="8" t="n">
        <f aca="false">COUNT(D7:D66)</f>
        <v>60</v>
      </c>
    </row>
    <row r="5" customFormat="false" ht="15" hidden="false" customHeight="false" outlineLevel="0" collapsed="false">
      <c r="A5" s="2" t="s">
        <v>3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</row>
    <row r="6" customFormat="false" ht="15" hidden="false" customHeight="false" outlineLevel="0" collapsed="false">
      <c r="A6" s="9" t="n">
        <f aca="false">Inputs!A6</f>
        <v>44469</v>
      </c>
      <c r="B6" s="10" t="n">
        <f aca="false">Inputs!B6</f>
        <v>270.57</v>
      </c>
      <c r="C6" s="10" t="n">
        <f aca="false">Inputs!C6</f>
        <v>1.52</v>
      </c>
      <c r="D6" s="8" t="e">
        <f aca="false">NA()</f>
        <v>#N/A</v>
      </c>
      <c r="E6" s="8" t="e">
        <f aca="false">NA()</f>
        <v>#N/A</v>
      </c>
      <c r="F6" s="8" t="e">
        <f aca="false">NA()</f>
        <v>#N/A</v>
      </c>
    </row>
    <row r="7" customFormat="false" ht="15" hidden="false" customHeight="false" outlineLevel="0" collapsed="false">
      <c r="A7" s="9" t="n">
        <f aca="false">Inputs!A7</f>
        <v>44500</v>
      </c>
      <c r="B7" s="10" t="n">
        <f aca="false">Inputs!B7</f>
        <v>318.26</v>
      </c>
      <c r="C7" s="10" t="n">
        <f aca="false">Inputs!C7</f>
        <v>1.55</v>
      </c>
      <c r="D7" s="11" t="n">
        <f aca="false">B7/B6-1</f>
        <v>0.176257530398788</v>
      </c>
      <c r="E7" s="12" t="n">
        <f aca="false">C7-C6</f>
        <v>0.03</v>
      </c>
      <c r="F7" s="8" t="e">
        <f aca="false">NA()</f>
        <v>#N/A</v>
      </c>
    </row>
    <row r="8" customFormat="false" ht="15" hidden="false" customHeight="false" outlineLevel="0" collapsed="false">
      <c r="A8" s="9" t="n">
        <f aca="false">Inputs!A8</f>
        <v>44530</v>
      </c>
      <c r="B8" s="10" t="n">
        <f aca="false">Inputs!B8</f>
        <v>317.86</v>
      </c>
      <c r="C8" s="10" t="n">
        <f aca="false">Inputs!C8</f>
        <v>1.43</v>
      </c>
      <c r="D8" s="11" t="n">
        <f aca="false">B8/B7-1</f>
        <v>-0.0012568340350656</v>
      </c>
      <c r="E8" s="12" t="n">
        <f aca="false">C8-C7</f>
        <v>-0.12</v>
      </c>
      <c r="F8" s="8" t="e">
        <f aca="false">NA()</f>
        <v>#N/A</v>
      </c>
    </row>
    <row r="9" customFormat="false" ht="15" hidden="false" customHeight="false" outlineLevel="0" collapsed="false">
      <c r="A9" s="9" t="n">
        <f aca="false">Inputs!A9</f>
        <v>44561</v>
      </c>
      <c r="B9" s="10" t="n">
        <f aca="false">Inputs!B9</f>
        <v>323.37</v>
      </c>
      <c r="C9" s="10" t="n">
        <f aca="false">Inputs!C9</f>
        <v>1.52</v>
      </c>
      <c r="D9" s="11" t="n">
        <f aca="false">B9/B8-1</f>
        <v>0.017334675643365</v>
      </c>
      <c r="E9" s="12" t="n">
        <f aca="false">C9-C8</f>
        <v>0.0900000000000001</v>
      </c>
      <c r="F9" s="8" t="e">
        <f aca="false">NA()</f>
        <v>#N/A</v>
      </c>
    </row>
    <row r="10" customFormat="false" ht="15" hidden="false" customHeight="false" outlineLevel="0" collapsed="false">
      <c r="A10" s="9" t="n">
        <f aca="false">Inputs!A10</f>
        <v>44592</v>
      </c>
      <c r="B10" s="10" t="n">
        <f aca="false">Inputs!B10</f>
        <v>299</v>
      </c>
      <c r="C10" s="10" t="n">
        <f aca="false">Inputs!C10</f>
        <v>1.79</v>
      </c>
      <c r="D10" s="11" t="n">
        <f aca="false">B10/B9-1</f>
        <v>-0.0753625877477812</v>
      </c>
      <c r="E10" s="12" t="n">
        <f aca="false">C10-C9</f>
        <v>0.27</v>
      </c>
      <c r="F10" s="8" t="e">
        <f aca="false">NA()</f>
        <v>#N/A</v>
      </c>
    </row>
    <row r="11" customFormat="false" ht="15" hidden="false" customHeight="false" outlineLevel="0" collapsed="false">
      <c r="A11" s="9" t="n">
        <f aca="false">Inputs!A11</f>
        <v>44620</v>
      </c>
      <c r="B11" s="10" t="n">
        <f aca="false">Inputs!B11</f>
        <v>287.88</v>
      </c>
      <c r="C11" s="10" t="n">
        <f aca="false">Inputs!C11</f>
        <v>1.83</v>
      </c>
      <c r="D11" s="11" t="n">
        <f aca="false">B11/B10-1</f>
        <v>-0.037190635451505</v>
      </c>
      <c r="E11" s="12" t="n">
        <f aca="false">C11-C10</f>
        <v>0.04</v>
      </c>
      <c r="F11" s="8" t="e">
        <f aca="false">NA()</f>
        <v>#N/A</v>
      </c>
    </row>
    <row r="12" customFormat="false" ht="15" hidden="false" customHeight="false" outlineLevel="0" collapsed="false">
      <c r="A12" s="9" t="n">
        <f aca="false">Inputs!A12</f>
        <v>44651</v>
      </c>
      <c r="B12" s="10" t="n">
        <f aca="false">Inputs!B12</f>
        <v>297.05</v>
      </c>
      <c r="C12" s="10" t="n">
        <f aca="false">Inputs!C12</f>
        <v>2.32</v>
      </c>
      <c r="D12" s="11" t="n">
        <f aca="false">B12/B11-1</f>
        <v>0.0318535500903154</v>
      </c>
      <c r="E12" s="12" t="n">
        <f aca="false">C12-C11</f>
        <v>0.49</v>
      </c>
      <c r="F12" s="8" t="e">
        <f aca="false">NA()</f>
        <v>#N/A</v>
      </c>
    </row>
    <row r="13" customFormat="false" ht="15" hidden="false" customHeight="false" outlineLevel="0" collapsed="false">
      <c r="A13" s="9" t="n">
        <f aca="false">Inputs!A13</f>
        <v>44681</v>
      </c>
      <c r="B13" s="10" t="n">
        <f aca="false">Inputs!B13</f>
        <v>267.38</v>
      </c>
      <c r="C13" s="10" t="n">
        <f aca="false">Inputs!C13</f>
        <v>2.89</v>
      </c>
      <c r="D13" s="11" t="n">
        <f aca="false">B13/B12-1</f>
        <v>-0.0998821747180609</v>
      </c>
      <c r="E13" s="12" t="n">
        <f aca="false">C13-C12</f>
        <v>0.57</v>
      </c>
      <c r="F13" s="8" t="e">
        <f aca="false">NA()</f>
        <v>#N/A</v>
      </c>
    </row>
    <row r="14" customFormat="false" ht="15" hidden="false" customHeight="false" outlineLevel="0" collapsed="false">
      <c r="A14" s="9" t="n">
        <f aca="false">Inputs!A14</f>
        <v>44712</v>
      </c>
      <c r="B14" s="10" t="n">
        <f aca="false">Inputs!B14</f>
        <v>262.55</v>
      </c>
      <c r="C14" s="10" t="n">
        <f aca="false">Inputs!C14</f>
        <v>2.85</v>
      </c>
      <c r="D14" s="11" t="n">
        <f aca="false">B14/B13-1</f>
        <v>-0.0180641783229859</v>
      </c>
      <c r="E14" s="12" t="n">
        <f aca="false">C14-C13</f>
        <v>-0.04</v>
      </c>
      <c r="F14" s="8" t="e">
        <f aca="false">NA()</f>
        <v>#N/A</v>
      </c>
    </row>
    <row r="15" customFormat="false" ht="15" hidden="false" customHeight="false" outlineLevel="0" collapsed="false">
      <c r="A15" s="9" t="n">
        <f aca="false">Inputs!A15</f>
        <v>44742</v>
      </c>
      <c r="B15" s="10" t="n">
        <f aca="false">Inputs!B15</f>
        <v>248.02</v>
      </c>
      <c r="C15" s="10" t="n">
        <f aca="false">Inputs!C15</f>
        <v>2.98</v>
      </c>
      <c r="D15" s="11" t="n">
        <f aca="false">B15/B14-1</f>
        <v>-0.0553418396495906</v>
      </c>
      <c r="E15" s="12" t="n">
        <f aca="false">C15-C14</f>
        <v>0.13</v>
      </c>
      <c r="F15" s="8" t="e">
        <f aca="false">NA()</f>
        <v>#N/A</v>
      </c>
    </row>
    <row r="16" customFormat="false" ht="15" hidden="false" customHeight="false" outlineLevel="0" collapsed="false">
      <c r="A16" s="9" t="n">
        <f aca="false">Inputs!A16</f>
        <v>44773</v>
      </c>
      <c r="B16" s="10" t="n">
        <f aca="false">Inputs!B16</f>
        <v>271.11</v>
      </c>
      <c r="C16" s="10" t="n">
        <f aca="false">Inputs!C16</f>
        <v>2.67</v>
      </c>
      <c r="D16" s="11" t="n">
        <f aca="false">B16/B15-1</f>
        <v>0.0930973308604144</v>
      </c>
      <c r="E16" s="12" t="n">
        <f aca="false">C16-C15</f>
        <v>-0.31</v>
      </c>
      <c r="F16" s="8" t="e">
        <f aca="false">NA()</f>
        <v>#N/A</v>
      </c>
    </row>
    <row r="17" customFormat="false" ht="15" hidden="false" customHeight="false" outlineLevel="0" collapsed="false">
      <c r="A17" s="9" t="n">
        <f aca="false">Inputs!A17</f>
        <v>44804</v>
      </c>
      <c r="B17" s="10" t="n">
        <f aca="false">Inputs!B17</f>
        <v>253.04</v>
      </c>
      <c r="C17" s="10" t="n">
        <f aca="false">Inputs!C17</f>
        <v>3.15</v>
      </c>
      <c r="D17" s="11" t="n">
        <f aca="false">B17/B16-1</f>
        <v>-0.0666519125078382</v>
      </c>
      <c r="E17" s="12" t="n">
        <f aca="false">C17-C16</f>
        <v>0.48</v>
      </c>
      <c r="F17" s="8" t="e">
        <f aca="false">NA()</f>
        <v>#N/A</v>
      </c>
    </row>
    <row r="18" customFormat="false" ht="15" hidden="false" customHeight="false" outlineLevel="0" collapsed="false">
      <c r="A18" s="9" t="n">
        <f aca="false">Inputs!A18</f>
        <v>44834</v>
      </c>
      <c r="B18" s="10" t="n">
        <f aca="false">Inputs!B18</f>
        <v>225.39</v>
      </c>
      <c r="C18" s="10" t="n">
        <f aca="false">Inputs!C18</f>
        <v>3.83</v>
      </c>
      <c r="D18" s="11" t="n">
        <f aca="false">B18/B17-1</f>
        <v>-0.109271261460639</v>
      </c>
      <c r="E18" s="12" t="n">
        <f aca="false">C18-C17</f>
        <v>0.68</v>
      </c>
      <c r="F18" s="7" t="n">
        <f aca="false">CORREL(D7:D18,E7:E18)</f>
        <v>-0.608339051804796</v>
      </c>
    </row>
    <row r="19" customFormat="false" ht="15" hidden="false" customHeight="false" outlineLevel="0" collapsed="false">
      <c r="A19" s="9" t="n">
        <f aca="false">Inputs!A19</f>
        <v>44865</v>
      </c>
      <c r="B19" s="10" t="n">
        <f aca="false">Inputs!B19</f>
        <v>224.65</v>
      </c>
      <c r="C19" s="10" t="n">
        <f aca="false">Inputs!C19</f>
        <v>4.1</v>
      </c>
      <c r="D19" s="11" t="n">
        <f aca="false">B19/B18-1</f>
        <v>-0.00328319801233412</v>
      </c>
      <c r="E19" s="12" t="n">
        <f aca="false">C19-C18</f>
        <v>0.27</v>
      </c>
      <c r="F19" s="7" t="n">
        <f aca="false">CORREL(D8:D19,E8:E19)</f>
        <v>-0.692443847974092</v>
      </c>
    </row>
    <row r="20" customFormat="false" ht="15" hidden="false" customHeight="false" outlineLevel="0" collapsed="false">
      <c r="A20" s="9" t="n">
        <f aca="false">Inputs!A20</f>
        <v>44895</v>
      </c>
      <c r="B20" s="10" t="n">
        <f aca="false">Inputs!B20</f>
        <v>247.61</v>
      </c>
      <c r="C20" s="10" t="n">
        <f aca="false">Inputs!C20</f>
        <v>3.68</v>
      </c>
      <c r="D20" s="11" t="n">
        <f aca="false">B20/B19-1</f>
        <v>0.102203427553973</v>
      </c>
      <c r="E20" s="12" t="n">
        <f aca="false">C20-C19</f>
        <v>-0.42</v>
      </c>
      <c r="F20" s="7" t="n">
        <f aca="false">CORREL(D9:D20,E9:E20)</f>
        <v>-0.787503031575106</v>
      </c>
    </row>
    <row r="21" customFormat="false" ht="15" hidden="false" customHeight="false" outlineLevel="0" collapsed="false">
      <c r="A21" s="9" t="n">
        <f aca="false">Inputs!A21</f>
        <v>44926</v>
      </c>
      <c r="B21" s="10" t="n">
        <f aca="false">Inputs!B21</f>
        <v>232.74</v>
      </c>
      <c r="C21" s="10" t="n">
        <f aca="false">Inputs!C21</f>
        <v>3.88</v>
      </c>
      <c r="D21" s="11" t="n">
        <f aca="false">B21/B20-1</f>
        <v>-0.0600541173619805</v>
      </c>
      <c r="E21" s="12" t="n">
        <f aca="false">C21-C20</f>
        <v>0.2</v>
      </c>
      <c r="F21" s="7" t="n">
        <f aca="false">CORREL(D10:D21,E10:E21)</f>
        <v>-0.776868713954858</v>
      </c>
    </row>
    <row r="22" customFormat="false" ht="15" hidden="false" customHeight="false" outlineLevel="0" collapsed="false">
      <c r="A22" s="9" t="n">
        <f aca="false">Inputs!A22</f>
        <v>44957</v>
      </c>
      <c r="B22" s="10" t="n">
        <f aca="false">Inputs!B22</f>
        <v>240.5</v>
      </c>
      <c r="C22" s="10" t="n">
        <f aca="false">Inputs!C22</f>
        <v>3.52</v>
      </c>
      <c r="D22" s="11" t="n">
        <f aca="false">B22/B21-1</f>
        <v>0.0333419266133883</v>
      </c>
      <c r="E22" s="12" t="n">
        <f aca="false">C22-C21</f>
        <v>-0.36</v>
      </c>
      <c r="F22" s="7" t="n">
        <f aca="false">CORREL(D11:D22,E11:E22)</f>
        <v>-0.786593540937415</v>
      </c>
    </row>
    <row r="23" customFormat="false" ht="15" hidden="false" customHeight="false" outlineLevel="0" collapsed="false">
      <c r="A23" s="9" t="n">
        <f aca="false">Inputs!A23</f>
        <v>44985</v>
      </c>
      <c r="B23" s="10" t="n">
        <f aca="false">Inputs!B23</f>
        <v>242.67</v>
      </c>
      <c r="C23" s="10" t="n">
        <f aca="false">Inputs!C23</f>
        <v>3.92</v>
      </c>
      <c r="D23" s="11" t="n">
        <f aca="false">B23/B22-1</f>
        <v>0.00902286902286886</v>
      </c>
      <c r="E23" s="12" t="n">
        <f aca="false">C23-C22</f>
        <v>0.4</v>
      </c>
      <c r="F23" s="7" t="n">
        <f aca="false">CORREL(D12:D23,E12:E23)</f>
        <v>-0.766429248289084</v>
      </c>
    </row>
    <row r="24" customFormat="false" ht="15" hidden="false" customHeight="false" outlineLevel="0" collapsed="false">
      <c r="A24" s="9" t="n">
        <f aca="false">Inputs!A24</f>
        <v>45016</v>
      </c>
      <c r="B24" s="10" t="n">
        <f aca="false">Inputs!B24</f>
        <v>280.49</v>
      </c>
      <c r="C24" s="10" t="n">
        <f aca="false">Inputs!C24</f>
        <v>3.48</v>
      </c>
      <c r="D24" s="11" t="n">
        <f aca="false">B24/B23-1</f>
        <v>0.155849507561709</v>
      </c>
      <c r="E24" s="12" t="n">
        <f aca="false">C24-C23</f>
        <v>-0.44</v>
      </c>
      <c r="F24" s="7" t="n">
        <f aca="false">CORREL(D13:D24,E13:E24)</f>
        <v>-0.881596733932853</v>
      </c>
    </row>
    <row r="25" customFormat="false" ht="15" hidden="false" customHeight="false" outlineLevel="0" collapsed="false">
      <c r="A25" s="9" t="n">
        <f aca="false">Inputs!A25</f>
        <v>45046</v>
      </c>
      <c r="B25" s="10" t="n">
        <f aca="false">Inputs!B25</f>
        <v>298.94</v>
      </c>
      <c r="C25" s="10" t="n">
        <f aca="false">Inputs!C25</f>
        <v>3.44</v>
      </c>
      <c r="D25" s="11" t="n">
        <f aca="false">B25/B24-1</f>
        <v>0.0657777460872044</v>
      </c>
      <c r="E25" s="12" t="n">
        <f aca="false">C25-C24</f>
        <v>-0.04</v>
      </c>
      <c r="F25" s="7" t="n">
        <f aca="false">CORREL(D14:D25,E14:E25)</f>
        <v>-0.856584543724373</v>
      </c>
    </row>
    <row r="26" customFormat="false" ht="15" hidden="false" customHeight="false" outlineLevel="0" collapsed="false">
      <c r="A26" s="9" t="n">
        <f aca="false">Inputs!A26</f>
        <v>45077</v>
      </c>
      <c r="B26" s="10" t="n">
        <f aca="false">Inputs!B26</f>
        <v>320.2</v>
      </c>
      <c r="C26" s="10" t="n">
        <f aca="false">Inputs!C26</f>
        <v>3.64</v>
      </c>
      <c r="D26" s="11" t="n">
        <f aca="false">B26/B25-1</f>
        <v>0.0711179500903192</v>
      </c>
      <c r="E26" s="12" t="n">
        <f aca="false">C26-C25</f>
        <v>0.2</v>
      </c>
      <c r="F26" s="7" t="n">
        <f aca="false">CORREL(D15:D26,E15:E26)</f>
        <v>-0.828261704483556</v>
      </c>
    </row>
    <row r="27" customFormat="false" ht="15" hidden="false" customHeight="false" outlineLevel="0" collapsed="false">
      <c r="A27" s="9" t="n">
        <f aca="false">Inputs!A27</f>
        <v>45107</v>
      </c>
      <c r="B27" s="10" t="n">
        <f aca="false">Inputs!B27</f>
        <v>332.04</v>
      </c>
      <c r="C27" s="10" t="n">
        <f aca="false">Inputs!C27</f>
        <v>3.81</v>
      </c>
      <c r="D27" s="11" t="n">
        <f aca="false">B27/B26-1</f>
        <v>0.0369768894440976</v>
      </c>
      <c r="E27" s="12" t="n">
        <f aca="false">C27-C26</f>
        <v>0.17</v>
      </c>
      <c r="F27" s="7" t="n">
        <f aca="false">CORREL(D16:D27,E16:E27)</f>
        <v>-0.843759112637256</v>
      </c>
    </row>
    <row r="28" customFormat="false" ht="15" hidden="false" customHeight="false" outlineLevel="0" collapsed="false">
      <c r="A28" s="9" t="n">
        <f aca="false">Inputs!A28</f>
        <v>45138</v>
      </c>
      <c r="B28" s="10" t="n">
        <f aca="false">Inputs!B28</f>
        <v>327.54</v>
      </c>
      <c r="C28" s="10" t="n">
        <f aca="false">Inputs!C28</f>
        <v>3.97</v>
      </c>
      <c r="D28" s="11" t="n">
        <f aca="false">B28/B27-1</f>
        <v>-0.013552584026021</v>
      </c>
      <c r="E28" s="12" t="n">
        <f aca="false">C28-C27</f>
        <v>0.16</v>
      </c>
      <c r="F28" s="7" t="n">
        <f aca="false">CORREL(D17:D28,E17:E28)</f>
        <v>-0.828367882165334</v>
      </c>
    </row>
    <row r="29" customFormat="false" ht="15" hidden="false" customHeight="false" outlineLevel="0" collapsed="false">
      <c r="A29" s="9" t="n">
        <f aca="false">Inputs!A29</f>
        <v>45169</v>
      </c>
      <c r="B29" s="10" t="n">
        <f aca="false">Inputs!B29</f>
        <v>320.26</v>
      </c>
      <c r="C29" s="10" t="n">
        <f aca="false">Inputs!C29</f>
        <v>4.09</v>
      </c>
      <c r="D29" s="11" t="n">
        <f aca="false">B29/B28-1</f>
        <v>-0.0222262929718509</v>
      </c>
      <c r="E29" s="12" t="n">
        <f aca="false">C29-C28</f>
        <v>0.12</v>
      </c>
      <c r="F29" s="7" t="n">
        <f aca="false">CORREL(D18:D29,E18:E29)</f>
        <v>-0.797940911805559</v>
      </c>
    </row>
    <row r="30" customFormat="false" ht="15" hidden="false" customHeight="false" outlineLevel="0" collapsed="false">
      <c r="A30" s="9" t="n">
        <f aca="false">Inputs!A30</f>
        <v>45199</v>
      </c>
      <c r="B30" s="10" t="n">
        <f aca="false">Inputs!B30</f>
        <v>308.52</v>
      </c>
      <c r="C30" s="10" t="n">
        <f aca="false">Inputs!C30</f>
        <v>4.59</v>
      </c>
      <c r="D30" s="11" t="n">
        <f aca="false">B30/B29-1</f>
        <v>-0.0366577156060701</v>
      </c>
      <c r="E30" s="12" t="n">
        <f aca="false">C30-C29</f>
        <v>0.5</v>
      </c>
      <c r="F30" s="7" t="n">
        <f aca="false">CORREL(D19:D30,E19:E30)</f>
        <v>-0.740545731244525</v>
      </c>
    </row>
    <row r="31" customFormat="false" ht="15" hidden="false" customHeight="false" outlineLevel="0" collapsed="false">
      <c r="A31" s="9" t="n">
        <f aca="false">Inputs!A31</f>
        <v>45230</v>
      </c>
      <c r="B31" s="10" t="n">
        <f aca="false">Inputs!B31</f>
        <v>330.37</v>
      </c>
      <c r="C31" s="10" t="n">
        <f aca="false">Inputs!C31</f>
        <v>4.88</v>
      </c>
      <c r="D31" s="11" t="n">
        <f aca="false">B31/B30-1</f>
        <v>0.0708219888499937</v>
      </c>
      <c r="E31" s="12" t="n">
        <f aca="false">C31-C30</f>
        <v>0.29</v>
      </c>
      <c r="F31" s="7" t="n">
        <f aca="false">CORREL(D20:D31,E20:E31)</f>
        <v>-0.660604945892421</v>
      </c>
    </row>
    <row r="32" customFormat="false" ht="15" hidden="false" customHeight="false" outlineLevel="0" collapsed="false">
      <c r="A32" s="9" t="n">
        <f aca="false">Inputs!A32</f>
        <v>45260</v>
      </c>
      <c r="B32" s="10" t="n">
        <f aca="false">Inputs!B32</f>
        <v>370.99</v>
      </c>
      <c r="C32" s="10" t="n">
        <f aca="false">Inputs!C32</f>
        <v>4.37</v>
      </c>
      <c r="D32" s="11" t="n">
        <f aca="false">B32/B31-1</f>
        <v>0.122953052637951</v>
      </c>
      <c r="E32" s="12" t="n">
        <f aca="false">C32-C31</f>
        <v>-0.51</v>
      </c>
      <c r="F32" s="7" t="n">
        <f aca="false">CORREL(D21:D32,E21:E32)</f>
        <v>-0.687581858286482</v>
      </c>
    </row>
    <row r="33" customFormat="false" ht="15" hidden="false" customHeight="false" outlineLevel="0" collapsed="false">
      <c r="A33" s="9" t="n">
        <f aca="false">Inputs!A33</f>
        <v>45291</v>
      </c>
      <c r="B33" s="10" t="n">
        <f aca="false">Inputs!B33</f>
        <v>368.18</v>
      </c>
      <c r="C33" s="10" t="n">
        <f aca="false">Inputs!C33</f>
        <v>3.88</v>
      </c>
      <c r="D33" s="11" t="n">
        <f aca="false">B33/B32-1</f>
        <v>-0.00757432814900672</v>
      </c>
      <c r="E33" s="12" t="n">
        <f aca="false">C33-C32</f>
        <v>-0.49</v>
      </c>
      <c r="F33" s="7" t="n">
        <f aca="false">CORREL(D22:D33,E22:E33)</f>
        <v>-0.512982453901025</v>
      </c>
    </row>
    <row r="34" customFormat="false" ht="15" hidden="false" customHeight="false" outlineLevel="0" collapsed="false">
      <c r="A34" s="9" t="n">
        <f aca="false">Inputs!A34</f>
        <v>45322</v>
      </c>
      <c r="B34" s="10" t="n">
        <f aca="false">Inputs!B34</f>
        <v>389.27</v>
      </c>
      <c r="C34" s="10" t="n">
        <f aca="false">Inputs!C34</f>
        <v>3.99</v>
      </c>
      <c r="D34" s="11" t="n">
        <f aca="false">B34/B33-1</f>
        <v>0.0572817643543917</v>
      </c>
      <c r="E34" s="12" t="n">
        <f aca="false">C34-C33</f>
        <v>0.11</v>
      </c>
      <c r="F34" s="7" t="n">
        <f aca="false">CORREL(D23:D34,E23:E34)</f>
        <v>-0.545428278078977</v>
      </c>
    </row>
    <row r="35" customFormat="false" ht="15" hidden="false" customHeight="false" outlineLevel="0" collapsed="false">
      <c r="A35" s="9" t="n">
        <f aca="false">Inputs!A35</f>
        <v>45351</v>
      </c>
      <c r="B35" s="10" t="n">
        <f aca="false">Inputs!B35</f>
        <v>405.74</v>
      </c>
      <c r="C35" s="10" t="n">
        <f aca="false">Inputs!C35</f>
        <v>4.25</v>
      </c>
      <c r="D35" s="11" t="n">
        <f aca="false">B35/B34-1</f>
        <v>0.0423099648059189</v>
      </c>
      <c r="E35" s="12" t="n">
        <f aca="false">C35-C34</f>
        <v>0.26</v>
      </c>
      <c r="F35" s="7" t="n">
        <f aca="false">CORREL(D24:D35,E24:E35)</f>
        <v>-0.514678140906091</v>
      </c>
    </row>
    <row r="36" customFormat="false" ht="15" hidden="false" customHeight="false" outlineLevel="0" collapsed="false">
      <c r="A36" s="9" t="n">
        <f aca="false">Inputs!A36</f>
        <v>45382</v>
      </c>
      <c r="B36" s="10" t="n">
        <f aca="false">Inputs!B36</f>
        <v>412.69</v>
      </c>
      <c r="C36" s="10" t="n">
        <f aca="false">Inputs!C36</f>
        <v>4.2</v>
      </c>
      <c r="D36" s="11" t="n">
        <f aca="false">B36/B35-1</f>
        <v>0.0171291960368709</v>
      </c>
      <c r="E36" s="12" t="n">
        <f aca="false">C36-C35</f>
        <v>-0.0499999999999998</v>
      </c>
      <c r="F36" s="7" t="n">
        <f aca="false">CORREL(D25:D36,E25:E36)</f>
        <v>-0.330727718932495</v>
      </c>
    </row>
    <row r="37" customFormat="false" ht="15" hidden="false" customHeight="false" outlineLevel="0" collapsed="false">
      <c r="A37" s="9" t="n">
        <f aca="false">Inputs!A37</f>
        <v>45412</v>
      </c>
      <c r="B37" s="10" t="n">
        <f aca="false">Inputs!B37</f>
        <v>381.9</v>
      </c>
      <c r="C37" s="10" t="n">
        <f aca="false">Inputs!C37</f>
        <v>4.69</v>
      </c>
      <c r="D37" s="11" t="n">
        <f aca="false">B37/B36-1</f>
        <v>-0.0746080593181323</v>
      </c>
      <c r="E37" s="12" t="n">
        <f aca="false">C37-C36</f>
        <v>0.49</v>
      </c>
      <c r="F37" s="7" t="n">
        <f aca="false">CORREL(D26:D37,E26:E37)</f>
        <v>-0.453170644109222</v>
      </c>
    </row>
    <row r="38" customFormat="false" ht="15" hidden="false" customHeight="false" outlineLevel="0" collapsed="false">
      <c r="A38" s="9" t="n">
        <f aca="false">Inputs!A38</f>
        <v>45443</v>
      </c>
      <c r="B38" s="10" t="n">
        <f aca="false">Inputs!B38</f>
        <v>407.94</v>
      </c>
      <c r="C38" s="10" t="n">
        <f aca="false">Inputs!C38</f>
        <v>4.51</v>
      </c>
      <c r="D38" s="11" t="n">
        <f aca="false">B38/B37-1</f>
        <v>0.0681853888452475</v>
      </c>
      <c r="E38" s="12" t="n">
        <f aca="false">C38-C37</f>
        <v>-0.180000000000001</v>
      </c>
      <c r="F38" s="7" t="n">
        <f aca="false">CORREL(D27:D38,E27:E38)</f>
        <v>-0.533202700967316</v>
      </c>
    </row>
    <row r="39" customFormat="false" ht="15" hidden="false" customHeight="false" outlineLevel="0" collapsed="false">
      <c r="A39" s="9" t="n">
        <f aca="false">Inputs!A39</f>
        <v>45473</v>
      </c>
      <c r="B39" s="10" t="n">
        <f aca="false">Inputs!B39</f>
        <v>439.21</v>
      </c>
      <c r="C39" s="10" t="n">
        <f aca="false">Inputs!C39</f>
        <v>4.36</v>
      </c>
      <c r="D39" s="11" t="n">
        <f aca="false">B39/B38-1</f>
        <v>0.0766534294258958</v>
      </c>
      <c r="E39" s="12" t="n">
        <f aca="false">C39-C38</f>
        <v>-0.149999999999999</v>
      </c>
      <c r="F39" s="7" t="n">
        <f aca="false">CORREL(D28:D39,E28:E39)</f>
        <v>-0.566696971692418</v>
      </c>
    </row>
    <row r="40" customFormat="false" ht="15" hidden="false" customHeight="false" outlineLevel="0" collapsed="false">
      <c r="A40" s="9" t="n">
        <f aca="false">Inputs!A40</f>
        <v>45504</v>
      </c>
      <c r="B40" s="10" t="n">
        <f aca="false">Inputs!B40</f>
        <v>411.1</v>
      </c>
      <c r="C40" s="10" t="n">
        <f aca="false">Inputs!C40</f>
        <v>4.09</v>
      </c>
      <c r="D40" s="11" t="n">
        <f aca="false">B40/B39-1</f>
        <v>-0.0640012750165068</v>
      </c>
      <c r="E40" s="12" t="n">
        <f aca="false">C40-C39</f>
        <v>-0.27</v>
      </c>
      <c r="F40" s="7" t="n">
        <f aca="false">CORREL(D29:D40,E29:E40)</f>
        <v>-0.377726428694456</v>
      </c>
    </row>
    <row r="41" customFormat="false" ht="15" hidden="false" customHeight="false" outlineLevel="0" collapsed="false">
      <c r="A41" s="9" t="n">
        <f aca="false">Inputs!A41</f>
        <v>45535</v>
      </c>
      <c r="B41" s="10" t="n">
        <f aca="false">Inputs!B41</f>
        <v>410.65</v>
      </c>
      <c r="C41" s="10" t="n">
        <f aca="false">Inputs!C41</f>
        <v>3.91</v>
      </c>
      <c r="D41" s="11" t="n">
        <f aca="false">B41/B40-1</f>
        <v>-0.00109462417903194</v>
      </c>
      <c r="E41" s="12" t="n">
        <f aca="false">C41-C40</f>
        <v>-0.18</v>
      </c>
      <c r="F41" s="7" t="n">
        <f aca="false">CORREL(D30:D41,E30:E41)</f>
        <v>-0.341076589080852</v>
      </c>
    </row>
    <row r="42" customFormat="false" ht="15" hidden="false" customHeight="false" outlineLevel="0" collapsed="false">
      <c r="A42" s="9" t="n">
        <f aca="false">Inputs!A42</f>
        <v>45565</v>
      </c>
      <c r="B42" s="10" t="n">
        <f aca="false">Inputs!B42</f>
        <v>423.61</v>
      </c>
      <c r="C42" s="10" t="n">
        <f aca="false">Inputs!C42</f>
        <v>3.81</v>
      </c>
      <c r="D42" s="11" t="n">
        <f aca="false">B42/B41-1</f>
        <v>0.0315597223913309</v>
      </c>
      <c r="E42" s="12" t="n">
        <f aca="false">C42-C41</f>
        <v>-0.1</v>
      </c>
      <c r="F42" s="7" t="n">
        <f aca="false">CORREL(D31:D42,E31:E42)</f>
        <v>-0.235385977262587</v>
      </c>
    </row>
    <row r="43" customFormat="false" ht="15" hidden="false" customHeight="false" outlineLevel="0" collapsed="false">
      <c r="A43" s="9" t="n">
        <f aca="false">Inputs!A43</f>
        <v>45596</v>
      </c>
      <c r="B43" s="10" t="n">
        <f aca="false">Inputs!B43</f>
        <v>400.03</v>
      </c>
      <c r="C43" s="10" t="n">
        <f aca="false">Inputs!C43</f>
        <v>4.28</v>
      </c>
      <c r="D43" s="11" t="n">
        <f aca="false">B43/B42-1</f>
        <v>-0.0556644083000875</v>
      </c>
      <c r="E43" s="12" t="n">
        <f aca="false">C43-C42</f>
        <v>0.47</v>
      </c>
      <c r="F43" s="7" t="n">
        <f aca="false">CORREL(D32:D43,E32:E43)</f>
        <v>-0.472176647960937</v>
      </c>
    </row>
    <row r="44" customFormat="false" ht="15" hidden="false" customHeight="false" outlineLevel="0" collapsed="false">
      <c r="A44" s="9" t="n">
        <f aca="false">Inputs!A44</f>
        <v>45626</v>
      </c>
      <c r="B44" s="10" t="n">
        <f aca="false">Inputs!B44</f>
        <v>417.71</v>
      </c>
      <c r="C44" s="10" t="n">
        <f aca="false">Inputs!C44</f>
        <v>4.18</v>
      </c>
      <c r="D44" s="11" t="n">
        <f aca="false">B44/B43-1</f>
        <v>0.0441966852486064</v>
      </c>
      <c r="E44" s="12" t="n">
        <f aca="false">C44-C43</f>
        <v>-0.100000000000001</v>
      </c>
      <c r="F44" s="7" t="n">
        <f aca="false">CORREL(D33:D44,E33:E44)</f>
        <v>-0.319099582645984</v>
      </c>
    </row>
    <row r="45" customFormat="false" ht="15" hidden="false" customHeight="false" outlineLevel="0" collapsed="false">
      <c r="A45" s="9" t="n">
        <f aca="false">Inputs!A45</f>
        <v>45657</v>
      </c>
      <c r="B45" s="10" t="n">
        <f aca="false">Inputs!B45</f>
        <v>415.78</v>
      </c>
      <c r="C45" s="10" t="n">
        <f aca="false">Inputs!C45</f>
        <v>4.58</v>
      </c>
      <c r="D45" s="11" t="n">
        <f aca="false">B45/B44-1</f>
        <v>-0.00462043044217286</v>
      </c>
      <c r="E45" s="12" t="n">
        <f aca="false">C45-C44</f>
        <v>0.4</v>
      </c>
      <c r="F45" s="7" t="n">
        <f aca="false">CORREL(D34:D45,E34:E45)</f>
        <v>-0.439934781746088</v>
      </c>
    </row>
    <row r="46" customFormat="false" ht="15" hidden="false" customHeight="false" outlineLevel="0" collapsed="false">
      <c r="A46" s="9" t="n">
        <f aca="false">Inputs!A46</f>
        <v>45688</v>
      </c>
      <c r="B46" s="10" t="n">
        <f aca="false">Inputs!B46</f>
        <v>409.42</v>
      </c>
      <c r="C46" s="10" t="n">
        <f aca="false">Inputs!C46</f>
        <v>4.58</v>
      </c>
      <c r="D46" s="11" t="n">
        <f aca="false">B46/B45-1</f>
        <v>-0.015296551060657</v>
      </c>
      <c r="E46" s="12" t="n">
        <f aca="false">C46-C45</f>
        <v>0</v>
      </c>
      <c r="F46" s="7" t="n">
        <f aca="false">CORREL(D35:D46,E35:E46)</f>
        <v>-0.463566428857046</v>
      </c>
    </row>
    <row r="47" customFormat="false" ht="15" hidden="false" customHeight="false" outlineLevel="0" collapsed="false">
      <c r="A47" s="9" t="n">
        <f aca="false">Inputs!A47</f>
        <v>45716</v>
      </c>
      <c r="B47" s="10" t="n">
        <f aca="false">Inputs!B47</f>
        <v>392.38</v>
      </c>
      <c r="C47" s="10" t="n">
        <f aca="false">Inputs!C47</f>
        <v>4.24</v>
      </c>
      <c r="D47" s="11" t="n">
        <f aca="false">B47/B46-1</f>
        <v>-0.0416198524742318</v>
      </c>
      <c r="E47" s="12" t="n">
        <f aca="false">C47-C46</f>
        <v>-0.34</v>
      </c>
      <c r="F47" s="7" t="n">
        <f aca="false">CORREL(D36:D47,E36:E47)</f>
        <v>-0.402652148916458</v>
      </c>
    </row>
    <row r="48" customFormat="false" ht="15" hidden="false" customHeight="false" outlineLevel="0" collapsed="false">
      <c r="A48" s="9" t="n">
        <f aca="false">Inputs!A48</f>
        <v>45747</v>
      </c>
      <c r="B48" s="10" t="n">
        <f aca="false">Inputs!B48</f>
        <v>371.03</v>
      </c>
      <c r="C48" s="10" t="n">
        <f aca="false">Inputs!C48</f>
        <v>4.23</v>
      </c>
      <c r="D48" s="11" t="n">
        <f aca="false">B48/B47-1</f>
        <v>-0.0544115398338346</v>
      </c>
      <c r="E48" s="12" t="n">
        <f aca="false">C48-C47</f>
        <v>-0.00999999999999979</v>
      </c>
      <c r="F48" s="7" t="n">
        <f aca="false">CORREL(D37:D48,E37:E48)</f>
        <v>-0.379839698648964</v>
      </c>
    </row>
    <row r="49" customFormat="false" ht="15" hidden="false" customHeight="false" outlineLevel="0" collapsed="false">
      <c r="A49" s="9" t="n">
        <f aca="false">Inputs!A49</f>
        <v>45777</v>
      </c>
      <c r="B49" s="10" t="n">
        <f aca="false">Inputs!B49</f>
        <v>390.67</v>
      </c>
      <c r="C49" s="10" t="n">
        <f aca="false">Inputs!C49</f>
        <v>4.17</v>
      </c>
      <c r="D49" s="11" t="n">
        <f aca="false">B49/B48-1</f>
        <v>0.0529337250357116</v>
      </c>
      <c r="E49" s="12" t="n">
        <f aca="false">C49-C48</f>
        <v>-0.0600000000000005</v>
      </c>
      <c r="F49" s="7" t="n">
        <f aca="false">CORREL(D38:D49,E38:E49)</f>
        <v>-0.210792929075937</v>
      </c>
    </row>
    <row r="50" customFormat="false" ht="15" hidden="false" customHeight="false" outlineLevel="0" collapsed="false">
      <c r="A50" s="9" t="n">
        <f aca="false">Inputs!A50</f>
        <v>45808</v>
      </c>
      <c r="B50" s="10" t="n">
        <f aca="false">Inputs!B50</f>
        <v>455.85</v>
      </c>
      <c r="C50" s="10" t="n">
        <f aca="false">Inputs!C50</f>
        <v>4.41</v>
      </c>
      <c r="D50" s="11" t="n">
        <f aca="false">B50/B49-1</f>
        <v>0.166841579850001</v>
      </c>
      <c r="E50" s="12" t="n">
        <f aca="false">C50-C49</f>
        <v>0.24</v>
      </c>
      <c r="F50" s="7" t="n">
        <f aca="false">CORREL(D39:D50,E39:E50)</f>
        <v>0.122870721902161</v>
      </c>
    </row>
    <row r="51" customFormat="false" ht="15" hidden="false" customHeight="false" outlineLevel="0" collapsed="false">
      <c r="A51" s="9" t="n">
        <f aca="false">Inputs!A51</f>
        <v>45838</v>
      </c>
      <c r="B51" s="10" t="n">
        <f aca="false">Inputs!B51</f>
        <v>492.54</v>
      </c>
      <c r="C51" s="10" t="n">
        <f aca="false">Inputs!C51</f>
        <v>4.24</v>
      </c>
      <c r="D51" s="11" t="n">
        <f aca="false">B51/B50-1</f>
        <v>0.0804870023033892</v>
      </c>
      <c r="E51" s="12" t="n">
        <f aca="false">C51-C50</f>
        <v>-0.17</v>
      </c>
      <c r="F51" s="7" t="n">
        <f aca="false">CORREL(D40:D51,E40:E51)</f>
        <v>0.11159611794395</v>
      </c>
    </row>
    <row r="52" customFormat="false" ht="15" hidden="false" customHeight="false" outlineLevel="0" collapsed="false">
      <c r="A52" s="9" t="n">
        <f aca="false">Inputs!A52</f>
        <v>45869</v>
      </c>
      <c r="B52" s="10" t="n">
        <f aca="false">Inputs!B52</f>
        <v>528.28</v>
      </c>
      <c r="C52" s="10" t="n">
        <f aca="false">Inputs!C52</f>
        <v>4.37</v>
      </c>
      <c r="D52" s="11" t="n">
        <f aca="false">B52/B51-1</f>
        <v>0.072562634506842</v>
      </c>
      <c r="E52" s="12" t="n">
        <f aca="false">C52-C51</f>
        <v>0.13</v>
      </c>
      <c r="F52" s="7" t="n">
        <f aca="false">CORREL(D41:D52,E41:E52)</f>
        <v>0.0313823159696197</v>
      </c>
    </row>
    <row r="53" customFormat="false" ht="15" hidden="false" customHeight="false" outlineLevel="0" collapsed="false">
      <c r="A53" s="9" t="n">
        <f aca="false">Inputs!A53</f>
        <v>45900</v>
      </c>
      <c r="B53" s="10" t="n">
        <f aca="false">Inputs!B53</f>
        <v>502.56</v>
      </c>
      <c r="C53" s="10" t="n">
        <f aca="false">Inputs!C53</f>
        <v>4.23</v>
      </c>
      <c r="D53" s="11" t="n">
        <f aca="false">B53/B52-1</f>
        <v>-0.0486863027182555</v>
      </c>
      <c r="E53" s="12" t="n">
        <f aca="false">C53-C52</f>
        <v>-0.14</v>
      </c>
      <c r="F53" s="7" t="n">
        <f aca="false">CORREL(D42:D53,E42:E53)</f>
        <v>0.0689477040159574</v>
      </c>
    </row>
    <row r="54" customFormat="false" ht="15" hidden="false" customHeight="false" outlineLevel="0" collapsed="false">
      <c r="A54" s="9" t="n">
        <f aca="false">Inputs!A54</f>
        <v>45930</v>
      </c>
      <c r="B54" s="10" t="n">
        <f aca="false">Inputs!B54</f>
        <v>513.72</v>
      </c>
      <c r="C54" s="10" t="n">
        <f aca="false">Inputs!C54</f>
        <v>4.16</v>
      </c>
      <c r="D54" s="11" t="n">
        <f aca="false">B54/B53-1</f>
        <v>0.0222063037249285</v>
      </c>
      <c r="E54" s="12" t="n">
        <f aca="false">C54-C53</f>
        <v>-0.0700000000000003</v>
      </c>
      <c r="F54" s="7" t="n">
        <f aca="false">CORREL(D43:D54,E43:E54)</f>
        <v>0.0766900799396371</v>
      </c>
    </row>
    <row r="55" customFormat="false" ht="15" hidden="false" customHeight="false" outlineLevel="0" collapsed="false">
      <c r="A55" s="9" t="n">
        <f aca="false">Inputs!A55</f>
        <v>45961</v>
      </c>
      <c r="B55" s="10" t="n">
        <f aca="false">Inputs!B55</f>
        <v>513.58</v>
      </c>
      <c r="C55" s="10" t="n">
        <f aca="false">Inputs!C55</f>
        <v>4.11</v>
      </c>
      <c r="D55" s="11" t="n">
        <f aca="false">B55/B54-1</f>
        <v>-0.000272521996418251</v>
      </c>
      <c r="E55" s="12" t="n">
        <f aca="false">C55-C54</f>
        <v>-0.0499999999999998</v>
      </c>
      <c r="F55" s="7" t="n">
        <f aca="false">CORREL(D44:D55,E44:E55)</f>
        <v>0.362856020509416</v>
      </c>
    </row>
    <row r="56" customFormat="false" ht="15" hidden="false" customHeight="false" outlineLevel="0" collapsed="false">
      <c r="A56" s="9" t="n">
        <f aca="false">Inputs!A56</f>
        <v>45991</v>
      </c>
      <c r="B56" s="10" t="n">
        <f aca="false">Inputs!B56</f>
        <v>488.91</v>
      </c>
      <c r="C56" s="10" t="n">
        <f aca="false">Inputs!C56</f>
        <v>4.02</v>
      </c>
      <c r="D56" s="11" t="n">
        <f aca="false">B56/B55-1</f>
        <v>-0.0480353596323845</v>
      </c>
      <c r="E56" s="12" t="n">
        <f aca="false">C56-C55</f>
        <v>-0.0900000000000008</v>
      </c>
      <c r="F56" s="7" t="n">
        <f aca="false">CORREL(D45:D56,E45:E56)</f>
        <v>0.399826622690151</v>
      </c>
    </row>
    <row r="57" customFormat="false" ht="15" hidden="false" customHeight="false" outlineLevel="0" collapsed="false">
      <c r="A57" s="9" t="n">
        <f aca="false">Inputs!A57</f>
        <v>46022</v>
      </c>
      <c r="B57" s="10" t="n">
        <f aca="false">Inputs!B57</f>
        <v>480.57</v>
      </c>
      <c r="C57" s="10" t="n">
        <f aca="false">Inputs!C57</f>
        <v>4.18</v>
      </c>
      <c r="D57" s="11" t="n">
        <f aca="false">B57/B56-1</f>
        <v>-0.0170583542983371</v>
      </c>
      <c r="E57" s="12" t="n">
        <f aca="false">C57-C56</f>
        <v>0.16</v>
      </c>
      <c r="F57" s="7" t="n">
        <f aca="false">CORREL(D46:D57,E46:E57)</f>
        <v>0.513012528204719</v>
      </c>
    </row>
    <row r="58" customFormat="false" ht="15" hidden="false" customHeight="false" outlineLevel="0" collapsed="false">
      <c r="A58" s="9" t="n">
        <f aca="false">Inputs!A58</f>
        <v>46053</v>
      </c>
      <c r="B58" s="10" t="n">
        <f aca="false">Inputs!B58</f>
        <v>427.58</v>
      </c>
      <c r="C58" s="10" t="n">
        <f aca="false">Inputs!C58</f>
        <v>4.26</v>
      </c>
      <c r="D58" s="11" t="n">
        <f aca="false">B58/B57-1</f>
        <v>-0.110264893771979</v>
      </c>
      <c r="E58" s="12" t="n">
        <f aca="false">C58-C57</f>
        <v>0.0800000000000001</v>
      </c>
      <c r="F58" s="7" t="n">
        <f aca="false">CORREL(D47:D58,E47:E58)</f>
        <v>0.352288080089134</v>
      </c>
    </row>
    <row r="59" customFormat="false" ht="15" hidden="false" customHeight="false" outlineLevel="0" collapsed="false">
      <c r="A59" s="9" t="n">
        <f aca="false">Inputs!A59</f>
        <v>46081</v>
      </c>
      <c r="B59" s="10" t="n">
        <f aca="false">Inputs!B59</f>
        <v>391.15</v>
      </c>
      <c r="C59" s="10" t="n">
        <f aca="false">Inputs!C59</f>
        <v>3.97</v>
      </c>
      <c r="D59" s="11" t="n">
        <f aca="false">B59/B58-1</f>
        <v>-0.0852004303288274</v>
      </c>
      <c r="E59" s="12" t="n">
        <f aca="false">C59-C58</f>
        <v>-0.29</v>
      </c>
      <c r="F59" s="7" t="n">
        <f aca="false">CORREL(D48:D59,E48:E59)</f>
        <v>0.425658381716452</v>
      </c>
    </row>
    <row r="60" customFormat="false" ht="15" hidden="false" customHeight="false" outlineLevel="0" collapsed="false">
      <c r="A60" s="9" t="n">
        <f aca="false">Inputs!A60</f>
        <v>46112</v>
      </c>
      <c r="B60" s="10" t="n">
        <f aca="false">Inputs!B60</f>
        <v>368.68</v>
      </c>
      <c r="C60" s="10" t="n">
        <f aca="false">Inputs!C60</f>
        <v>4.3</v>
      </c>
      <c r="D60" s="11" t="n">
        <f aca="false">B60/B59-1</f>
        <v>-0.0574459925859644</v>
      </c>
      <c r="E60" s="12" t="n">
        <f aca="false">C60-C59</f>
        <v>0.33</v>
      </c>
      <c r="F60" s="7" t="n">
        <f aca="false">CORREL(D49:D60,E49:E60)</f>
        <v>0.225473006214207</v>
      </c>
    </row>
    <row r="61" customFormat="false" ht="15" hidden="false" customHeight="false" outlineLevel="0" collapsed="false">
      <c r="A61" s="9" t="n">
        <f aca="false">Inputs!A61</f>
        <v>46142</v>
      </c>
      <c r="B61" s="10" t="n">
        <f aca="false">Inputs!B61</f>
        <v>406.13</v>
      </c>
      <c r="C61" s="10" t="n">
        <f aca="false">Inputs!C61</f>
        <v>4.4</v>
      </c>
      <c r="D61" s="11" t="n">
        <f aca="false">B61/B60-1</f>
        <v>0.101578604752089</v>
      </c>
      <c r="E61" s="12" t="n">
        <f aca="false">C61-C60</f>
        <v>0.100000000000001</v>
      </c>
      <c r="F61" s="7" t="n">
        <f aca="false">CORREL(D50:D61,E50:E61)</f>
        <v>0.285295383370885</v>
      </c>
    </row>
    <row r="62" customFormat="false" ht="15" hidden="false" customHeight="false" outlineLevel="0" collapsed="false">
      <c r="A62" s="9" t="n">
        <f aca="false">Inputs!A62</f>
        <v>46173</v>
      </c>
      <c r="B62" s="10" t="n">
        <f aca="false">Inputs!B62</f>
        <v>449.39</v>
      </c>
      <c r="C62" s="10" t="n">
        <f aca="false">Inputs!C62</f>
        <v>4.45</v>
      </c>
      <c r="D62" s="11" t="n">
        <f aca="false">B62/B61-1</f>
        <v>0.106517617511634</v>
      </c>
      <c r="E62" s="12" t="n">
        <f aca="false">C62-C61</f>
        <v>0.0499999999999998</v>
      </c>
      <c r="F62" s="7" t="n">
        <f aca="false">CORREL(D51:D62,E51:E62)</f>
        <v>0.107004449313978</v>
      </c>
    </row>
    <row r="63" customFormat="false" ht="15" hidden="false" customHeight="false" outlineLevel="0" collapsed="false">
      <c r="A63" s="9" t="n">
        <f aca="false">Inputs!A63</f>
        <v>46203</v>
      </c>
      <c r="B63" s="10" t="n">
        <f aca="false">Inputs!B63</f>
        <v>372.32</v>
      </c>
      <c r="C63" s="10" t="n">
        <f aca="false">Inputs!C63</f>
        <v>4.44</v>
      </c>
      <c r="D63" s="11" t="n">
        <f aca="false">B63/B62-1</f>
        <v>-0.171499143283117</v>
      </c>
      <c r="E63" s="12" t="n">
        <f aca="false">C63-C62</f>
        <v>-0.00999999999999979</v>
      </c>
      <c r="F63" s="7" t="n">
        <f aca="false">CORREL(D52:D63,E52:E63)</f>
        <v>0.227181859568818</v>
      </c>
    </row>
    <row r="64" customFormat="false" ht="15" hidden="false" customHeight="false" outlineLevel="0" collapsed="false">
      <c r="A64" s="9" t="n">
        <f aca="false">Inputs!A64</f>
        <v>46234</v>
      </c>
      <c r="B64" s="10" t="n">
        <f aca="false">Inputs!B64</f>
        <v>463.85</v>
      </c>
      <c r="C64" s="10" t="n">
        <f aca="false">Inputs!C64</f>
        <v>4.75</v>
      </c>
      <c r="D64" s="11" t="n">
        <f aca="false">B64/B63-1</f>
        <v>0.245836914482166</v>
      </c>
      <c r="E64" s="12" t="n">
        <f aca="false">C64-C63</f>
        <v>0.31</v>
      </c>
      <c r="F64" s="7" t="n">
        <f aca="false">CORREL(D53:D64,E53:E64)</f>
        <v>0.444788570701245</v>
      </c>
    </row>
    <row r="65" customFormat="false" ht="15" hidden="false" customHeight="false" outlineLevel="0" collapsed="false">
      <c r="A65" s="9" t="n">
        <f aca="false">Inputs!A65</f>
        <v>46265</v>
      </c>
      <c r="B65" s="10" t="n">
        <f aca="false">Inputs!B65</f>
        <v>507.29</v>
      </c>
      <c r="C65" s="10" t="n">
        <f aca="false">Inputs!C65</f>
        <v>4.75</v>
      </c>
      <c r="D65" s="11" t="n">
        <f aca="false">B65/B64-1</f>
        <v>0.093650964751536</v>
      </c>
      <c r="E65" s="12" t="n">
        <f aca="false">C65-C64</f>
        <v>0</v>
      </c>
      <c r="F65" s="7" t="n">
        <f aca="false">CORREL(D54:D65,E54:E65)</f>
        <v>0.398627928183583</v>
      </c>
    </row>
    <row r="66" customFormat="false" ht="15" hidden="false" customHeight="false" outlineLevel="0" collapsed="false">
      <c r="A66" s="9" t="n">
        <f aca="false">Inputs!A66</f>
        <v>46295</v>
      </c>
      <c r="B66" s="10" t="n">
        <f aca="false">Inputs!B66</f>
        <v>512.9</v>
      </c>
      <c r="C66" s="10" t="n">
        <f aca="false">Inputs!C66</f>
        <v>5.29</v>
      </c>
      <c r="D66" s="11" t="n">
        <f aca="false">B66/B65-1</f>
        <v>0.0110587632320762</v>
      </c>
      <c r="E66" s="12" t="n">
        <f aca="false">C66-C65</f>
        <v>0.54</v>
      </c>
      <c r="F66" s="7" t="n">
        <f aca="false">CORREL(D55:D66,E55:E66)</f>
        <v>0.329608849739683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0" t="s">
        <v>19</v>
      </c>
      <c r="B3" s="13" t="n">
        <f aca="false">Calc!A6</f>
        <v>44469</v>
      </c>
    </row>
    <row r="4" customFormat="false" ht="15" hidden="false" customHeight="false" outlineLevel="0" collapsed="false">
      <c r="A4" s="0" t="s">
        <v>20</v>
      </c>
      <c r="B4" s="13" t="n">
        <f aca="false">Calc!A66</f>
        <v>46295</v>
      </c>
    </row>
    <row r="5" customFormat="false" ht="15" hidden="false" customHeight="false" outlineLevel="0" collapsed="false">
      <c r="A5" s="0" t="s">
        <v>21</v>
      </c>
      <c r="B5" s="14" t="n">
        <f aca="false">COUNT(Inputs!B6:B66)</f>
        <v>61</v>
      </c>
    </row>
    <row r="6" customFormat="false" ht="15" hidden="false" customHeight="false" outlineLevel="0" collapsed="false">
      <c r="A6" s="0" t="s">
        <v>22</v>
      </c>
      <c r="B6" s="14" t="n">
        <f aca="false">Calc!E3</f>
        <v>60</v>
      </c>
    </row>
    <row r="7" customFormat="false" ht="15" hidden="false" customHeight="false" outlineLevel="0" collapsed="false">
      <c r="A7" s="0" t="s">
        <v>23</v>
      </c>
      <c r="B7" s="12" t="n">
        <f aca="false">Calc!B6</f>
        <v>270.57</v>
      </c>
    </row>
    <row r="8" customFormat="false" ht="15" hidden="false" customHeight="false" outlineLevel="0" collapsed="false">
      <c r="A8" s="0" t="s">
        <v>24</v>
      </c>
      <c r="B8" s="12" t="n">
        <f aca="false">Calc!B66</f>
        <v>512.9</v>
      </c>
    </row>
    <row r="9" customFormat="false" ht="15" hidden="false" customHeight="false" outlineLevel="0" collapsed="false">
      <c r="A9" s="0" t="s">
        <v>25</v>
      </c>
      <c r="B9" s="12" t="n">
        <f aca="false">Calc!C6</f>
        <v>1.52</v>
      </c>
    </row>
    <row r="10" customFormat="false" ht="15" hidden="false" customHeight="false" outlineLevel="0" collapsed="false">
      <c r="A10" s="0" t="s">
        <v>26</v>
      </c>
      <c r="B10" s="12" t="n">
        <f aca="false">Calc!C66</f>
        <v>5.29</v>
      </c>
    </row>
    <row r="11" customFormat="false" ht="15" hidden="false" customHeight="false" outlineLevel="0" collapsed="false">
      <c r="A11" s="0" t="s">
        <v>27</v>
      </c>
      <c r="B11" s="7" t="n">
        <f aca="false">Calc!C3</f>
        <v>-0.256587340294092</v>
      </c>
    </row>
    <row r="12" customFormat="false" ht="15" hidden="false" customHeight="false" outlineLevel="0" collapsed="false">
      <c r="A12" s="0" t="s">
        <v>28</v>
      </c>
      <c r="B12" s="7" t="n">
        <f aca="false">Calc!F66</f>
        <v>0.329608849739683</v>
      </c>
    </row>
    <row r="13" customFormat="false" ht="15" hidden="false" customHeight="false" outlineLevel="0" collapsed="false">
      <c r="A13" s="0" t="s">
        <v>29</v>
      </c>
      <c r="B13" s="7" t="n">
        <f aca="false">MIN(Calc!F18:F66)</f>
        <v>-0.881596733932853</v>
      </c>
    </row>
    <row r="14" customFormat="false" ht="15" hidden="false" customHeight="false" outlineLevel="0" collapsed="false">
      <c r="A14" s="0" t="s">
        <v>30</v>
      </c>
      <c r="B14" s="7" t="n">
        <f aca="false">MAX(Calc!F18:F66)</f>
        <v>0.513012528204719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A1" s="6" t="s">
        <v>31</v>
      </c>
    </row>
    <row r="3" customFormat="false" ht="15" hidden="false" customHeight="false" outlineLevel="0" collapsed="false">
      <c r="A3" s="0" t="s">
        <v>32</v>
      </c>
      <c r="B3" s="15" t="b">
        <f aca="false">COUNT(Inputs!B6:B66)=COUNT(Inputs!C6:C66)</f>
        <v>1</v>
      </c>
    </row>
    <row r="4" customFormat="false" ht="15" hidden="false" customHeight="false" outlineLevel="0" collapsed="false">
      <c r="A4" s="0" t="s">
        <v>33</v>
      </c>
      <c r="B4" s="15" t="b">
        <f aca="false">COUNTBLANK(Inputs!A6:C66)=0</f>
        <v>1</v>
      </c>
    </row>
    <row r="5" customFormat="false" ht="15" hidden="false" customHeight="false" outlineLevel="0" collapsed="false">
      <c r="A5" s="0" t="s">
        <v>34</v>
      </c>
      <c r="B5" s="15" t="b">
        <f aca="false">MIN(Inputs!B6:B66)&gt;0</f>
        <v>1</v>
      </c>
    </row>
    <row r="6" customFormat="false" ht="15" hidden="false" customHeight="false" outlineLevel="0" collapsed="false">
      <c r="A6" s="0" t="s">
        <v>35</v>
      </c>
      <c r="B6" s="15" t="b">
        <f aca="false">SUMPRODUCT(--(Inputs!A7:A66&gt;Inputs!A6:A65))=60</f>
        <v>1</v>
      </c>
    </row>
    <row r="7" customFormat="false" ht="15" hidden="false" customHeight="false" outlineLevel="0" collapsed="false">
      <c r="A7" s="0" t="s">
        <v>36</v>
      </c>
      <c r="B7" s="15" t="b">
        <f aca="false">AND(MAX(Calc!F18:F66)&lt;=1,MIN(Calc!F18:F66)&gt;=-1,ABS(Calc!C3)&lt;=1)</f>
        <v>1</v>
      </c>
    </row>
    <row r="8" customFormat="false" ht="15" hidden="false" customHeight="false" outlineLevel="0" collapsed="false">
      <c r="A8" s="6" t="s">
        <v>37</v>
      </c>
      <c r="B8" s="16" t="b">
        <f aca="false">AND(B3:B7)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2026-10-16T03:36:13Z</dcterms:created>
  <dc:creator>openpyxl</dc:creator>
  <dc:description/>
  <dc:language>en-US</dc:language>
  <cp:lastModifiedBy/>
  <dcterms:modified xsi:type="dcterms:W3CDTF">2026-10-16T03:36:13Z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