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24" authorId="0">
      <text>
        <r>
          <rPr>
            <sz val="10"/>
            <rFont val="Arial"/>
            <family val="2"/>
          </rPr>
          <t xml:space="preserve">Source: stock-data get_quote (Yahoo Finance), fetched 2026-10-15T02:06Z (US close 2026-10-14)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4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Source: stock-data get_quote (Yahoo Finance), fetched 2026-10-15T02:06Z (US close 2026-10-14)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4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Source: stock-data get_quote (Yahoo Finance), fetched 2026-10-15T02:06Z (US close 2026-10-14)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4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Source: stock-data get_quote (Yahoo Finance), fetched 2026-10-15T02:06Z (US close 2026-10-14)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4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Source: stock-data get_quote (Yahoo Finance), fetched 2026-10-15T02:06Z (US close 2026-10-14)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4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Source: stock-data get_quote (Yahoo Finance), fetched 2026-10-15T02:06Z (US close 2026-10-14)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4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Source: stock-data get_financials annual FY2026 (10-K filed 2026-07-29)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Source: stock-data get_financials quarterly (SEC XBRL) Q4-FY25..Q3-FY26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Source: stock-data get_financials quarterly (SEC XBRL) Q2-FY26..Q1-FY27; debt from 10-Q for 2026-08-31 (orcl-20260831.htm)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5</xdr:row>
                <xdr:rowOff>14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Source: implied = market_cap / price from stock-data get_quote 2026-10-14 (basic shares basis; quote market cap)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19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Source: implied = market_cap / price from stock-data get_quote 2026-10-14 (basic shares basis; quote market cap)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19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Source: implied = market_cap / price from stock-data get_quote 2026-10-14 (basic shares basis; quote market cap)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19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Source: implied = market_cap / price from stock-data get_quote 2026-10-14 (basic shares basis; quote market cap)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19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Source: implied = market_cap / price from stock-data get_quote 2026-10-14 (basic shares basis; quote market cap)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19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Source: implied = market_cap / price from stock-data get_quote 2026-10-14 (basic shares basis; quote market cap)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19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Source: stock-data get_financials annual FY2026 (10-K filed 2026-07-29)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Source: stock-data get_financials quarterly (SEC XBRL) Q4-FY25..Q3-FY26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Source: stock-data get_financials quarterly (SEC XBRL) Q2-FY26..Q1-FY27; debt from 10-Q for 2026-08-31 (orcl-20260831.htm)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5</xdr:row>
                <xdr:rowOff>14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Source: stock-data get_financials annual FY2026 (10-K filed 2026-07-29) - cash &amp; equivalents + current marketable securities (excludes long-term investments)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6</xdr:row>
                <xdr:rowOff>9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Source: stock-data get_financials quarterly (SEC XBRL) Q3-25..Q2-26 - cash &amp; equivalents + current marketable securities (excludes long-term investments)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6</xdr:row>
                <xdr:rowOff>9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Source: stock-data get_financials quarterly (SEC XBRL) Q3-25..Q2-26 - cash &amp; equivalents + current marketable securities (excludes long-term investments)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6</xdr:row>
                <xdr:rowOff>9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Source: stock-data get_financials quarterly (SEC XBRL) Q3-25..Q2-26 - cash &amp; equivalents + current marketable securities (excludes long-term investments)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6</xdr:row>
                <xdr:rowOff>9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Source: stock-data get_financials quarterly (SEC XBRL) Q4-FY25..Q3-FY26 - cash &amp; equivalents + current marketable securities (excludes long-term investments)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6</xdr:row>
                <xdr:rowOff>9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Source: stock-data get_financials quarterly (SEC XBRL) Q2-FY26..Q1-FY27; debt from 10-Q for 2026-08-31 (orcl-20260831.htm) - cash &amp; equivalents + current marketable securities (excludes long-term investments)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8</xdr:row>
                <xdr:rowOff>14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Source: stock-data get_financials annual FY2026 (10-K filed 2026-07-29)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Source: stock-data get_financials quarterly (SEC XBRL) Q4-FY25..Q3-FY26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Not reported in XBRL standardized data (Oracle does not report cost of revenue/gross profit)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4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Source: stock-data get_financials annual FY2026 (10-K filed 2026-07-29) - current + non-current debt (excludes lease liabilities)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5</xdr:row>
                <xdr:rowOff>14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Source: stock-data get_financials quarterly (SEC XBRL) Q3-25..Q2-26 - current + non-current debt (excludes lease liabilities)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5</xdr:row>
                <xdr:rowOff>14</xdr:rowOff>
              </xdr:to>
            </anchor>
          </commentPr>
        </mc:Choice>
        <mc:Fallback/>
      </mc:AlternateContent>
    </comment>
    <comment ref="G27" authorId="0">
      <text>
        <r>
          <rPr>
            <sz val="10"/>
            <rFont val="Arial"/>
            <family val="2"/>
          </rPr>
          <t xml:space="preserve">Source: stock-data get_financials quarterly (SEC XBRL) Q3-25..Q2-26 - current + non-current debt (excludes lease liabilities)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5</xdr:row>
                <xdr:rowOff>14</xdr:rowOff>
              </xdr:to>
            </anchor>
          </commentPr>
        </mc:Choice>
        <mc:Fallback/>
      </mc:AlternateContent>
    </comment>
    <comment ref="G28" authorId="0">
      <text>
        <r>
          <rPr>
            <sz val="10"/>
            <rFont val="Arial"/>
            <family val="2"/>
          </rPr>
          <t xml:space="preserve">Source: stock-data get_financials quarterly (SEC XBRL) Q3-25..Q2-26 - current + non-current debt (excludes lease liabilities)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5</xdr:row>
                <xdr:rowOff>14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Source: stock-data get_financials quarterly (SEC XBRL) Q4-FY25..Q3-FY26 - current + non-current debt (excludes lease liabilities)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5</xdr:row>
                <xdr:rowOff>14</xdr:rowOff>
              </xdr:to>
            </anchor>
          </commentPr>
        </mc:Choice>
        <mc:Fallback/>
      </mc:AlternateContent>
    </comment>
    <comment ref="G30" authorId="0">
      <text>
        <r>
          <rPr>
            <sz val="10"/>
            <rFont val="Arial"/>
            <family val="2"/>
          </rPr>
          <t xml:space="preserve">Source: stock-data get_financials quarterly (SEC XBRL) Q2-FY26..Q1-FY27; debt from 10-Q for 2026-08-31 (orcl-20260831.htm) - current + non-current debt (excludes lease liabilities)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7</xdr:row>
                <xdr:rowOff>19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Source: stock-data get_financials annual FY2026 (10-K filed 2026-07-29)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I11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I12" authorId="0">
      <text>
        <r>
          <rPr>
            <sz val="10"/>
            <rFont val="Arial"/>
            <family val="2"/>
          </rPr>
          <t xml:space="preserve">Source: stock-data get_financials quarterly (SEC XBRL) Q4-FY25..Q3-FY26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I13" authorId="0">
      <text>
        <r>
          <rPr>
            <sz val="10"/>
            <rFont val="Arial"/>
            <family val="2"/>
          </rPr>
          <t xml:space="preserve">Source: stock-data get_financials quarterly (SEC XBRL) Q2-FY26..Q1-FY27; debt from 10-Q for 2026-08-31 (orcl-20260831.htm)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5</xdr:row>
                <xdr:rowOff>14</xdr:rowOff>
              </xdr:to>
            </anchor>
          </commentPr>
        </mc:Choice>
        <mc:Fallback/>
      </mc:AlternateContent>
    </comment>
    <comment ref="K7" authorId="0">
      <text>
        <r>
          <rPr>
            <sz val="10"/>
            <rFont val="Arial"/>
            <family val="2"/>
          </rPr>
          <t xml:space="preserve">Source: FY2026 D&amp;A ~39,000: stockanalysis.com / TIKR (rounded, not verified to 10-K)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4</xdr:rowOff>
              </xdr:to>
            </anchor>
          </commentPr>
        </mc:Choice>
        <mc:Fallback/>
      </mc:AlternateContent>
    </comment>
    <comment ref="K9" authorId="0">
      <text>
        <r>
          <rPr>
            <sz val="10"/>
            <rFont val="Arial"/>
            <family val="2"/>
          </rPr>
          <t xml:space="preserve">Source: ESTIMATE: H1-26 depreciation 13,586 (10-Q filed 2026-07, goog-20260630.htm) + H2-25 est. 11,500 (H1-25 was 9,485)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5</xdr:row>
                <xdr:rowOff>14</xdr:rowOff>
              </xdr:to>
            </anchor>
          </commentPr>
        </mc:Choice>
        <mc:Fallback/>
      </mc:AlternateContent>
    </comment>
    <comment ref="K10" authorId="0">
      <text>
        <r>
          <rPr>
            <sz val="10"/>
            <rFont val="Arial"/>
            <family val="2"/>
          </rPr>
          <t xml:space="preserve">Source: stock-data get_financials quarterly cashflow, sum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K11" authorId="0">
      <text>
        <r>
          <rPr>
            <sz val="10"/>
            <rFont val="Arial"/>
            <family val="2"/>
          </rPr>
          <t xml:space="preserve">Source: stock-data get_financials quarterly cashflow, sum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K12" authorId="0">
      <text>
        <r>
          <rPr>
            <sz val="10"/>
            <rFont val="Arial"/>
            <family val="2"/>
          </rPr>
          <t xml:space="preserve">Source: stock-data get_financials quarterly cashflow, sum Q4-FY25..Q3-FY26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4</xdr:rowOff>
              </xdr:to>
            </anchor>
          </commentPr>
        </mc:Choice>
        <mc:Fallback/>
      </mc:AlternateContent>
    </comment>
    <comment ref="K13" authorId="0">
      <text>
        <r>
          <rPr>
            <sz val="10"/>
            <rFont val="Arial"/>
            <family val="2"/>
          </rPr>
          <t xml:space="preserve">Source: FY26 D&amp;A 9,294 (8-K ex99.1, FY26 results) + Q1-FY27 3,358 - Q1-FY26 1,771 (10-Q orcl-20260831.htm)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19</xdr:rowOff>
              </xdr:to>
            </anchor>
          </commentPr>
        </mc:Choice>
        <mc:Fallback/>
      </mc:AlternateContent>
    </comment>
    <comment ref="N7" authorId="0">
      <text>
        <r>
          <rPr>
            <sz val="10"/>
            <rFont val="Arial"/>
            <family val="2"/>
          </rPr>
          <t xml:space="preserve">Source: stock-data get_financials annual FY2026 (10-K filed 2026-07-29)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N9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N10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N11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N12" authorId="0">
      <text>
        <r>
          <rPr>
            <sz val="10"/>
            <rFont val="Arial"/>
            <family val="2"/>
          </rPr>
          <t xml:space="preserve">Source: stock-data get_financials quarterly (SEC XBRL) Q4-FY25..Q3-FY26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N13" authorId="0">
      <text>
        <r>
          <rPr>
            <sz val="10"/>
            <rFont val="Arial"/>
            <family val="2"/>
          </rPr>
          <t xml:space="preserve">Source: stock-data get_financials quarterly (SEC XBRL) Q2-FY26..Q1-FY27; debt from 10-Q for 2026-08-31 (orcl-20260831.htm)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5</xdr:row>
                <xdr:rowOff>14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<sst xmlns="http://schemas.openxmlformats.org/spreadsheetml/2006/main" count="75" uniqueCount="65">
  <si>
    <t xml:space="preserve">TECHNOLOGY MEGA-CAP - COMPARABLE COMPANY ANALYSIS</t>
  </si>
  <si>
    <t xml:space="preserve">Microsoft (MSFT) vs. Alphabet (GOOGL) • Amazon (AMZN) • Meta (META) • Apple (AAPL) • Oracle (ORCL)</t>
  </si>
  <si>
    <t xml:space="preserve">As of 2026-10-14 (prices) | LTM to latest reported quarter | USD millions except per-share and ratios</t>
  </si>
  <si>
    <t xml:space="preserve">OPERATING METRICS (LTM)</t>
  </si>
  <si>
    <t xml:space="preserve">Company</t>
  </si>
  <si>
    <t xml:space="preserve">Ticker</t>
  </si>
  <si>
    <t xml:space="preserve">LTM end</t>
  </si>
  <si>
    <t xml:space="preserve">Revenue</t>
  </si>
  <si>
    <t xml:space="preserve">Revenue prior LTM</t>
  </si>
  <si>
    <t xml:space="preserve">Rev growth</t>
  </si>
  <si>
    <t xml:space="preserve">Gross profit</t>
  </si>
  <si>
    <t xml:space="preserve">Gross margin</t>
  </si>
  <si>
    <t xml:space="preserve">EBIT</t>
  </si>
  <si>
    <t xml:space="preserve">EBIT margin</t>
  </si>
  <si>
    <t xml:space="preserve">D&amp;A</t>
  </si>
  <si>
    <t xml:space="preserve">EBITDA</t>
  </si>
  <si>
    <t xml:space="preserve">EBITDA margin</t>
  </si>
  <si>
    <t xml:space="preserve">Net income</t>
  </si>
  <si>
    <t xml:space="preserve">Microsoft (target)</t>
  </si>
  <si>
    <t xml:space="preserve">MSFT</t>
  </si>
  <si>
    <t xml:space="preserve">2026-06-30</t>
  </si>
  <si>
    <t xml:space="preserve">Alphabet</t>
  </si>
  <si>
    <t xml:space="preserve">GOOGL</t>
  </si>
  <si>
    <t xml:space="preserve">Amazon</t>
  </si>
  <si>
    <t xml:space="preserve">AMZN</t>
  </si>
  <si>
    <t xml:space="preserve">Meta Platforms</t>
  </si>
  <si>
    <t xml:space="preserve">META</t>
  </si>
  <si>
    <t xml:space="preserve">Apple</t>
  </si>
  <si>
    <t xml:space="preserve">AAPL</t>
  </si>
  <si>
    <t xml:space="preserve">2026-06-27</t>
  </si>
  <si>
    <t xml:space="preserve">Oracle</t>
  </si>
  <si>
    <t xml:space="preserve">ORCL</t>
  </si>
  <si>
    <t xml:space="preserve">2026-08-31</t>
  </si>
  <si>
    <t xml:space="preserve">n/a</t>
  </si>
  <si>
    <t xml:space="preserve">Peer Maximum</t>
  </si>
  <si>
    <t xml:space="preserve">Peer 75th Percentile</t>
  </si>
  <si>
    <t xml:space="preserve">Peer Median</t>
  </si>
  <si>
    <t xml:space="preserve">Peer 25th Percentile</t>
  </si>
  <si>
    <t xml:space="preserve">Peer Minimum</t>
  </si>
  <si>
    <t xml:space="preserve">VALUATION MULTIPLES</t>
  </si>
  <si>
    <t xml:space="preserve">Share price</t>
  </si>
  <si>
    <t xml:space="preserve">Diluted shares (M)</t>
  </si>
  <si>
    <t xml:space="preserve">Market cap</t>
  </si>
  <si>
    <t xml:space="preserve">Cash + ST inv.</t>
  </si>
  <si>
    <t xml:space="preserve">Total debt</t>
  </si>
  <si>
    <t xml:space="preserve">Enterprise value</t>
  </si>
  <si>
    <t xml:space="preserve">EV / Revenue</t>
  </si>
  <si>
    <t xml:space="preserve">EV / EBITDA</t>
  </si>
  <si>
    <t xml:space="preserve">EV / EBIT</t>
  </si>
  <si>
    <t xml:space="preserve">P / E</t>
  </si>
  <si>
    <t xml:space="preserve">FCF note</t>
  </si>
  <si>
    <t xml:space="preserve">P/E distorted by investment gains</t>
  </si>
  <si>
    <t xml:space="preserve">P/E depressed by equity-investment gains</t>
  </si>
  <si>
    <t xml:space="preserve">Q3-25 one-off tax charge</t>
  </si>
  <si>
    <t xml:space="preserve">MSFT EV/EBITDA premium/(discount) to peer median</t>
  </si>
  <si>
    <t xml:space="preserve">MSFT P/E premium/(discount) to peer median</t>
  </si>
  <si>
    <t xml:space="preserve">Peer median LTM revenue growth</t>
  </si>
  <si>
    <t xml:space="preserve">Peer median EBITDA margin</t>
  </si>
  <si>
    <t xml:space="preserve">NOTES &amp; METHODOLOGY</t>
  </si>
  <si>
    <t xml:space="preserve">Data: SEC XBRL standardized financials via stock-data MCP (get_financials); prices/market caps via stock-data get_quote (Yahoo, close 2026-10-14).</t>
  </si>
  <si>
    <t xml:space="preserve">LTM = sum of last four reported quarters; prior LTM = the four quarters before. Fiscal year ends differ (AAPL Sep, ORCL May, MSFT Jun, others Dec).</t>
  </si>
  <si>
    <t xml:space="preserve">EBITDA = Operating income (EBIT) + D&amp;A from the cash flow statement. GOOGL LTM D&amp;A is an estimate (see cell comment).</t>
  </si>
  <si>
    <t xml:space="preserve">EV = market cap - cash &amp; current marketable securities + total debt (operating and finance lease liabilities excluded for all companies).</t>
  </si>
  <si>
    <t xml:space="preserve">P/E for GOOGL, AMZN is depressed by large unrealized equity-investment gains in 2026; META LTM includes a one-off tax charge. Use EV/EBITDA and EV/EBIT as the primary multiples.</t>
  </si>
  <si>
    <t xml:space="preserve">Statistics are calculated over the five peers only (MSFT excluded).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</si>
</sst>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"/>
    <numFmt numFmtId="167" formatCode="\$#,##0.00"/>
    <numFmt numFmtId="168" formatCode="#,##0.0"/>
    <numFmt numFmtId="169" formatCode="0.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BDD7EE"/>
      </patternFill>
    </fill>
    <fill>
      <patternFill patternType="solid">
        <fgColor rgb="FFF2F2F2"/>
        <bgColor rgb="FFFFFFFF"/>
      </patternFill>
    </fill>
    <fill>
      <patternFill patternType="solid">
        <fgColor rgb="FFBDD7EE"/>
        <bgColor rgb="FFD9E1F2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</row>
    <row r="6" customFormat="false" ht="15" hidden="false" customHeight="false" outlineLevel="0" collapsed="false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7" t="s">
        <v>17</v>
      </c>
    </row>
    <row r="7" customFormat="false" ht="15" hidden="false" customHeight="false" outlineLevel="0" collapsed="false">
      <c r="A7" s="8" t="s">
        <v>18</v>
      </c>
      <c r="B7" s="9" t="s">
        <v>19</v>
      </c>
      <c r="C7" s="9" t="s">
        <v>20</v>
      </c>
      <c r="D7" s="10" t="n">
        <v>331839</v>
      </c>
      <c r="E7" s="10" t="n">
        <v>281724</v>
      </c>
      <c r="F7" s="11" t="n">
        <f aca="false">D7/E7-1</f>
        <v>0.177886867998467</v>
      </c>
      <c r="G7" s="10" t="n">
        <v>225465</v>
      </c>
      <c r="H7" s="11" t="n">
        <f aca="false">IF(ISNUMBER(G7),G7/D7,"n/a")</f>
        <v>0.679440933705803</v>
      </c>
      <c r="I7" s="10" t="n">
        <v>155237</v>
      </c>
      <c r="J7" s="11" t="n">
        <f aca="false">I7/D7</f>
        <v>0.467808184089272</v>
      </c>
      <c r="K7" s="10" t="n">
        <v>39000</v>
      </c>
      <c r="L7" s="12" t="n">
        <f aca="false">I7+K7</f>
        <v>194237</v>
      </c>
      <c r="M7" s="11" t="n">
        <f aca="false">L7/D7</f>
        <v>0.585335057060804</v>
      </c>
      <c r="N7" s="13" t="n">
        <v>133749</v>
      </c>
    </row>
    <row r="8" customFormat="false" ht="15" hidden="false" customHeight="false" outlineLevel="0" collapsed="false">
      <c r="A8" s="14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5"/>
    </row>
    <row r="9" customFormat="false" ht="15" hidden="false" customHeight="false" outlineLevel="0" collapsed="false">
      <c r="A9" s="16" t="s">
        <v>21</v>
      </c>
      <c r="B9" s="9" t="s">
        <v>22</v>
      </c>
      <c r="C9" s="9" t="s">
        <v>20</v>
      </c>
      <c r="D9" s="10" t="n">
        <v>445867</v>
      </c>
      <c r="E9" s="10" t="n">
        <v>371399</v>
      </c>
      <c r="F9" s="11" t="n">
        <f aca="false">D9/E9-1</f>
        <v>0.200506732651407</v>
      </c>
      <c r="G9" s="10" t="n">
        <v>271517</v>
      </c>
      <c r="H9" s="11" t="n">
        <f aca="false">IF(ISNUMBER(G9),G9/D9,"n/a")</f>
        <v>0.6089641081309</v>
      </c>
      <c r="I9" s="10" t="n">
        <v>147628</v>
      </c>
      <c r="J9" s="11" t="n">
        <f aca="false">I9/D9</f>
        <v>0.331103221364219</v>
      </c>
      <c r="K9" s="10" t="n">
        <v>25086</v>
      </c>
      <c r="L9" s="12" t="n">
        <f aca="false">I9+K9</f>
        <v>172714</v>
      </c>
      <c r="M9" s="11" t="n">
        <f aca="false">L9/D9</f>
        <v>0.387366636239058</v>
      </c>
      <c r="N9" s="13" t="n">
        <v>244205</v>
      </c>
    </row>
    <row r="10" customFormat="false" ht="15" hidden="false" customHeight="false" outlineLevel="0" collapsed="false">
      <c r="A10" s="16" t="s">
        <v>23</v>
      </c>
      <c r="B10" s="9" t="s">
        <v>24</v>
      </c>
      <c r="C10" s="9" t="s">
        <v>20</v>
      </c>
      <c r="D10" s="10" t="n">
        <v>775680</v>
      </c>
      <c r="E10" s="10" t="n">
        <v>670038</v>
      </c>
      <c r="F10" s="11" t="n">
        <f aca="false">D10/E10-1</f>
        <v>0.157665684632812</v>
      </c>
      <c r="G10" s="10" t="n">
        <v>393810</v>
      </c>
      <c r="H10" s="11" t="n">
        <f aca="false">IF(ISNUMBER(G10),G10/D10,"n/a")</f>
        <v>0.507696472772277</v>
      </c>
      <c r="I10" s="10" t="n">
        <v>93712</v>
      </c>
      <c r="J10" s="11" t="n">
        <f aca="false">I10/D10</f>
        <v>0.120812706270627</v>
      </c>
      <c r="K10" s="10" t="n">
        <v>75200</v>
      </c>
      <c r="L10" s="12" t="n">
        <f aca="false">I10+K10</f>
        <v>168912</v>
      </c>
      <c r="M10" s="11" t="n">
        <f aca="false">L10/D10</f>
        <v>0.217759900990099</v>
      </c>
      <c r="N10" s="13" t="n">
        <v>135281</v>
      </c>
    </row>
    <row r="11" customFormat="false" ht="15" hidden="false" customHeight="false" outlineLevel="0" collapsed="false">
      <c r="A11" s="16" t="s">
        <v>25</v>
      </c>
      <c r="B11" s="9" t="s">
        <v>26</v>
      </c>
      <c r="C11" s="9" t="s">
        <v>20</v>
      </c>
      <c r="D11" s="10" t="n">
        <v>228247</v>
      </c>
      <c r="E11" s="10" t="n">
        <v>178804</v>
      </c>
      <c r="F11" s="11" t="n">
        <f aca="false">D11/E11-1</f>
        <v>0.276520659493076</v>
      </c>
      <c r="G11" s="10" t="n">
        <v>186587</v>
      </c>
      <c r="H11" s="11" t="n">
        <f aca="false">IF(ISNUMBER(G11),G11/D11,"n/a")</f>
        <v>0.81747843345148</v>
      </c>
      <c r="I11" s="10" t="n">
        <v>86927</v>
      </c>
      <c r="J11" s="11" t="n">
        <f aca="false">I11/D11</f>
        <v>0.380846188558886</v>
      </c>
      <c r="K11" s="10" t="n">
        <v>22729</v>
      </c>
      <c r="L11" s="12" t="n">
        <f aca="false">I11+K11</f>
        <v>109656</v>
      </c>
      <c r="M11" s="11" t="n">
        <f aca="false">L11/D11</f>
        <v>0.480426905939618</v>
      </c>
      <c r="N11" s="13" t="n">
        <v>68098</v>
      </c>
    </row>
    <row r="12" customFormat="false" ht="15" hidden="false" customHeight="false" outlineLevel="0" collapsed="false">
      <c r="A12" s="16" t="s">
        <v>27</v>
      </c>
      <c r="B12" s="9" t="s">
        <v>28</v>
      </c>
      <c r="C12" s="9" t="s">
        <v>29</v>
      </c>
      <c r="D12" s="10" t="n">
        <v>466823</v>
      </c>
      <c r="E12" s="10" t="n">
        <v>408625</v>
      </c>
      <c r="F12" s="11" t="n">
        <f aca="false">D12/E12-1</f>
        <v>0.142423982869379</v>
      </c>
      <c r="G12" s="10" t="n">
        <v>227123</v>
      </c>
      <c r="H12" s="11" t="n">
        <f aca="false">IF(ISNUMBER(G12),G12/D12,"n/a")</f>
        <v>0.48652915559002</v>
      </c>
      <c r="I12" s="10" t="n">
        <v>154859</v>
      </c>
      <c r="J12" s="11" t="n">
        <f aca="false">I12/D12</f>
        <v>0.331729584874781</v>
      </c>
      <c r="K12" s="10" t="n">
        <v>13100</v>
      </c>
      <c r="L12" s="12" t="n">
        <f aca="false">I12+K12</f>
        <v>167959</v>
      </c>
      <c r="M12" s="11" t="n">
        <f aca="false">L12/D12</f>
        <v>0.359791612666899</v>
      </c>
      <c r="N12" s="13" t="n">
        <v>128930</v>
      </c>
    </row>
    <row r="13" customFormat="false" ht="15" hidden="false" customHeight="false" outlineLevel="0" collapsed="false">
      <c r="A13" s="16" t="s">
        <v>30</v>
      </c>
      <c r="B13" s="9" t="s">
        <v>31</v>
      </c>
      <c r="C13" s="9" t="s">
        <v>32</v>
      </c>
      <c r="D13" s="10" t="n">
        <v>71777</v>
      </c>
      <c r="E13" s="10" t="n">
        <v>59018</v>
      </c>
      <c r="F13" s="11" t="n">
        <f aca="false">D13/E13-1</f>
        <v>0.216188281541225</v>
      </c>
      <c r="G13" s="17" t="s">
        <v>33</v>
      </c>
      <c r="H13" s="11" t="str">
        <f aca="false">IF(ISNUMBER(G13),G13/D13,"n/a")</f>
        <v>n/a</v>
      </c>
      <c r="I13" s="10" t="n">
        <v>23056</v>
      </c>
      <c r="J13" s="11" t="n">
        <f aca="false">I13/D13</f>
        <v>0.321217102971704</v>
      </c>
      <c r="K13" s="10" t="n">
        <v>10881</v>
      </c>
      <c r="L13" s="12" t="n">
        <f aca="false">I13+K13</f>
        <v>33937</v>
      </c>
      <c r="M13" s="11" t="n">
        <f aca="false">L13/D13</f>
        <v>0.472811624893768</v>
      </c>
      <c r="N13" s="13" t="n">
        <v>18920</v>
      </c>
    </row>
    <row r="14" customFormat="false" ht="15" hidden="false" customHeight="false" outlineLevel="0" collapsed="false">
      <c r="A14" s="14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5"/>
    </row>
    <row r="15" customFormat="false" ht="15" hidden="false" customHeight="false" outlineLevel="0" collapsed="false">
      <c r="A15" s="18" t="s">
        <v>34</v>
      </c>
      <c r="B15" s="19"/>
      <c r="C15" s="19"/>
      <c r="D15" s="19"/>
      <c r="E15" s="19"/>
      <c r="F15" s="20" t="n">
        <f aca="false">MAX(F9:F13)</f>
        <v>0.276520659493076</v>
      </c>
      <c r="G15" s="19"/>
      <c r="H15" s="20" t="n">
        <f aca="false">MAX(H9:H13)</f>
        <v>0.81747843345148</v>
      </c>
      <c r="I15" s="19"/>
      <c r="J15" s="20" t="n">
        <f aca="false">MAX(J9:J13)</f>
        <v>0.380846188558886</v>
      </c>
      <c r="K15" s="19"/>
      <c r="L15" s="19"/>
      <c r="M15" s="20" t="n">
        <f aca="false">MAX(M9:M13)</f>
        <v>0.480426905939618</v>
      </c>
      <c r="N15" s="21"/>
    </row>
    <row r="16" customFormat="false" ht="15" hidden="false" customHeight="false" outlineLevel="0" collapsed="false">
      <c r="A16" s="18" t="s">
        <v>35</v>
      </c>
      <c r="B16" s="19"/>
      <c r="C16" s="19"/>
      <c r="D16" s="19"/>
      <c r="E16" s="19"/>
      <c r="F16" s="20" t="n">
        <f aca="false">QUARTILE(F9:F13,3)</f>
        <v>0.216188281541225</v>
      </c>
      <c r="G16" s="19"/>
      <c r="H16" s="20" t="n">
        <f aca="false">QUARTILE(H9:H13,3)</f>
        <v>0.661092689461045</v>
      </c>
      <c r="I16" s="19"/>
      <c r="J16" s="20" t="n">
        <f aca="false">QUARTILE(J9:J13,3)</f>
        <v>0.331729584874781</v>
      </c>
      <c r="K16" s="19"/>
      <c r="L16" s="19"/>
      <c r="M16" s="20" t="n">
        <f aca="false">QUARTILE(M9:M13,3)</f>
        <v>0.472811624893768</v>
      </c>
      <c r="N16" s="21"/>
    </row>
    <row r="17" customFormat="false" ht="15" hidden="false" customHeight="false" outlineLevel="0" collapsed="false">
      <c r="A17" s="18" t="s">
        <v>36</v>
      </c>
      <c r="B17" s="19"/>
      <c r="C17" s="19"/>
      <c r="D17" s="19"/>
      <c r="E17" s="19"/>
      <c r="F17" s="20" t="n">
        <f aca="false">MEDIAN(F9:F13)</f>
        <v>0.200506732651407</v>
      </c>
      <c r="G17" s="19"/>
      <c r="H17" s="20" t="n">
        <f aca="false">MEDIAN(H9:H13)</f>
        <v>0.558330290451589</v>
      </c>
      <c r="I17" s="19"/>
      <c r="J17" s="20" t="n">
        <f aca="false">MEDIAN(J9:J13)</f>
        <v>0.331103221364219</v>
      </c>
      <c r="K17" s="19"/>
      <c r="L17" s="19"/>
      <c r="M17" s="20" t="n">
        <f aca="false">MEDIAN(M9:M13)</f>
        <v>0.387366636239058</v>
      </c>
      <c r="N17" s="21"/>
    </row>
    <row r="18" customFormat="false" ht="15" hidden="false" customHeight="false" outlineLevel="0" collapsed="false">
      <c r="A18" s="18" t="s">
        <v>37</v>
      </c>
      <c r="B18" s="19"/>
      <c r="C18" s="19"/>
      <c r="D18" s="19"/>
      <c r="E18" s="19"/>
      <c r="F18" s="20" t="n">
        <f aca="false">QUARTILE(F9:F13,1)</f>
        <v>0.157665684632812</v>
      </c>
      <c r="G18" s="19"/>
      <c r="H18" s="20" t="n">
        <f aca="false">QUARTILE(H9:H13,1)</f>
        <v>0.502404643476713</v>
      </c>
      <c r="I18" s="19"/>
      <c r="J18" s="20" t="n">
        <f aca="false">QUARTILE(J9:J13,1)</f>
        <v>0.321217102971704</v>
      </c>
      <c r="K18" s="19"/>
      <c r="L18" s="19"/>
      <c r="M18" s="20" t="n">
        <f aca="false">QUARTILE(M9:M13,1)</f>
        <v>0.359791612666899</v>
      </c>
      <c r="N18" s="21"/>
    </row>
    <row r="19" customFormat="false" ht="15" hidden="false" customHeight="false" outlineLevel="0" collapsed="false">
      <c r="A19" s="22" t="s">
        <v>38</v>
      </c>
      <c r="B19" s="23"/>
      <c r="C19" s="23"/>
      <c r="D19" s="23"/>
      <c r="E19" s="23"/>
      <c r="F19" s="24" t="n">
        <f aca="false">MIN(F9:F13)</f>
        <v>0.142423982869379</v>
      </c>
      <c r="G19" s="23"/>
      <c r="H19" s="24" t="n">
        <f aca="false">MIN(H9:H13)</f>
        <v>0.48652915559002</v>
      </c>
      <c r="I19" s="23"/>
      <c r="J19" s="24" t="n">
        <f aca="false">MIN(J9:J13)</f>
        <v>0.120812706270627</v>
      </c>
      <c r="K19" s="23"/>
      <c r="L19" s="23"/>
      <c r="M19" s="24" t="n">
        <f aca="false">MIN(M9:M13)</f>
        <v>0.217759900990099</v>
      </c>
      <c r="N19" s="25"/>
    </row>
    <row r="22" customFormat="false" ht="15" hidden="false" customHeight="false" outlineLevel="0" collapsed="false">
      <c r="A22" s="2" t="s">
        <v>39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</row>
    <row r="23" customFormat="false" ht="15" hidden="false" customHeight="false" outlineLevel="0" collapsed="false">
      <c r="A23" s="5" t="s">
        <v>4</v>
      </c>
      <c r="B23" s="6" t="s">
        <v>5</v>
      </c>
      <c r="C23" s="6" t="s">
        <v>40</v>
      </c>
      <c r="D23" s="6" t="s">
        <v>41</v>
      </c>
      <c r="E23" s="6" t="s">
        <v>42</v>
      </c>
      <c r="F23" s="6" t="s">
        <v>43</v>
      </c>
      <c r="G23" s="6" t="s">
        <v>44</v>
      </c>
      <c r="H23" s="6" t="s">
        <v>45</v>
      </c>
      <c r="I23" s="6" t="s">
        <v>46</v>
      </c>
      <c r="J23" s="6" t="s">
        <v>47</v>
      </c>
      <c r="K23" s="6" t="s">
        <v>48</v>
      </c>
      <c r="L23" s="6" t="s">
        <v>49</v>
      </c>
      <c r="M23" s="6" t="s">
        <v>50</v>
      </c>
      <c r="N23" s="7"/>
    </row>
    <row r="24" customFormat="false" ht="15" hidden="false" customHeight="false" outlineLevel="0" collapsed="false">
      <c r="A24" s="14" t="str">
        <f aca="false">A7</f>
        <v>Microsoft (target)</v>
      </c>
      <c r="B24" s="9" t="str">
        <f aca="false">B7</f>
        <v>MSFT</v>
      </c>
      <c r="C24" s="26" t="n">
        <v>533.69</v>
      </c>
      <c r="D24" s="27" t="n">
        <v>7425.5</v>
      </c>
      <c r="E24" s="12" t="n">
        <f aca="false">C24*D24</f>
        <v>3962915.095</v>
      </c>
      <c r="F24" s="10" t="n">
        <v>76843</v>
      </c>
      <c r="G24" s="10" t="n">
        <v>40294</v>
      </c>
      <c r="H24" s="12" t="n">
        <f aca="false">E24-F24+G24</f>
        <v>3926366.095</v>
      </c>
      <c r="I24" s="28" t="n">
        <f aca="false">H24/D7</f>
        <v>11.8321417765844</v>
      </c>
      <c r="J24" s="28" t="n">
        <f aca="false">H24/L7</f>
        <v>20.2143056935599</v>
      </c>
      <c r="K24" s="28" t="n">
        <f aca="false">H24/I7</f>
        <v>25.2927207753306</v>
      </c>
      <c r="L24" s="28" t="n">
        <f aca="false">E24/N7</f>
        <v>29.6294932672394</v>
      </c>
      <c r="M24" s="9"/>
      <c r="N24" s="15"/>
    </row>
    <row r="25" customFormat="false" ht="15" hidden="false" customHeight="false" outlineLevel="0" collapsed="false">
      <c r="A25" s="14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5"/>
    </row>
    <row r="26" customFormat="false" ht="15" hidden="false" customHeight="false" outlineLevel="0" collapsed="false">
      <c r="A26" s="14" t="str">
        <f aca="false">A9</f>
        <v>Alphabet</v>
      </c>
      <c r="B26" s="9" t="str">
        <f aca="false">B9</f>
        <v>GOOGL</v>
      </c>
      <c r="C26" s="26" t="n">
        <v>347.64</v>
      </c>
      <c r="D26" s="27" t="n">
        <v>12229.9</v>
      </c>
      <c r="E26" s="12" t="n">
        <f aca="false">C26*D26</f>
        <v>4251602.436</v>
      </c>
      <c r="F26" s="10" t="n">
        <v>242474</v>
      </c>
      <c r="G26" s="10" t="n">
        <v>100164</v>
      </c>
      <c r="H26" s="12" t="n">
        <f aca="false">E26-F26+G26</f>
        <v>4109292.436</v>
      </c>
      <c r="I26" s="28" t="n">
        <f aca="false">H26/D9</f>
        <v>9.21640856129743</v>
      </c>
      <c r="J26" s="28" t="n">
        <f aca="false">H26/L9</f>
        <v>23.7924686823303</v>
      </c>
      <c r="K26" s="28" t="n">
        <f aca="false">H26/I9</f>
        <v>27.8354542227762</v>
      </c>
      <c r="L26" s="28" t="n">
        <f aca="false">E26/N9</f>
        <v>17.4099729161975</v>
      </c>
      <c r="M26" s="9" t="s">
        <v>51</v>
      </c>
      <c r="N26" s="15"/>
    </row>
    <row r="27" customFormat="false" ht="15" hidden="false" customHeight="false" outlineLevel="0" collapsed="false">
      <c r="A27" s="14" t="str">
        <f aca="false">A10</f>
        <v>Amazon</v>
      </c>
      <c r="B27" s="9" t="str">
        <f aca="false">B10</f>
        <v>AMZN</v>
      </c>
      <c r="C27" s="26" t="n">
        <v>254.08</v>
      </c>
      <c r="D27" s="27" t="n">
        <v>10786.3</v>
      </c>
      <c r="E27" s="12" t="n">
        <f aca="false">C27*D27</f>
        <v>2740583.104</v>
      </c>
      <c r="F27" s="10" t="n">
        <v>122988</v>
      </c>
      <c r="G27" s="10" t="n">
        <v>132224</v>
      </c>
      <c r="H27" s="12" t="n">
        <f aca="false">E27-F27+G27</f>
        <v>2749819.104</v>
      </c>
      <c r="I27" s="28" t="n">
        <f aca="false">H27/D10</f>
        <v>3.54504319306931</v>
      </c>
      <c r="J27" s="28" t="n">
        <f aca="false">H27/L10</f>
        <v>16.2795959079284</v>
      </c>
      <c r="K27" s="28" t="n">
        <f aca="false">H27/I10</f>
        <v>29.3432975926242</v>
      </c>
      <c r="L27" s="28" t="n">
        <f aca="false">E27/N10</f>
        <v>20.2584480008279</v>
      </c>
      <c r="M27" s="9" t="s">
        <v>52</v>
      </c>
      <c r="N27" s="15"/>
    </row>
    <row r="28" customFormat="false" ht="15" hidden="false" customHeight="false" outlineLevel="0" collapsed="false">
      <c r="A28" s="14" t="str">
        <f aca="false">A11</f>
        <v>Meta Platforms</v>
      </c>
      <c r="B28" s="9" t="str">
        <f aca="false">B11</f>
        <v>META</v>
      </c>
      <c r="C28" s="26" t="n">
        <v>737.54</v>
      </c>
      <c r="D28" s="27" t="n">
        <v>2547.5</v>
      </c>
      <c r="E28" s="12" t="n">
        <f aca="false">C28*D28</f>
        <v>1878883.15</v>
      </c>
      <c r="F28" s="10" t="n">
        <v>90260</v>
      </c>
      <c r="G28" s="10" t="n">
        <v>83664</v>
      </c>
      <c r="H28" s="12" t="n">
        <f aca="false">E28-F28+G28</f>
        <v>1872287.15</v>
      </c>
      <c r="I28" s="28" t="n">
        <f aca="false">H28/D11</f>
        <v>8.20289927140335</v>
      </c>
      <c r="J28" s="28" t="n">
        <f aca="false">H28/L11</f>
        <v>17.074187914934</v>
      </c>
      <c r="K28" s="28" t="n">
        <f aca="false">H28/I11</f>
        <v>21.5386145846515</v>
      </c>
      <c r="L28" s="28" t="n">
        <f aca="false">E28/N11</f>
        <v>27.5908712443831</v>
      </c>
      <c r="M28" s="9" t="s">
        <v>53</v>
      </c>
      <c r="N28" s="15"/>
    </row>
    <row r="29" customFormat="false" ht="15" hidden="false" customHeight="false" outlineLevel="0" collapsed="false">
      <c r="A29" s="14" t="str">
        <f aca="false">A12</f>
        <v>Apple</v>
      </c>
      <c r="B29" s="9" t="str">
        <f aca="false">B12</f>
        <v>AAPL</v>
      </c>
      <c r="C29" s="26" t="n">
        <v>342.96</v>
      </c>
      <c r="D29" s="27" t="n">
        <v>14594.2</v>
      </c>
      <c r="E29" s="12" t="n">
        <f aca="false">C29*D29</f>
        <v>5005226.832</v>
      </c>
      <c r="F29" s="10" t="n">
        <v>62399</v>
      </c>
      <c r="G29" s="10" t="n">
        <v>82347</v>
      </c>
      <c r="H29" s="12" t="n">
        <f aca="false">E29-F29+G29</f>
        <v>5025174.832</v>
      </c>
      <c r="I29" s="28" t="n">
        <f aca="false">H29/D12</f>
        <v>10.76462563327</v>
      </c>
      <c r="J29" s="28" t="n">
        <f aca="false">H29/L12</f>
        <v>29.9190566269149</v>
      </c>
      <c r="K29" s="28" t="n">
        <f aca="false">H29/I12</f>
        <v>32.4500018210114</v>
      </c>
      <c r="L29" s="28" t="n">
        <f aca="false">E29/N12</f>
        <v>38.8212738074924</v>
      </c>
      <c r="M29" s="9"/>
      <c r="N29" s="15"/>
    </row>
    <row r="30" customFormat="false" ht="15" hidden="false" customHeight="false" outlineLevel="0" collapsed="false">
      <c r="A30" s="14" t="str">
        <f aca="false">A13</f>
        <v>Oracle</v>
      </c>
      <c r="B30" s="9" t="str">
        <f aca="false">B13</f>
        <v>ORCL</v>
      </c>
      <c r="C30" s="26" t="n">
        <v>130.55</v>
      </c>
      <c r="D30" s="27" t="n">
        <v>3031.5</v>
      </c>
      <c r="E30" s="12" t="n">
        <f aca="false">C30*D30</f>
        <v>395762.325</v>
      </c>
      <c r="F30" s="10" t="n">
        <v>37077</v>
      </c>
      <c r="G30" s="10" t="n">
        <v>125337</v>
      </c>
      <c r="H30" s="12" t="n">
        <f aca="false">E30-F30+G30</f>
        <v>484022.325</v>
      </c>
      <c r="I30" s="28" t="n">
        <f aca="false">H30/D13</f>
        <v>6.74341815623389</v>
      </c>
      <c r="J30" s="28" t="n">
        <f aca="false">H30/L13</f>
        <v>14.2623780829184</v>
      </c>
      <c r="K30" s="28" t="n">
        <f aca="false">H30/I13</f>
        <v>20.9933347068008</v>
      </c>
      <c r="L30" s="28" t="n">
        <f aca="false">E30/N13</f>
        <v>20.9176704545455</v>
      </c>
      <c r="M30" s="9"/>
      <c r="N30" s="15"/>
    </row>
    <row r="31" customFormat="false" ht="15" hidden="false" customHeight="false" outlineLevel="0" collapsed="false">
      <c r="A31" s="14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15"/>
    </row>
    <row r="32" customFormat="false" ht="15" hidden="false" customHeight="false" outlineLevel="0" collapsed="false">
      <c r="A32" s="18" t="s">
        <v>34</v>
      </c>
      <c r="B32" s="19"/>
      <c r="C32" s="19"/>
      <c r="D32" s="19"/>
      <c r="E32" s="19"/>
      <c r="F32" s="19"/>
      <c r="G32" s="19"/>
      <c r="H32" s="19"/>
      <c r="I32" s="29" t="n">
        <f aca="false">MAX(I26:I30)</f>
        <v>10.76462563327</v>
      </c>
      <c r="J32" s="29" t="n">
        <f aca="false">MAX(J26:J30)</f>
        <v>29.9190566269149</v>
      </c>
      <c r="K32" s="29" t="n">
        <f aca="false">MAX(K26:K30)</f>
        <v>32.4500018210114</v>
      </c>
      <c r="L32" s="29" t="n">
        <f aca="false">MAX(L26:L30)</f>
        <v>38.8212738074924</v>
      </c>
      <c r="M32" s="19"/>
      <c r="N32" s="21"/>
    </row>
    <row r="33" customFormat="false" ht="15" hidden="false" customHeight="false" outlineLevel="0" collapsed="false">
      <c r="A33" s="18" t="s">
        <v>35</v>
      </c>
      <c r="B33" s="19"/>
      <c r="C33" s="19"/>
      <c r="D33" s="19"/>
      <c r="E33" s="19"/>
      <c r="F33" s="19"/>
      <c r="G33" s="19"/>
      <c r="H33" s="19"/>
      <c r="I33" s="29" t="n">
        <f aca="false">QUARTILE(I26:I30,3)</f>
        <v>9.21640856129743</v>
      </c>
      <c r="J33" s="29" t="n">
        <f aca="false">QUARTILE(J26:J30,3)</f>
        <v>23.7924686823303</v>
      </c>
      <c r="K33" s="29" t="n">
        <f aca="false">QUARTILE(K26:K30,3)</f>
        <v>29.3432975926242</v>
      </c>
      <c r="L33" s="29" t="n">
        <f aca="false">QUARTILE(L26:L30,3)</f>
        <v>27.5908712443831</v>
      </c>
      <c r="M33" s="19"/>
      <c r="N33" s="21"/>
    </row>
    <row r="34" customFormat="false" ht="15" hidden="false" customHeight="false" outlineLevel="0" collapsed="false">
      <c r="A34" s="18" t="s">
        <v>36</v>
      </c>
      <c r="B34" s="19"/>
      <c r="C34" s="19"/>
      <c r="D34" s="19"/>
      <c r="E34" s="19"/>
      <c r="F34" s="19"/>
      <c r="G34" s="19"/>
      <c r="H34" s="19"/>
      <c r="I34" s="29" t="n">
        <f aca="false">MEDIAN(I26:I30)</f>
        <v>8.20289927140335</v>
      </c>
      <c r="J34" s="30" t="n">
        <f aca="false">MEDIAN(J26:J30)</f>
        <v>17.074187914934</v>
      </c>
      <c r="K34" s="29" t="n">
        <f aca="false">MEDIAN(K26:K30)</f>
        <v>27.8354542227762</v>
      </c>
      <c r="L34" s="29" t="n">
        <f aca="false">MEDIAN(L26:L30)</f>
        <v>20.9176704545455</v>
      </c>
      <c r="M34" s="19"/>
      <c r="N34" s="21"/>
    </row>
    <row r="35" customFormat="false" ht="15" hidden="false" customHeight="false" outlineLevel="0" collapsed="false">
      <c r="A35" s="18" t="s">
        <v>37</v>
      </c>
      <c r="B35" s="19"/>
      <c r="C35" s="19"/>
      <c r="D35" s="19"/>
      <c r="E35" s="19"/>
      <c r="F35" s="19"/>
      <c r="G35" s="19"/>
      <c r="H35" s="19"/>
      <c r="I35" s="29" t="n">
        <f aca="false">QUARTILE(I26:I30,1)</f>
        <v>6.74341815623389</v>
      </c>
      <c r="J35" s="29" t="n">
        <f aca="false">QUARTILE(J26:J30,1)</f>
        <v>16.2795959079284</v>
      </c>
      <c r="K35" s="29" t="n">
        <f aca="false">QUARTILE(K26:K30,1)</f>
        <v>21.5386145846515</v>
      </c>
      <c r="L35" s="29" t="n">
        <f aca="false">QUARTILE(L26:L30,1)</f>
        <v>20.2584480008279</v>
      </c>
      <c r="M35" s="19"/>
      <c r="N35" s="21"/>
    </row>
    <row r="36" customFormat="false" ht="15" hidden="false" customHeight="false" outlineLevel="0" collapsed="false">
      <c r="A36" s="22" t="s">
        <v>38</v>
      </c>
      <c r="B36" s="23"/>
      <c r="C36" s="23"/>
      <c r="D36" s="23"/>
      <c r="E36" s="23"/>
      <c r="F36" s="23"/>
      <c r="G36" s="23"/>
      <c r="H36" s="23"/>
      <c r="I36" s="31" t="n">
        <f aca="false">MIN(I26:I30)</f>
        <v>3.54504319306931</v>
      </c>
      <c r="J36" s="31" t="n">
        <f aca="false">MIN(J26:J30)</f>
        <v>14.2623780829184</v>
      </c>
      <c r="K36" s="31" t="n">
        <f aca="false">MIN(K26:K30)</f>
        <v>20.9933347068008</v>
      </c>
      <c r="L36" s="31" t="n">
        <f aca="false">MIN(L26:L30)</f>
        <v>17.4099729161975</v>
      </c>
      <c r="M36" s="23"/>
      <c r="N36" s="25"/>
    </row>
    <row r="38" customFormat="false" ht="15" hidden="false" customHeight="false" outlineLevel="0" collapsed="false">
      <c r="A38" s="0" t="s">
        <v>54</v>
      </c>
      <c r="J38" s="32" t="n">
        <f aca="false">J24/J34-1</f>
        <v>0.18391022719619</v>
      </c>
    </row>
    <row r="39" customFormat="false" ht="15" hidden="false" customHeight="false" outlineLevel="0" collapsed="false">
      <c r="A39" s="0" t="s">
        <v>55</v>
      </c>
      <c r="L39" s="32" t="n">
        <f aca="false">L24/L34-1</f>
        <v>0.416481502164637</v>
      </c>
    </row>
    <row r="40" customFormat="false" ht="15" hidden="false" customHeight="false" outlineLevel="0" collapsed="false">
      <c r="A40" s="0" t="s">
        <v>56</v>
      </c>
      <c r="F40" s="32" t="n">
        <f aca="false">F17</f>
        <v>0.200506732651407</v>
      </c>
    </row>
    <row r="41" customFormat="false" ht="15" hidden="false" customHeight="false" outlineLevel="0" collapsed="false">
      <c r="A41" s="0" t="s">
        <v>57</v>
      </c>
      <c r="M41" s="32" t="n">
        <f aca="false">M17</f>
        <v>0.387366636239058</v>
      </c>
    </row>
    <row r="44" customFormat="false" ht="15" hidden="false" customHeight="false" outlineLevel="0" collapsed="false">
      <c r="A44" s="33" t="s">
        <v>58</v>
      </c>
    </row>
    <row r="45" customFormat="false" ht="15" hidden="false" customHeight="false" outlineLevel="0" collapsed="false">
      <c r="A45" s="34" t="s">
        <v>59</v>
      </c>
    </row>
    <row r="46" customFormat="false" ht="15" hidden="false" customHeight="false" outlineLevel="0" collapsed="false">
      <c r="A46" s="34" t="s">
        <v>60</v>
      </c>
    </row>
    <row r="47" customFormat="false" ht="15" hidden="false" customHeight="false" outlineLevel="0" collapsed="false">
      <c r="A47" s="34" t="s">
        <v>61</v>
      </c>
    </row>
    <row r="48" customFormat="false" ht="15" hidden="false" customHeight="false" outlineLevel="0" collapsed="false">
      <c r="A48" s="34" t="s">
        <v>62</v>
      </c>
    </row>
    <row r="49" customFormat="false" ht="15" hidden="false" customHeight="false" outlineLevel="0" collapsed="false">
      <c r="A49" s="34" t="s">
        <v>63</v>
      </c>
    </row>
    <row r="50" customFormat="false" ht="15" hidden="false" customHeight="false" outlineLevel="0" collapsed="false">
      <c r="A50" s="34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2026-10-15T02:11:52Z</dcterms:created>
  <dc:creator>openpyxl</dc:creator>
  <dc:description/>
  <dc:language>en-US</dc:language>
  <cp:lastModifiedBy/>
  <dcterms:modified xsi:type="dcterms:W3CDTF">2026-10-15T02:11:52Z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