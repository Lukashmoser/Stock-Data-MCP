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4.vml" ContentType="application/vnd.openxmlformats-officedocument.vmlDrawing"/>
  <Override PartName="/xl/comments2.xml" ContentType="application/vnd.openxmlformats-officedocument.spreadsheetml.comments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CF" sheetId="1" state="visible" r:id="rId3"/>
    <sheet name="WACC" sheetId="2" state="visible" r:id="rId4"/>
    <sheet name="Beta" sheetId="3" state="visible" r:id="rId5"/>
    <sheet name="Comp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A142" authorId="0">
      <text>
        <r>
          <rPr>
            <sz val="10"/>
            <rFont val="Arial"/>
            <family val="2"/>
          </rPr>
          <t xml:space="preserve">Assumption: growth shift added to every projection year's selected-case revenue growth.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4</xdr:rowOff>
              </xdr:from>
              <xdr:to>
                <xdr:col>1</xdr:col>
                <xdr:colOff>-132</xdr:colOff>
                <xdr:row>4</xdr:row>
                <xdr:rowOff>4</xdr:rowOff>
              </xdr:to>
            </anchor>
          </commentPr>
        </mc:Choice>
        <mc:Fallback/>
      </mc:AlternateContent>
    </comment>
    <comment ref="B4" authorId="0">
      <text>
        <r>
          <rPr>
            <sz val="10"/>
            <rFont val="Arial"/>
            <family val="2"/>
          </rPr>
          <t xml:space="preserve">Assumption: case selector. 1=Bear, 2=Base, 3=Bull. Drives the 'Selected case' block and all projections.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4</xdr:rowOff>
              </xdr:from>
              <xdr:to>
                <xdr:col>1</xdr:col>
                <xdr:colOff>-132</xdr:colOff>
                <xdr:row>4</xdr:row>
                <xdr:rowOff>19</xdr:rowOff>
              </xdr:to>
            </anchor>
          </commentPr>
        </mc:Choice>
        <mc:Fallback/>
      </mc:AlternateContent>
    </comment>
    <comment ref="B7" authorId="0">
      <text>
        <r>
          <rPr>
            <sz val="10"/>
            <rFont val="Arial"/>
            <family val="2"/>
          </rPr>
          <t xml:space="preserve">Source: stock-data get_quote MSFT (Yahoo Finance), fetched 2026-10-15T02:06Z (US close 2026-10-14)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4</xdr:rowOff>
              </xdr:from>
              <xdr:to>
                <xdr:col>1</xdr:col>
                <xdr:colOff>-132</xdr:colOff>
                <xdr:row>4</xdr:row>
                <xdr:rowOff>19</xdr:rowOff>
              </xdr:to>
            </anchor>
          </commentPr>
        </mc:Choice>
        <mc:Fallback/>
      </mc:AlternateContent>
    </comment>
    <comment ref="B8" authorId="0">
      <text>
        <r>
          <rPr>
            <sz val="10"/>
            <rFont val="Arial"/>
            <family val="2"/>
          </rPr>
          <t xml:space="preserve">Source: MSFT 10-K FY2026 (filed 2026-07-29) via stock-data get_financials - FY2026 weighted-average diluted shares 7,453M (cover page 2026-07-23: 7,425.5M basic outstanding)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4</xdr:rowOff>
              </xdr:from>
              <xdr:to>
                <xdr:col>1</xdr:col>
                <xdr:colOff>-132</xdr:colOff>
                <xdr:row>7</xdr:row>
                <xdr:rowOff>4</xdr:rowOff>
              </xdr:to>
            </anchor>
          </commentPr>
        </mc:Choice>
        <mc:Fallback/>
      </mc:AlternateContent>
    </comment>
    <comment ref="B10" authorId="0">
      <text>
        <r>
          <rPr>
            <sz val="10"/>
            <rFont val="Arial"/>
            <family val="2"/>
          </rPr>
          <t xml:space="preserve">Source: MSFT 10-K FY2026 balance sheet 2026-06-30 via stock-data get_financials: cash 20,935 + short-term investments 55,908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4</xdr:rowOff>
              </xdr:from>
              <xdr:to>
                <xdr:col>1</xdr:col>
                <xdr:colOff>-132</xdr:colOff>
                <xdr:row>5</xdr:row>
                <xdr:rowOff>14</xdr:rowOff>
              </xdr:to>
            </anchor>
          </commentPr>
        </mc:Choice>
        <mc:Fallback/>
      </mc:AlternateContent>
    </comment>
    <comment ref="B11" authorId="0">
      <text>
        <r>
          <rPr>
            <sz val="10"/>
            <rFont val="Arial"/>
            <family val="2"/>
          </rPr>
          <t xml:space="preserve">Source: MSFT 10-K FY2026 balance sheet 2026-06-30 via stock-data get_financials: current portion LTD 9,227 + LTD 31,067. Excludes finance/operating lease liabilities.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4</xdr:rowOff>
              </xdr:from>
              <xdr:to>
                <xdr:col>1</xdr:col>
                <xdr:colOff>-132</xdr:colOff>
                <xdr:row>7</xdr:row>
                <xdr:rowOff>4</xdr:rowOff>
              </xdr:to>
            </anchor>
          </commentPr>
        </mc:Choice>
        <mc:Fallback/>
      </mc:AlternateContent>
    </comment>
    <comment ref="B13" authorId="0">
      <text>
        <r>
          <rPr>
            <sz val="10"/>
            <rFont val="Arial"/>
            <family val="2"/>
          </rPr>
          <t xml:space="preserve">Assumption: 19.0%. FY2026 effective rate 19.4% (32,185/165,934), FY2025 17.6%; stock-data get_financials.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4</xdr:rowOff>
              </xdr:from>
              <xdr:to>
                <xdr:col>1</xdr:col>
                <xdr:colOff>-132</xdr:colOff>
                <xdr:row>4</xdr:row>
                <xdr:rowOff>19</xdr:rowOff>
              </xdr:to>
            </anchor>
          </commentPr>
        </mc:Choice>
        <mc:Fallback/>
      </mc:AlternateContent>
    </comment>
    <comment ref="B14" authorId="0">
      <text>
        <r>
          <rPr>
            <sz val="10"/>
            <rFont val="Arial"/>
            <family val="2"/>
          </rPr>
          <t xml:space="preserve">Assumption: 5% of incremental revenue (MSFT runs negative working capital via unearned revenue; conservative small use of cash).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4</xdr:rowOff>
              </xdr:from>
              <xdr:to>
                <xdr:col>1</xdr:col>
                <xdr:colOff>-132</xdr:colOff>
                <xdr:row>5</xdr:row>
                <xdr:rowOff>14</xdr:rowOff>
              </xdr:to>
            </anchor>
          </commentPr>
        </mc:Choice>
        <mc:Fallback/>
      </mc:AlternateContent>
    </comment>
    <comment ref="B17" authorId="0">
      <text>
        <r>
          <rPr>
            <sz val="10"/>
            <rFont val="Arial"/>
            <family val="2"/>
          </rPr>
          <t xml:space="preserve">Source: MSFT 10-K FY2026 via stock-data get_financials (eps_diluted FY2026)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4</xdr:rowOff>
              </xdr:from>
              <xdr:to>
                <xdr:col>1</xdr:col>
                <xdr:colOff>-132</xdr:colOff>
                <xdr:row>4</xdr:row>
                <xdr:rowOff>1</xdr:rowOff>
              </xdr:to>
            </anchor>
          </commentPr>
        </mc:Choice>
        <mc:Fallback/>
      </mc:AlternateContent>
    </comment>
    <comment ref="B58" authorId="0">
      <text>
        <r>
          <rPr>
            <sz val="10"/>
            <rFont val="Arial"/>
            <family val="2"/>
          </rPr>
          <t xml:space="preserve">Source: MSFT 10-K FY2024/FY2025/FY2026 via stock-data get_financials (annual income statement)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4</xdr:rowOff>
              </xdr:from>
              <xdr:to>
                <xdr:col>1</xdr:col>
                <xdr:colOff>-132</xdr:colOff>
                <xdr:row>4</xdr:row>
                <xdr:rowOff>4</xdr:rowOff>
              </xdr:to>
            </anchor>
          </commentPr>
        </mc:Choice>
        <mc:Fallback/>
      </mc:AlternateContent>
    </comment>
    <comment ref="B59" authorId="0">
      <text>
        <r>
          <rPr>
            <sz val="10"/>
            <rFont val="Arial"/>
            <family val="2"/>
          </rPr>
          <t xml:space="preserve">FY2023 revenue 211,915 per MSFT 10-K via stock-data get_financials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4</xdr:rowOff>
              </xdr:from>
              <xdr:to>
                <xdr:col>1</xdr:col>
                <xdr:colOff>-132</xdr:colOff>
                <xdr:row>4</xdr:row>
                <xdr:rowOff>1</xdr:rowOff>
              </xdr:to>
            </anchor>
          </commentPr>
        </mc:Choice>
        <mc:Fallback/>
      </mc:AlternateContent>
    </comment>
    <comment ref="B60" authorId="0">
      <text>
        <r>
          <rPr>
            <sz val="10"/>
            <rFont val="Arial"/>
            <family val="2"/>
          </rPr>
          <t xml:space="preserve">Source: MSFT 10-K FY2024/FY2025/FY2026 via stock-data get_financials (operating income)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4</xdr:rowOff>
              </xdr:from>
              <xdr:to>
                <xdr:col>1</xdr:col>
                <xdr:colOff>-132</xdr:colOff>
                <xdr:row>4</xdr:row>
                <xdr:rowOff>4</xdr:rowOff>
              </xdr:to>
            </anchor>
          </commentPr>
        </mc:Choice>
        <mc:Fallback/>
      </mc:AlternateContent>
    </comment>
    <comment ref="B64" authorId="0">
      <text>
        <r>
          <rPr>
            <sz val="10"/>
            <rFont val="Arial"/>
            <family val="2"/>
          </rPr>
          <t xml:space="preserve">D&amp;A ('Depreciation, amortization, and other'): FY2024 22,287 and FY2025 34,153 = model knowledge (10-K cash flow statement); FY2026 ~39,000 = stockanalysis.com / TIKR article 2026-09-29 (rounded, not verified). stock-data tool did not report this line.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4</xdr:rowOff>
              </xdr:from>
              <xdr:to>
                <xdr:col>1</xdr:col>
                <xdr:colOff>-132</xdr:colOff>
                <xdr:row>10</xdr:row>
                <xdr:rowOff>19</xdr:rowOff>
              </xdr:to>
            </anchor>
          </commentPr>
        </mc:Choice>
        <mc:Fallback/>
      </mc:AlternateContent>
    </comment>
    <comment ref="B66" authorId="0">
      <text>
        <r>
          <rPr>
            <sz val="10"/>
            <rFont val="Arial"/>
            <family val="2"/>
          </rPr>
          <t xml:space="preserve">Source: MSFT 10-K via stock-data get_financials (PaymentsToAcquirePropertyPlantAndEquipment; excludes finance leases)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4</xdr:rowOff>
              </xdr:from>
              <xdr:to>
                <xdr:col>1</xdr:col>
                <xdr:colOff>-132</xdr:colOff>
                <xdr:row>5</xdr:row>
                <xdr:rowOff>14</xdr:rowOff>
              </xdr:to>
            </anchor>
          </commentPr>
        </mc:Choice>
        <mc:Fallback/>
      </mc:AlternateContent>
    </comment>
    <comment ref="B70" authorId="0">
      <text>
        <r>
          <rPr>
            <sz val="10"/>
            <rFont val="Arial"/>
            <family val="2"/>
          </rPr>
          <t xml:space="preserve">Source: MSFT 10-K via stock-data get_financials (net cash from operations)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4</xdr:rowOff>
              </xdr:from>
              <xdr:to>
                <xdr:col>1</xdr:col>
                <xdr:colOff>-132</xdr:colOff>
                <xdr:row>4</xdr:row>
                <xdr:rowOff>1</xdr:rowOff>
              </xdr:to>
            </anchor>
          </commentPr>
        </mc:Choice>
        <mc:Fallback/>
      </mc:AlternateContent>
    </comment>
    <comment ref="B141" authorId="0">
      <text>
        <r>
          <rPr>
            <sz val="10"/>
            <rFont val="Arial"/>
            <family val="2"/>
          </rPr>
          <t xml:space="preserve">Assumption: margin shift added to every projection year's selected-case EBIT margin.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4</xdr:rowOff>
              </xdr:from>
              <xdr:to>
                <xdr:col>1</xdr:col>
                <xdr:colOff>-132</xdr:colOff>
                <xdr:row>4</xdr:row>
                <xdr:rowOff>4</xdr:rowOff>
              </xdr:to>
            </anchor>
          </commentPr>
        </mc:Choice>
        <mc:Fallback/>
      </mc:AlternateContent>
    </comment>
    <comment ref="C58" authorId="0">
      <text>
        <r>
          <rPr>
            <sz val="10"/>
            <rFont val="Arial"/>
            <family val="2"/>
          </rPr>
          <t xml:space="preserve">Source: MSFT 10-K FY2024/FY2025/FY2026 via stock-data get_financials (annual income statement)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4</xdr:rowOff>
              </xdr:from>
              <xdr:to>
                <xdr:col>1</xdr:col>
                <xdr:colOff>-132</xdr:colOff>
                <xdr:row>4</xdr:row>
                <xdr:rowOff>4</xdr:rowOff>
              </xdr:to>
            </anchor>
          </commentPr>
        </mc:Choice>
        <mc:Fallback/>
      </mc:AlternateContent>
    </comment>
    <comment ref="C60" authorId="0">
      <text>
        <r>
          <rPr>
            <sz val="10"/>
            <rFont val="Arial"/>
            <family val="2"/>
          </rPr>
          <t xml:space="preserve">Source: MSFT 10-K FY2024/FY2025/FY2026 via stock-data get_financials (operating income)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4</xdr:rowOff>
              </xdr:from>
              <xdr:to>
                <xdr:col>1</xdr:col>
                <xdr:colOff>-132</xdr:colOff>
                <xdr:row>4</xdr:row>
                <xdr:rowOff>4</xdr:rowOff>
              </xdr:to>
            </anchor>
          </commentPr>
        </mc:Choice>
        <mc:Fallback/>
      </mc:AlternateContent>
    </comment>
    <comment ref="C64" authorId="0">
      <text>
        <r>
          <rPr>
            <sz val="10"/>
            <rFont val="Arial"/>
            <family val="2"/>
          </rPr>
          <t xml:space="preserve">D&amp;A ('Depreciation, amortization, and other'): FY2024 22,287 and FY2025 34,153 = model knowledge (10-K cash flow statement); FY2026 ~39,000 = stockanalysis.com / TIKR article 2026-09-29 (rounded, not verified). stock-data tool did not report this line.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4</xdr:rowOff>
              </xdr:from>
              <xdr:to>
                <xdr:col>1</xdr:col>
                <xdr:colOff>-132</xdr:colOff>
                <xdr:row>10</xdr:row>
                <xdr:rowOff>19</xdr:rowOff>
              </xdr:to>
            </anchor>
          </commentPr>
        </mc:Choice>
        <mc:Fallback/>
      </mc:AlternateContent>
    </comment>
    <comment ref="C66" authorId="0">
      <text>
        <r>
          <rPr>
            <sz val="10"/>
            <rFont val="Arial"/>
            <family val="2"/>
          </rPr>
          <t xml:space="preserve">Source: MSFT 10-K via stock-data get_financials (PaymentsToAcquirePropertyPlantAndEquipment; excludes finance leases)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4</xdr:rowOff>
              </xdr:from>
              <xdr:to>
                <xdr:col>1</xdr:col>
                <xdr:colOff>-132</xdr:colOff>
                <xdr:row>5</xdr:row>
                <xdr:rowOff>14</xdr:rowOff>
              </xdr:to>
            </anchor>
          </commentPr>
        </mc:Choice>
        <mc:Fallback/>
      </mc:AlternateContent>
    </comment>
    <comment ref="C70" authorId="0">
      <text>
        <r>
          <rPr>
            <sz val="10"/>
            <rFont val="Arial"/>
            <family val="2"/>
          </rPr>
          <t xml:space="preserve">Source: MSFT 10-K via stock-data get_financials (net cash from operations)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4</xdr:rowOff>
              </xdr:from>
              <xdr:to>
                <xdr:col>1</xdr:col>
                <xdr:colOff>-132</xdr:colOff>
                <xdr:row>4</xdr:row>
                <xdr:rowOff>1</xdr:rowOff>
              </xdr:to>
            </anchor>
          </commentPr>
        </mc:Choice>
        <mc:Fallback/>
      </mc:AlternateContent>
    </comment>
    <comment ref="D58" authorId="0">
      <text>
        <r>
          <rPr>
            <sz val="10"/>
            <rFont val="Arial"/>
            <family val="2"/>
          </rPr>
          <t xml:space="preserve">Source: MSFT 10-K FY2024/FY2025/FY2026 via stock-data get_financials (annual income statement)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4</xdr:rowOff>
              </xdr:from>
              <xdr:to>
                <xdr:col>1</xdr:col>
                <xdr:colOff>-132</xdr:colOff>
                <xdr:row>4</xdr:row>
                <xdr:rowOff>4</xdr:rowOff>
              </xdr:to>
            </anchor>
          </commentPr>
        </mc:Choice>
        <mc:Fallback/>
      </mc:AlternateContent>
    </comment>
    <comment ref="D60" authorId="0">
      <text>
        <r>
          <rPr>
            <sz val="10"/>
            <rFont val="Arial"/>
            <family val="2"/>
          </rPr>
          <t xml:space="preserve">Source: MSFT 10-K FY2024/FY2025/FY2026 via stock-data get_financials (operating income)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4</xdr:rowOff>
              </xdr:from>
              <xdr:to>
                <xdr:col>1</xdr:col>
                <xdr:colOff>-132</xdr:colOff>
                <xdr:row>4</xdr:row>
                <xdr:rowOff>4</xdr:rowOff>
              </xdr:to>
            </anchor>
          </commentPr>
        </mc:Choice>
        <mc:Fallback/>
      </mc:AlternateContent>
    </comment>
    <comment ref="D64" authorId="0">
      <text>
        <r>
          <rPr>
            <sz val="10"/>
            <rFont val="Arial"/>
            <family val="2"/>
          </rPr>
          <t xml:space="preserve">D&amp;A ('Depreciation, amortization, and other'): FY2024 22,287 and FY2025 34,153 = model knowledge (10-K cash flow statement); FY2026 ~39,000 = stockanalysis.com / TIKR article 2026-09-29 (rounded, not verified). stock-data tool did not report this line.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4</xdr:rowOff>
              </xdr:from>
              <xdr:to>
                <xdr:col>1</xdr:col>
                <xdr:colOff>-132</xdr:colOff>
                <xdr:row>10</xdr:row>
                <xdr:rowOff>19</xdr:rowOff>
              </xdr:to>
            </anchor>
          </commentPr>
        </mc:Choice>
        <mc:Fallback/>
      </mc:AlternateContent>
    </comment>
    <comment ref="D66" authorId="0">
      <text>
        <r>
          <rPr>
            <sz val="10"/>
            <rFont val="Arial"/>
            <family val="2"/>
          </rPr>
          <t xml:space="preserve">Source: MSFT 10-K via stock-data get_financials (PaymentsToAcquirePropertyPlantAndEquipment; excludes finance leases)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4</xdr:rowOff>
              </xdr:from>
              <xdr:to>
                <xdr:col>1</xdr:col>
                <xdr:colOff>-132</xdr:colOff>
                <xdr:row>5</xdr:row>
                <xdr:rowOff>14</xdr:rowOff>
              </xdr:to>
            </anchor>
          </commentPr>
        </mc:Choice>
        <mc:Fallback/>
      </mc:AlternateContent>
    </comment>
    <comment ref="D70" authorId="0">
      <text>
        <r>
          <rPr>
            <sz val="10"/>
            <rFont val="Arial"/>
            <family val="2"/>
          </rPr>
          <t xml:space="preserve">Source: MSFT 10-K via stock-data get_financials (net cash from operations)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4</xdr:rowOff>
              </xdr:from>
              <xdr:to>
                <xdr:col>1</xdr:col>
                <xdr:colOff>-132</xdr:colOff>
                <xdr:row>4</xdr:row>
                <xdr:rowOff>1</xdr:rowOff>
              </xdr:to>
            </anchor>
          </commentPr>
        </mc:Choice>
        <mc:Fallback/>
      </mc:AlternateContent>
    </comment>
    <comment ref="E22" authorId="0">
      <text>
        <r>
          <rPr>
            <sz val="10"/>
            <rFont val="Arial"/>
            <family val="2"/>
          </rPr>
          <t xml:space="preserve">Assumption (Bear): revenue growth path. FY2026A growth 17.8%, FY2025A 14.9% (10-K). Peer median LTM growth ~20% (Comps). Fades toward terminal growth by FY2036.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4</xdr:rowOff>
              </xdr:from>
              <xdr:to>
                <xdr:col>1</xdr:col>
                <xdr:colOff>-132</xdr:colOff>
                <xdr:row>7</xdr:row>
                <xdr:rowOff>4</xdr:rowOff>
              </xdr:to>
            </anchor>
          </commentPr>
        </mc:Choice>
        <mc:Fallback/>
      </mc:AlternateContent>
    </comment>
    <comment ref="E23" authorId="0">
      <text>
        <r>
          <rPr>
            <sz val="10"/>
            <rFont val="Arial"/>
            <family val="2"/>
          </rPr>
          <t xml:space="preserve">Assumption (Bear): EBIT margin. FY2026A 46.8%, FY2025A 45.6%. Peer median EBIT margin lower; MSFT mix supports mid-40s with D&amp;A headwind from AI capex.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4</xdr:rowOff>
              </xdr:from>
              <xdr:to>
                <xdr:col>1</xdr:col>
                <xdr:colOff>-132</xdr:colOff>
                <xdr:row>7</xdr:row>
                <xdr:rowOff>4</xdr:rowOff>
              </xdr:to>
            </anchor>
          </commentPr>
        </mc:Choice>
        <mc:Fallback/>
      </mc:AlternateContent>
    </comment>
    <comment ref="E24" authorId="0">
      <text>
        <r>
          <rPr>
            <sz val="10"/>
            <rFont val="Arial"/>
            <family val="2"/>
          </rPr>
          <t xml:space="preserve">Assumption (Bear): D&amp;A % revenue. FY2026A ~11.8% (39,000 est.); rises as FY2025-26 AI capex is depreciated, partly offset by 15-&gt;25yr useful-life change from FY2027 (TIKR, 2026-09-29).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4</xdr:rowOff>
              </xdr:from>
              <xdr:to>
                <xdr:col>1</xdr:col>
                <xdr:colOff>-132</xdr:colOff>
                <xdr:row>7</xdr:row>
                <xdr:rowOff>19</xdr:rowOff>
              </xdr:to>
            </anchor>
          </commentPr>
        </mc:Choice>
        <mc:Fallback/>
      </mc:AlternateContent>
    </comment>
    <comment ref="E25" authorId="0">
      <text>
        <r>
          <rPr>
            <sz val="10"/>
            <rFont val="Arial"/>
            <family val="2"/>
          </rPr>
          <t xml:space="preserve">Assumption (Bear): cash capex % revenue. FY2026A 34.9% (115,948, 10-K); Q1 FY2027 spend guided &gt;$50B incl. leases (TIKR 2026-09-29). Normalises toward ~15% as AI build-out matures.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4</xdr:rowOff>
              </xdr:from>
              <xdr:to>
                <xdr:col>1</xdr:col>
                <xdr:colOff>-132</xdr:colOff>
                <xdr:row>7</xdr:row>
                <xdr:rowOff>19</xdr:rowOff>
              </xdr:to>
            </anchor>
          </commentPr>
        </mc:Choice>
        <mc:Fallback/>
      </mc:AlternateContent>
    </comment>
    <comment ref="E26" authorId="0">
      <text>
        <r>
          <rPr>
            <sz val="10"/>
            <rFont val="Arial"/>
            <family val="2"/>
          </rPr>
          <t xml:space="preserve">Assumption (Bear): adjustment added to base WACC from WACC sheet.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4</xdr:rowOff>
              </xdr:from>
              <xdr:to>
                <xdr:col>1</xdr:col>
                <xdr:colOff>-132</xdr:colOff>
                <xdr:row>4</xdr:row>
                <xdr:rowOff>1</xdr:rowOff>
              </xdr:to>
            </anchor>
          </commentPr>
        </mc:Choice>
        <mc:Fallback/>
      </mc:AlternateContent>
    </comment>
    <comment ref="E27" authorId="0">
      <text>
        <r>
          <rPr>
            <sz val="10"/>
            <rFont val="Arial"/>
            <family val="2"/>
          </rPr>
          <t xml:space="preserve">Assumption (Bear): perpetuity growth rate after FY2036.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4</xdr:rowOff>
              </xdr:from>
              <xdr:to>
                <xdr:col>1</xdr:col>
                <xdr:colOff>-132</xdr:colOff>
                <xdr:row>4</xdr:row>
                <xdr:rowOff>1</xdr:rowOff>
              </xdr:to>
            </anchor>
          </commentPr>
        </mc:Choice>
        <mc:Fallback/>
      </mc:AlternateContent>
    </comment>
    <comment ref="E31" authorId="0">
      <text>
        <r>
          <rPr>
            <sz val="10"/>
            <rFont val="Arial"/>
            <family val="2"/>
          </rPr>
          <t xml:space="preserve">Assumption (Base): revenue growth path. FY2026A growth 17.8%, FY2025A 14.9% (10-K). Peer median LTM growth ~20% (Comps). Fades toward terminal growth by FY2036.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4</xdr:rowOff>
              </xdr:from>
              <xdr:to>
                <xdr:col>1</xdr:col>
                <xdr:colOff>-132</xdr:colOff>
                <xdr:row>7</xdr:row>
                <xdr:rowOff>4</xdr:rowOff>
              </xdr:to>
            </anchor>
          </commentPr>
        </mc:Choice>
        <mc:Fallback/>
      </mc:AlternateContent>
    </comment>
    <comment ref="E32" authorId="0">
      <text>
        <r>
          <rPr>
            <sz val="10"/>
            <rFont val="Arial"/>
            <family val="2"/>
          </rPr>
          <t xml:space="preserve">Assumption (Base): EBIT margin. FY2026A 46.8%, FY2025A 45.6%. Peer median EBIT margin lower; MSFT mix supports mid-40s with D&amp;A headwind from AI capex.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4</xdr:rowOff>
              </xdr:from>
              <xdr:to>
                <xdr:col>1</xdr:col>
                <xdr:colOff>-132</xdr:colOff>
                <xdr:row>7</xdr:row>
                <xdr:rowOff>4</xdr:rowOff>
              </xdr:to>
            </anchor>
          </commentPr>
        </mc:Choice>
        <mc:Fallback/>
      </mc:AlternateContent>
    </comment>
    <comment ref="E33" authorId="0">
      <text>
        <r>
          <rPr>
            <sz val="10"/>
            <rFont val="Arial"/>
            <family val="2"/>
          </rPr>
          <t xml:space="preserve">Assumption (Base): D&amp;A % revenue. FY2026A ~11.8% (39,000 est.); rises as FY2025-26 AI capex is depreciated, partly offset by 15-&gt;25yr useful-life change from FY2027 (TIKR, 2026-09-29).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4</xdr:rowOff>
              </xdr:from>
              <xdr:to>
                <xdr:col>1</xdr:col>
                <xdr:colOff>-132</xdr:colOff>
                <xdr:row>7</xdr:row>
                <xdr:rowOff>19</xdr:rowOff>
              </xdr:to>
            </anchor>
          </commentPr>
        </mc:Choice>
        <mc:Fallback/>
      </mc:AlternateContent>
    </comment>
    <comment ref="E34" authorId="0">
      <text>
        <r>
          <rPr>
            <sz val="10"/>
            <rFont val="Arial"/>
            <family val="2"/>
          </rPr>
          <t xml:space="preserve">Assumption (Base): cash capex % revenue. FY2026A 34.9% (115,948, 10-K); Q1 FY2027 spend guided &gt;$50B incl. leases (TIKR 2026-09-29). Normalises toward ~15% as AI build-out matures.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4</xdr:rowOff>
              </xdr:from>
              <xdr:to>
                <xdr:col>1</xdr:col>
                <xdr:colOff>-132</xdr:colOff>
                <xdr:row>7</xdr:row>
                <xdr:rowOff>19</xdr:rowOff>
              </xdr:to>
            </anchor>
          </commentPr>
        </mc:Choice>
        <mc:Fallback/>
      </mc:AlternateContent>
    </comment>
    <comment ref="E35" authorId="0">
      <text>
        <r>
          <rPr>
            <sz val="10"/>
            <rFont val="Arial"/>
            <family val="2"/>
          </rPr>
          <t xml:space="preserve">Assumption (Base): adjustment added to base WACC from WACC sheet.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4</xdr:rowOff>
              </xdr:from>
              <xdr:to>
                <xdr:col>1</xdr:col>
                <xdr:colOff>-132</xdr:colOff>
                <xdr:row>4</xdr:row>
                <xdr:rowOff>1</xdr:rowOff>
              </xdr:to>
            </anchor>
          </commentPr>
        </mc:Choice>
        <mc:Fallback/>
      </mc:AlternateContent>
    </comment>
    <comment ref="E36" authorId="0">
      <text>
        <r>
          <rPr>
            <sz val="10"/>
            <rFont val="Arial"/>
            <family val="2"/>
          </rPr>
          <t xml:space="preserve">Assumption (Base): perpetuity growth rate after FY2036.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4</xdr:rowOff>
              </xdr:from>
              <xdr:to>
                <xdr:col>1</xdr:col>
                <xdr:colOff>-132</xdr:colOff>
                <xdr:row>4</xdr:row>
                <xdr:rowOff>1</xdr:rowOff>
              </xdr:to>
            </anchor>
          </commentPr>
        </mc:Choice>
        <mc:Fallback/>
      </mc:AlternateContent>
    </comment>
    <comment ref="E40" authorId="0">
      <text>
        <r>
          <rPr>
            <sz val="10"/>
            <rFont val="Arial"/>
            <family val="2"/>
          </rPr>
          <t xml:space="preserve">Assumption (Bull): revenue growth path. FY2026A growth 17.8%, FY2025A 14.9% (10-K). Peer median LTM growth ~20% (Comps). Fades toward terminal growth by FY2036.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4</xdr:rowOff>
              </xdr:from>
              <xdr:to>
                <xdr:col>1</xdr:col>
                <xdr:colOff>-132</xdr:colOff>
                <xdr:row>7</xdr:row>
                <xdr:rowOff>4</xdr:rowOff>
              </xdr:to>
            </anchor>
          </commentPr>
        </mc:Choice>
        <mc:Fallback/>
      </mc:AlternateContent>
    </comment>
    <comment ref="E41" authorId="0">
      <text>
        <r>
          <rPr>
            <sz val="10"/>
            <rFont val="Arial"/>
            <family val="2"/>
          </rPr>
          <t xml:space="preserve">Assumption (Bull): EBIT margin. FY2026A 46.8%, FY2025A 45.6%. Peer median EBIT margin lower; MSFT mix supports mid-40s with D&amp;A headwind from AI capex.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4</xdr:rowOff>
              </xdr:from>
              <xdr:to>
                <xdr:col>1</xdr:col>
                <xdr:colOff>-132</xdr:colOff>
                <xdr:row>7</xdr:row>
                <xdr:rowOff>4</xdr:rowOff>
              </xdr:to>
            </anchor>
          </commentPr>
        </mc:Choice>
        <mc:Fallback/>
      </mc:AlternateContent>
    </comment>
    <comment ref="E42" authorId="0">
      <text>
        <r>
          <rPr>
            <sz val="10"/>
            <rFont val="Arial"/>
            <family val="2"/>
          </rPr>
          <t xml:space="preserve">Assumption (Bull): D&amp;A % revenue. FY2026A ~11.8% (39,000 est.); rises as FY2025-26 AI capex is depreciated, partly offset by 15-&gt;25yr useful-life change from FY2027 (TIKR, 2026-09-29).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4</xdr:rowOff>
              </xdr:from>
              <xdr:to>
                <xdr:col>1</xdr:col>
                <xdr:colOff>-132</xdr:colOff>
                <xdr:row>7</xdr:row>
                <xdr:rowOff>19</xdr:rowOff>
              </xdr:to>
            </anchor>
          </commentPr>
        </mc:Choice>
        <mc:Fallback/>
      </mc:AlternateContent>
    </comment>
    <comment ref="E43" authorId="0">
      <text>
        <r>
          <rPr>
            <sz val="10"/>
            <rFont val="Arial"/>
            <family val="2"/>
          </rPr>
          <t xml:space="preserve">Assumption (Bull): cash capex % revenue. FY2026A 34.9% (115,948, 10-K); Q1 FY2027 spend guided &gt;$50B incl. leases (TIKR 2026-09-29). Normalises toward ~15% as AI build-out matures.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4</xdr:rowOff>
              </xdr:from>
              <xdr:to>
                <xdr:col>1</xdr:col>
                <xdr:colOff>-132</xdr:colOff>
                <xdr:row>7</xdr:row>
                <xdr:rowOff>19</xdr:rowOff>
              </xdr:to>
            </anchor>
          </commentPr>
        </mc:Choice>
        <mc:Fallback/>
      </mc:AlternateContent>
    </comment>
    <comment ref="E44" authorId="0">
      <text>
        <r>
          <rPr>
            <sz val="10"/>
            <rFont val="Arial"/>
            <family val="2"/>
          </rPr>
          <t xml:space="preserve">Assumption (Bull): adjustment added to base WACC from WACC sheet.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4</xdr:rowOff>
              </xdr:from>
              <xdr:to>
                <xdr:col>1</xdr:col>
                <xdr:colOff>-132</xdr:colOff>
                <xdr:row>4</xdr:row>
                <xdr:rowOff>1</xdr:rowOff>
              </xdr:to>
            </anchor>
          </commentPr>
        </mc:Choice>
        <mc:Fallback/>
      </mc:AlternateContent>
    </comment>
    <comment ref="E45" authorId="0">
      <text>
        <r>
          <rPr>
            <sz val="10"/>
            <rFont val="Arial"/>
            <family val="2"/>
          </rPr>
          <t xml:space="preserve">Assumption (Bull): perpetuity growth rate after FY2036.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4</xdr:rowOff>
              </xdr:from>
              <xdr:to>
                <xdr:col>1</xdr:col>
                <xdr:colOff>-132</xdr:colOff>
                <xdr:row>4</xdr:row>
                <xdr:rowOff>1</xdr:rowOff>
              </xdr:to>
            </anchor>
          </commentPr>
        </mc:Choice>
        <mc:Fallback/>
      </mc:AlternateContent>
    </comment>
    <comment ref="E76" authorId="0">
      <text>
        <r>
          <rPr>
            <sz val="10"/>
            <rFont val="Arial"/>
            <family val="2"/>
          </rPr>
          <t xml:space="preserve">Assumption: mid-year convention from start of FY2027 (2026-07-01); the ~3.5 months elapsed to the valuation date are ignored (slightly conservative).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4</xdr:rowOff>
              </xdr:from>
              <xdr:to>
                <xdr:col>1</xdr:col>
                <xdr:colOff>-132</xdr:colOff>
                <xdr:row>6</xdr:row>
                <xdr:rowOff>9</xdr:rowOff>
              </xdr:to>
            </anchor>
          </commentPr>
        </mc:Choice>
        <mc:Fallback/>
      </mc:AlternateContent>
    </comment>
    <comment ref="F22" authorId="0">
      <text>
        <r>
          <rPr>
            <sz val="10"/>
            <rFont val="Arial"/>
            <family val="2"/>
          </rPr>
          <t xml:space="preserve">Assumption (Bear): revenue growth path. FY2026A growth 17.8%, FY2025A 14.9% (10-K). Peer median LTM growth ~20% (Comps). Fades toward terminal growth by FY2036.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4</xdr:rowOff>
              </xdr:from>
              <xdr:to>
                <xdr:col>1</xdr:col>
                <xdr:colOff>-132</xdr:colOff>
                <xdr:row>7</xdr:row>
                <xdr:rowOff>4</xdr:rowOff>
              </xdr:to>
            </anchor>
          </commentPr>
        </mc:Choice>
        <mc:Fallback/>
      </mc:AlternateContent>
    </comment>
    <comment ref="F23" authorId="0">
      <text>
        <r>
          <rPr>
            <sz val="10"/>
            <rFont val="Arial"/>
            <family val="2"/>
          </rPr>
          <t xml:space="preserve">Assumption (Bear): EBIT margin. FY2026A 46.8%, FY2025A 45.6%. Peer median EBIT margin lower; MSFT mix supports mid-40s with D&amp;A headwind from AI capex.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4</xdr:rowOff>
              </xdr:from>
              <xdr:to>
                <xdr:col>1</xdr:col>
                <xdr:colOff>-132</xdr:colOff>
                <xdr:row>7</xdr:row>
                <xdr:rowOff>4</xdr:rowOff>
              </xdr:to>
            </anchor>
          </commentPr>
        </mc:Choice>
        <mc:Fallback/>
      </mc:AlternateContent>
    </comment>
    <comment ref="F24" authorId="0">
      <text>
        <r>
          <rPr>
            <sz val="10"/>
            <rFont val="Arial"/>
            <family val="2"/>
          </rPr>
          <t xml:space="preserve">Assumption (Bear): D&amp;A % revenue. FY2026A ~11.8% (39,000 est.); rises as FY2025-26 AI capex is depreciated, partly offset by 15-&gt;25yr useful-life change from FY2027 (TIKR, 2026-09-29).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4</xdr:rowOff>
              </xdr:from>
              <xdr:to>
                <xdr:col>1</xdr:col>
                <xdr:colOff>-132</xdr:colOff>
                <xdr:row>7</xdr:row>
                <xdr:rowOff>19</xdr:rowOff>
              </xdr:to>
            </anchor>
          </commentPr>
        </mc:Choice>
        <mc:Fallback/>
      </mc:AlternateContent>
    </comment>
    <comment ref="F25" authorId="0">
      <text>
        <r>
          <rPr>
            <sz val="10"/>
            <rFont val="Arial"/>
            <family val="2"/>
          </rPr>
          <t xml:space="preserve">Assumption (Bear): cash capex % revenue. FY2026A 34.9% (115,948, 10-K); Q1 FY2027 spend guided &gt;$50B incl. leases (TIKR 2026-09-29). Normalises toward ~15% as AI build-out matures.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4</xdr:rowOff>
              </xdr:from>
              <xdr:to>
                <xdr:col>1</xdr:col>
                <xdr:colOff>-132</xdr:colOff>
                <xdr:row>7</xdr:row>
                <xdr:rowOff>19</xdr:rowOff>
              </xdr:to>
            </anchor>
          </commentPr>
        </mc:Choice>
        <mc:Fallback/>
      </mc:AlternateContent>
    </comment>
    <comment ref="F31" authorId="0">
      <text>
        <r>
          <rPr>
            <sz val="10"/>
            <rFont val="Arial"/>
            <family val="2"/>
          </rPr>
          <t xml:space="preserve">Assumption (Base): revenue growth path. FY2026A growth 17.8%, FY2025A 14.9% (10-K). Peer median LTM growth ~20% (Comps). Fades toward terminal growth by FY2036.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4</xdr:rowOff>
              </xdr:from>
              <xdr:to>
                <xdr:col>1</xdr:col>
                <xdr:colOff>-132</xdr:colOff>
                <xdr:row>7</xdr:row>
                <xdr:rowOff>4</xdr:rowOff>
              </xdr:to>
            </anchor>
          </commentPr>
        </mc:Choice>
        <mc:Fallback/>
      </mc:AlternateContent>
    </comment>
    <comment ref="F32" authorId="0">
      <text>
        <r>
          <rPr>
            <sz val="10"/>
            <rFont val="Arial"/>
            <family val="2"/>
          </rPr>
          <t xml:space="preserve">Assumption (Base): EBIT margin. FY2026A 46.8%, FY2025A 45.6%. Peer median EBIT margin lower; MSFT mix supports mid-40s with D&amp;A headwind from AI capex.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4</xdr:rowOff>
              </xdr:from>
              <xdr:to>
                <xdr:col>1</xdr:col>
                <xdr:colOff>-132</xdr:colOff>
                <xdr:row>7</xdr:row>
                <xdr:rowOff>4</xdr:rowOff>
              </xdr:to>
            </anchor>
          </commentPr>
        </mc:Choice>
        <mc:Fallback/>
      </mc:AlternateContent>
    </comment>
    <comment ref="F33" authorId="0">
      <text>
        <r>
          <rPr>
            <sz val="10"/>
            <rFont val="Arial"/>
            <family val="2"/>
          </rPr>
          <t xml:space="preserve">Assumption (Base): D&amp;A % revenue. FY2026A ~11.8% (39,000 est.); rises as FY2025-26 AI capex is depreciated, partly offset by 15-&gt;25yr useful-life change from FY2027 (TIKR, 2026-09-29).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4</xdr:rowOff>
              </xdr:from>
              <xdr:to>
                <xdr:col>1</xdr:col>
                <xdr:colOff>-132</xdr:colOff>
                <xdr:row>7</xdr:row>
                <xdr:rowOff>19</xdr:rowOff>
              </xdr:to>
            </anchor>
          </commentPr>
        </mc:Choice>
        <mc:Fallback/>
      </mc:AlternateContent>
    </comment>
    <comment ref="F34" authorId="0">
      <text>
        <r>
          <rPr>
            <sz val="10"/>
            <rFont val="Arial"/>
            <family val="2"/>
          </rPr>
          <t xml:space="preserve">Assumption (Base): cash capex % revenue. FY2026A 34.9% (115,948, 10-K); Q1 FY2027 spend guided &gt;$50B incl. leases (TIKR 2026-09-29). Normalises toward ~15% as AI build-out matures.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4</xdr:rowOff>
              </xdr:from>
              <xdr:to>
                <xdr:col>1</xdr:col>
                <xdr:colOff>-132</xdr:colOff>
                <xdr:row>7</xdr:row>
                <xdr:rowOff>19</xdr:rowOff>
              </xdr:to>
            </anchor>
          </commentPr>
        </mc:Choice>
        <mc:Fallback/>
      </mc:AlternateContent>
    </comment>
    <comment ref="F40" authorId="0">
      <text>
        <r>
          <rPr>
            <sz val="10"/>
            <rFont val="Arial"/>
            <family val="2"/>
          </rPr>
          <t xml:space="preserve">Assumption (Bull): revenue growth path. FY2026A growth 17.8%, FY2025A 14.9% (10-K). Peer median LTM growth ~20% (Comps). Fades toward terminal growth by FY2036.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4</xdr:rowOff>
              </xdr:from>
              <xdr:to>
                <xdr:col>1</xdr:col>
                <xdr:colOff>-132</xdr:colOff>
                <xdr:row>7</xdr:row>
                <xdr:rowOff>4</xdr:rowOff>
              </xdr:to>
            </anchor>
          </commentPr>
        </mc:Choice>
        <mc:Fallback/>
      </mc:AlternateContent>
    </comment>
    <comment ref="F41" authorId="0">
      <text>
        <r>
          <rPr>
            <sz val="10"/>
            <rFont val="Arial"/>
            <family val="2"/>
          </rPr>
          <t xml:space="preserve">Assumption (Bull): EBIT margin. FY2026A 46.8%, FY2025A 45.6%. Peer median EBIT margin lower; MSFT mix supports mid-40s with D&amp;A headwind from AI capex.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4</xdr:rowOff>
              </xdr:from>
              <xdr:to>
                <xdr:col>1</xdr:col>
                <xdr:colOff>-132</xdr:colOff>
                <xdr:row>7</xdr:row>
                <xdr:rowOff>4</xdr:rowOff>
              </xdr:to>
            </anchor>
          </commentPr>
        </mc:Choice>
        <mc:Fallback/>
      </mc:AlternateContent>
    </comment>
    <comment ref="F42" authorId="0">
      <text>
        <r>
          <rPr>
            <sz val="10"/>
            <rFont val="Arial"/>
            <family val="2"/>
          </rPr>
          <t xml:space="preserve">Assumption (Bull): D&amp;A % revenue. FY2026A ~11.8% (39,000 est.); rises as FY2025-26 AI capex is depreciated, partly offset by 15-&gt;25yr useful-life change from FY2027 (TIKR, 2026-09-29).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4</xdr:rowOff>
              </xdr:from>
              <xdr:to>
                <xdr:col>1</xdr:col>
                <xdr:colOff>-132</xdr:colOff>
                <xdr:row>7</xdr:row>
                <xdr:rowOff>19</xdr:rowOff>
              </xdr:to>
            </anchor>
          </commentPr>
        </mc:Choice>
        <mc:Fallback/>
      </mc:AlternateContent>
    </comment>
    <comment ref="F43" authorId="0">
      <text>
        <r>
          <rPr>
            <sz val="10"/>
            <rFont val="Arial"/>
            <family val="2"/>
          </rPr>
          <t xml:space="preserve">Assumption (Bull): cash capex % revenue. FY2026A 34.9% (115,948, 10-K); Q1 FY2027 spend guided &gt;$50B incl. leases (TIKR 2026-09-29). Normalises toward ~15% as AI build-out matures.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4</xdr:rowOff>
              </xdr:from>
              <xdr:to>
                <xdr:col>1</xdr:col>
                <xdr:colOff>-132</xdr:colOff>
                <xdr:row>7</xdr:row>
                <xdr:rowOff>19</xdr:rowOff>
              </xdr:to>
            </anchor>
          </commentPr>
        </mc:Choice>
        <mc:Fallback/>
      </mc:AlternateContent>
    </comment>
    <comment ref="G22" authorId="0">
      <text>
        <r>
          <rPr>
            <sz val="10"/>
            <rFont val="Arial"/>
            <family val="2"/>
          </rPr>
          <t xml:space="preserve">Assumption (Bear): revenue growth path. FY2026A growth 17.8%, FY2025A 14.9% (10-K). Peer median LTM growth ~20% (Comps). Fades toward terminal growth by FY2036.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4</xdr:rowOff>
              </xdr:from>
              <xdr:to>
                <xdr:col>1</xdr:col>
                <xdr:colOff>-132</xdr:colOff>
                <xdr:row>7</xdr:row>
                <xdr:rowOff>4</xdr:rowOff>
              </xdr:to>
            </anchor>
          </commentPr>
        </mc:Choice>
        <mc:Fallback/>
      </mc:AlternateContent>
    </comment>
    <comment ref="G23" authorId="0">
      <text>
        <r>
          <rPr>
            <sz val="10"/>
            <rFont val="Arial"/>
            <family val="2"/>
          </rPr>
          <t xml:space="preserve">Assumption (Bear): EBIT margin. FY2026A 46.8%, FY2025A 45.6%. Peer median EBIT margin lower; MSFT mix supports mid-40s with D&amp;A headwind from AI capex.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4</xdr:rowOff>
              </xdr:from>
              <xdr:to>
                <xdr:col>1</xdr:col>
                <xdr:colOff>-132</xdr:colOff>
                <xdr:row>7</xdr:row>
                <xdr:rowOff>4</xdr:rowOff>
              </xdr:to>
            </anchor>
          </commentPr>
        </mc:Choice>
        <mc:Fallback/>
      </mc:AlternateContent>
    </comment>
    <comment ref="G24" authorId="0">
      <text>
        <r>
          <rPr>
            <sz val="10"/>
            <rFont val="Arial"/>
            <family val="2"/>
          </rPr>
          <t xml:space="preserve">Assumption (Bear): D&amp;A % revenue. FY2026A ~11.8% (39,000 est.); rises as FY2025-26 AI capex is depreciated, partly offset by 15-&gt;25yr useful-life change from FY2027 (TIKR, 2026-09-29).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4</xdr:rowOff>
              </xdr:from>
              <xdr:to>
                <xdr:col>1</xdr:col>
                <xdr:colOff>-132</xdr:colOff>
                <xdr:row>7</xdr:row>
                <xdr:rowOff>19</xdr:rowOff>
              </xdr:to>
            </anchor>
          </commentPr>
        </mc:Choice>
        <mc:Fallback/>
      </mc:AlternateContent>
    </comment>
    <comment ref="G25" authorId="0">
      <text>
        <r>
          <rPr>
            <sz val="10"/>
            <rFont val="Arial"/>
            <family val="2"/>
          </rPr>
          <t xml:space="preserve">Assumption (Bear): cash capex % revenue. FY2026A 34.9% (115,948, 10-K); Q1 FY2027 spend guided &gt;$50B incl. leases (TIKR 2026-09-29). Normalises toward ~15% as AI build-out matures.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4</xdr:rowOff>
              </xdr:from>
              <xdr:to>
                <xdr:col>1</xdr:col>
                <xdr:colOff>-132</xdr:colOff>
                <xdr:row>7</xdr:row>
                <xdr:rowOff>19</xdr:rowOff>
              </xdr:to>
            </anchor>
          </commentPr>
        </mc:Choice>
        <mc:Fallback/>
      </mc:AlternateContent>
    </comment>
    <comment ref="G31" authorId="0">
      <text>
        <r>
          <rPr>
            <sz val="10"/>
            <rFont val="Arial"/>
            <family val="2"/>
          </rPr>
          <t xml:space="preserve">Assumption (Base): revenue growth path. FY2026A growth 17.8%, FY2025A 14.9% (10-K). Peer median LTM growth ~20% (Comps). Fades toward terminal growth by FY2036.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4</xdr:rowOff>
              </xdr:from>
              <xdr:to>
                <xdr:col>1</xdr:col>
                <xdr:colOff>-132</xdr:colOff>
                <xdr:row>7</xdr:row>
                <xdr:rowOff>4</xdr:rowOff>
              </xdr:to>
            </anchor>
          </commentPr>
        </mc:Choice>
        <mc:Fallback/>
      </mc:AlternateContent>
    </comment>
    <comment ref="G32" authorId="0">
      <text>
        <r>
          <rPr>
            <sz val="10"/>
            <rFont val="Arial"/>
            <family val="2"/>
          </rPr>
          <t xml:space="preserve">Assumption (Base): EBIT margin. FY2026A 46.8%, FY2025A 45.6%. Peer median EBIT margin lower; MSFT mix supports mid-40s with D&amp;A headwind from AI capex.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4</xdr:rowOff>
              </xdr:from>
              <xdr:to>
                <xdr:col>1</xdr:col>
                <xdr:colOff>-132</xdr:colOff>
                <xdr:row>7</xdr:row>
                <xdr:rowOff>4</xdr:rowOff>
              </xdr:to>
            </anchor>
          </commentPr>
        </mc:Choice>
        <mc:Fallback/>
      </mc:AlternateContent>
    </comment>
    <comment ref="G33" authorId="0">
      <text>
        <r>
          <rPr>
            <sz val="10"/>
            <rFont val="Arial"/>
            <family val="2"/>
          </rPr>
          <t xml:space="preserve">Assumption (Base): D&amp;A % revenue. FY2026A ~11.8% (39,000 est.); rises as FY2025-26 AI capex is depreciated, partly offset by 15-&gt;25yr useful-life change from FY2027 (TIKR, 2026-09-29).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4</xdr:rowOff>
              </xdr:from>
              <xdr:to>
                <xdr:col>1</xdr:col>
                <xdr:colOff>-132</xdr:colOff>
                <xdr:row>7</xdr:row>
                <xdr:rowOff>19</xdr:rowOff>
              </xdr:to>
            </anchor>
          </commentPr>
        </mc:Choice>
        <mc:Fallback/>
      </mc:AlternateContent>
    </comment>
    <comment ref="G34" authorId="0">
      <text>
        <r>
          <rPr>
            <sz val="10"/>
            <rFont val="Arial"/>
            <family val="2"/>
          </rPr>
          <t xml:space="preserve">Assumption (Base): cash capex % revenue. FY2026A 34.9% (115,948, 10-K); Q1 FY2027 spend guided &gt;$50B incl. leases (TIKR 2026-09-29). Normalises toward ~15% as AI build-out matures.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4</xdr:rowOff>
              </xdr:from>
              <xdr:to>
                <xdr:col>1</xdr:col>
                <xdr:colOff>-132</xdr:colOff>
                <xdr:row>7</xdr:row>
                <xdr:rowOff>19</xdr:rowOff>
              </xdr:to>
            </anchor>
          </commentPr>
        </mc:Choice>
        <mc:Fallback/>
      </mc:AlternateContent>
    </comment>
    <comment ref="G40" authorId="0">
      <text>
        <r>
          <rPr>
            <sz val="10"/>
            <rFont val="Arial"/>
            <family val="2"/>
          </rPr>
          <t xml:space="preserve">Assumption (Bull): revenue growth path. FY2026A growth 17.8%, FY2025A 14.9% (10-K). Peer median LTM growth ~20% (Comps). Fades toward terminal growth by FY2036.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4</xdr:rowOff>
              </xdr:from>
              <xdr:to>
                <xdr:col>1</xdr:col>
                <xdr:colOff>-132</xdr:colOff>
                <xdr:row>7</xdr:row>
                <xdr:rowOff>4</xdr:rowOff>
              </xdr:to>
            </anchor>
          </commentPr>
        </mc:Choice>
        <mc:Fallback/>
      </mc:AlternateContent>
    </comment>
    <comment ref="G41" authorId="0">
      <text>
        <r>
          <rPr>
            <sz val="10"/>
            <rFont val="Arial"/>
            <family val="2"/>
          </rPr>
          <t xml:space="preserve">Assumption (Bull): EBIT margin. FY2026A 46.8%, FY2025A 45.6%. Peer median EBIT margin lower; MSFT mix supports mid-40s with D&amp;A headwind from AI capex.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4</xdr:rowOff>
              </xdr:from>
              <xdr:to>
                <xdr:col>1</xdr:col>
                <xdr:colOff>-132</xdr:colOff>
                <xdr:row>7</xdr:row>
                <xdr:rowOff>4</xdr:rowOff>
              </xdr:to>
            </anchor>
          </commentPr>
        </mc:Choice>
        <mc:Fallback/>
      </mc:AlternateContent>
    </comment>
    <comment ref="G42" authorId="0">
      <text>
        <r>
          <rPr>
            <sz val="10"/>
            <rFont val="Arial"/>
            <family val="2"/>
          </rPr>
          <t xml:space="preserve">Assumption (Bull): D&amp;A % revenue. FY2026A ~11.8% (39,000 est.); rises as FY2025-26 AI capex is depreciated, partly offset by 15-&gt;25yr useful-life change from FY2027 (TIKR, 2026-09-29).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4</xdr:rowOff>
              </xdr:from>
              <xdr:to>
                <xdr:col>1</xdr:col>
                <xdr:colOff>-132</xdr:colOff>
                <xdr:row>7</xdr:row>
                <xdr:rowOff>19</xdr:rowOff>
              </xdr:to>
            </anchor>
          </commentPr>
        </mc:Choice>
        <mc:Fallback/>
      </mc:AlternateContent>
    </comment>
    <comment ref="G43" authorId="0">
      <text>
        <r>
          <rPr>
            <sz val="10"/>
            <rFont val="Arial"/>
            <family val="2"/>
          </rPr>
          <t xml:space="preserve">Assumption (Bull): cash capex % revenue. FY2026A 34.9% (115,948, 10-K); Q1 FY2027 spend guided &gt;$50B incl. leases (TIKR 2026-09-29). Normalises toward ~15% as AI build-out matures.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4</xdr:rowOff>
              </xdr:from>
              <xdr:to>
                <xdr:col>1</xdr:col>
                <xdr:colOff>-132</xdr:colOff>
                <xdr:row>7</xdr:row>
                <xdr:rowOff>19</xdr:rowOff>
              </xdr:to>
            </anchor>
          </commentPr>
        </mc:Choice>
        <mc:Fallback/>
      </mc:AlternateContent>
    </comment>
    <comment ref="H22" authorId="0">
      <text>
        <r>
          <rPr>
            <sz val="10"/>
            <rFont val="Arial"/>
            <family val="2"/>
          </rPr>
          <t xml:space="preserve">Assumption (Bear): revenue growth path. FY2026A growth 17.8%, FY2025A 14.9% (10-K). Peer median LTM growth ~20% (Comps). Fades toward terminal growth by FY2036.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4</xdr:rowOff>
              </xdr:from>
              <xdr:to>
                <xdr:col>1</xdr:col>
                <xdr:colOff>-132</xdr:colOff>
                <xdr:row>7</xdr:row>
                <xdr:rowOff>4</xdr:rowOff>
              </xdr:to>
            </anchor>
          </commentPr>
        </mc:Choice>
        <mc:Fallback/>
      </mc:AlternateContent>
    </comment>
    <comment ref="H23" authorId="0">
      <text>
        <r>
          <rPr>
            <sz val="10"/>
            <rFont val="Arial"/>
            <family val="2"/>
          </rPr>
          <t xml:space="preserve">Assumption (Bear): EBIT margin. FY2026A 46.8%, FY2025A 45.6%. Peer median EBIT margin lower; MSFT mix supports mid-40s with D&amp;A headwind from AI capex.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4</xdr:rowOff>
              </xdr:from>
              <xdr:to>
                <xdr:col>1</xdr:col>
                <xdr:colOff>-132</xdr:colOff>
                <xdr:row>7</xdr:row>
                <xdr:rowOff>4</xdr:rowOff>
              </xdr:to>
            </anchor>
          </commentPr>
        </mc:Choice>
        <mc:Fallback/>
      </mc:AlternateContent>
    </comment>
    <comment ref="H24" authorId="0">
      <text>
        <r>
          <rPr>
            <sz val="10"/>
            <rFont val="Arial"/>
            <family val="2"/>
          </rPr>
          <t xml:space="preserve">Assumption (Bear): D&amp;A % revenue. FY2026A ~11.8% (39,000 est.); rises as FY2025-26 AI capex is depreciated, partly offset by 15-&gt;25yr useful-life change from FY2027 (TIKR, 2026-09-29).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4</xdr:rowOff>
              </xdr:from>
              <xdr:to>
                <xdr:col>1</xdr:col>
                <xdr:colOff>-132</xdr:colOff>
                <xdr:row>7</xdr:row>
                <xdr:rowOff>19</xdr:rowOff>
              </xdr:to>
            </anchor>
          </commentPr>
        </mc:Choice>
        <mc:Fallback/>
      </mc:AlternateContent>
    </comment>
    <comment ref="H25" authorId="0">
      <text>
        <r>
          <rPr>
            <sz val="10"/>
            <rFont val="Arial"/>
            <family val="2"/>
          </rPr>
          <t xml:space="preserve">Assumption (Bear): cash capex % revenue. FY2026A 34.9% (115,948, 10-K); Q1 FY2027 spend guided &gt;$50B incl. leases (TIKR 2026-09-29). Normalises toward ~15% as AI build-out matures.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4</xdr:rowOff>
              </xdr:from>
              <xdr:to>
                <xdr:col>1</xdr:col>
                <xdr:colOff>-132</xdr:colOff>
                <xdr:row>7</xdr:row>
                <xdr:rowOff>19</xdr:rowOff>
              </xdr:to>
            </anchor>
          </commentPr>
        </mc:Choice>
        <mc:Fallback/>
      </mc:AlternateContent>
    </comment>
    <comment ref="H31" authorId="0">
      <text>
        <r>
          <rPr>
            <sz val="10"/>
            <rFont val="Arial"/>
            <family val="2"/>
          </rPr>
          <t xml:space="preserve">Assumption (Base): revenue growth path. FY2026A growth 17.8%, FY2025A 14.9% (10-K). Peer median LTM growth ~20% (Comps). Fades toward terminal growth by FY2036.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4</xdr:rowOff>
              </xdr:from>
              <xdr:to>
                <xdr:col>1</xdr:col>
                <xdr:colOff>-132</xdr:colOff>
                <xdr:row>7</xdr:row>
                <xdr:rowOff>4</xdr:rowOff>
              </xdr:to>
            </anchor>
          </commentPr>
        </mc:Choice>
        <mc:Fallback/>
      </mc:AlternateContent>
    </comment>
    <comment ref="H32" authorId="0">
      <text>
        <r>
          <rPr>
            <sz val="10"/>
            <rFont val="Arial"/>
            <family val="2"/>
          </rPr>
          <t xml:space="preserve">Assumption (Base): EBIT margin. FY2026A 46.8%, FY2025A 45.6%. Peer median EBIT margin lower; MSFT mix supports mid-40s with D&amp;A headwind from AI capex.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4</xdr:rowOff>
              </xdr:from>
              <xdr:to>
                <xdr:col>1</xdr:col>
                <xdr:colOff>-132</xdr:colOff>
                <xdr:row>7</xdr:row>
                <xdr:rowOff>4</xdr:rowOff>
              </xdr:to>
            </anchor>
          </commentPr>
        </mc:Choice>
        <mc:Fallback/>
      </mc:AlternateContent>
    </comment>
    <comment ref="H33" authorId="0">
      <text>
        <r>
          <rPr>
            <sz val="10"/>
            <rFont val="Arial"/>
            <family val="2"/>
          </rPr>
          <t xml:space="preserve">Assumption (Base): D&amp;A % revenue. FY2026A ~11.8% (39,000 est.); rises as FY2025-26 AI capex is depreciated, partly offset by 15-&gt;25yr useful-life change from FY2027 (TIKR, 2026-09-29).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4</xdr:rowOff>
              </xdr:from>
              <xdr:to>
                <xdr:col>1</xdr:col>
                <xdr:colOff>-132</xdr:colOff>
                <xdr:row>7</xdr:row>
                <xdr:rowOff>19</xdr:rowOff>
              </xdr:to>
            </anchor>
          </commentPr>
        </mc:Choice>
        <mc:Fallback/>
      </mc:AlternateContent>
    </comment>
    <comment ref="H34" authorId="0">
      <text>
        <r>
          <rPr>
            <sz val="10"/>
            <rFont val="Arial"/>
            <family val="2"/>
          </rPr>
          <t xml:space="preserve">Assumption (Base): cash capex % revenue. FY2026A 34.9% (115,948, 10-K); Q1 FY2027 spend guided &gt;$50B incl. leases (TIKR 2026-09-29). Normalises toward ~15% as AI build-out matures.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4</xdr:rowOff>
              </xdr:from>
              <xdr:to>
                <xdr:col>1</xdr:col>
                <xdr:colOff>-132</xdr:colOff>
                <xdr:row>7</xdr:row>
                <xdr:rowOff>19</xdr:rowOff>
              </xdr:to>
            </anchor>
          </commentPr>
        </mc:Choice>
        <mc:Fallback/>
      </mc:AlternateContent>
    </comment>
    <comment ref="H40" authorId="0">
      <text>
        <r>
          <rPr>
            <sz val="10"/>
            <rFont val="Arial"/>
            <family val="2"/>
          </rPr>
          <t xml:space="preserve">Assumption (Bull): revenue growth path. FY2026A growth 17.8%, FY2025A 14.9% (10-K). Peer median LTM growth ~20% (Comps). Fades toward terminal growth by FY2036.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4</xdr:rowOff>
              </xdr:from>
              <xdr:to>
                <xdr:col>1</xdr:col>
                <xdr:colOff>-132</xdr:colOff>
                <xdr:row>7</xdr:row>
                <xdr:rowOff>4</xdr:rowOff>
              </xdr:to>
            </anchor>
          </commentPr>
        </mc:Choice>
        <mc:Fallback/>
      </mc:AlternateContent>
    </comment>
    <comment ref="H41" authorId="0">
      <text>
        <r>
          <rPr>
            <sz val="10"/>
            <rFont val="Arial"/>
            <family val="2"/>
          </rPr>
          <t xml:space="preserve">Assumption (Bull): EBIT margin. FY2026A 46.8%, FY2025A 45.6%. Peer median EBIT margin lower; MSFT mix supports mid-40s with D&amp;A headwind from AI capex.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4</xdr:rowOff>
              </xdr:from>
              <xdr:to>
                <xdr:col>1</xdr:col>
                <xdr:colOff>-132</xdr:colOff>
                <xdr:row>7</xdr:row>
                <xdr:rowOff>4</xdr:rowOff>
              </xdr:to>
            </anchor>
          </commentPr>
        </mc:Choice>
        <mc:Fallback/>
      </mc:AlternateContent>
    </comment>
    <comment ref="H42" authorId="0">
      <text>
        <r>
          <rPr>
            <sz val="10"/>
            <rFont val="Arial"/>
            <family val="2"/>
          </rPr>
          <t xml:space="preserve">Assumption (Bull): D&amp;A % revenue. FY2026A ~11.8% (39,000 est.); rises as FY2025-26 AI capex is depreciated, partly offset by 15-&gt;25yr useful-life change from FY2027 (TIKR, 2026-09-29).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4</xdr:rowOff>
              </xdr:from>
              <xdr:to>
                <xdr:col>1</xdr:col>
                <xdr:colOff>-132</xdr:colOff>
                <xdr:row>7</xdr:row>
                <xdr:rowOff>19</xdr:rowOff>
              </xdr:to>
            </anchor>
          </commentPr>
        </mc:Choice>
        <mc:Fallback/>
      </mc:AlternateContent>
    </comment>
    <comment ref="H43" authorId="0">
      <text>
        <r>
          <rPr>
            <sz val="10"/>
            <rFont val="Arial"/>
            <family val="2"/>
          </rPr>
          <t xml:space="preserve">Assumption (Bull): cash capex % revenue. FY2026A 34.9% (115,948, 10-K); Q1 FY2027 spend guided &gt;$50B incl. leases (TIKR 2026-09-29). Normalises toward ~15% as AI build-out matures.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4</xdr:rowOff>
              </xdr:from>
              <xdr:to>
                <xdr:col>1</xdr:col>
                <xdr:colOff>-132</xdr:colOff>
                <xdr:row>7</xdr:row>
                <xdr:rowOff>19</xdr:rowOff>
              </xdr:to>
            </anchor>
          </commentPr>
        </mc:Choice>
        <mc:Fallback/>
      </mc:AlternateContent>
    </comment>
    <comment ref="I22" authorId="0">
      <text>
        <r>
          <rPr>
            <sz val="10"/>
            <rFont val="Arial"/>
            <family val="2"/>
          </rPr>
          <t xml:space="preserve">Assumption (Bear): revenue growth path. FY2026A growth 17.8%, FY2025A 14.9% (10-K). Peer median LTM growth ~20% (Comps). Fades toward terminal growth by FY2036.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4</xdr:rowOff>
              </xdr:from>
              <xdr:to>
                <xdr:col>1</xdr:col>
                <xdr:colOff>-132</xdr:colOff>
                <xdr:row>7</xdr:row>
                <xdr:rowOff>4</xdr:rowOff>
              </xdr:to>
            </anchor>
          </commentPr>
        </mc:Choice>
        <mc:Fallback/>
      </mc:AlternateContent>
    </comment>
    <comment ref="I23" authorId="0">
      <text>
        <r>
          <rPr>
            <sz val="10"/>
            <rFont val="Arial"/>
            <family val="2"/>
          </rPr>
          <t xml:space="preserve">Assumption (Bear): EBIT margin. FY2026A 46.8%, FY2025A 45.6%. Peer median EBIT margin lower; MSFT mix supports mid-40s with D&amp;A headwind from AI capex.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4</xdr:rowOff>
              </xdr:from>
              <xdr:to>
                <xdr:col>1</xdr:col>
                <xdr:colOff>-132</xdr:colOff>
                <xdr:row>7</xdr:row>
                <xdr:rowOff>4</xdr:rowOff>
              </xdr:to>
            </anchor>
          </commentPr>
        </mc:Choice>
        <mc:Fallback/>
      </mc:AlternateContent>
    </comment>
    <comment ref="I24" authorId="0">
      <text>
        <r>
          <rPr>
            <sz val="10"/>
            <rFont val="Arial"/>
            <family val="2"/>
          </rPr>
          <t xml:space="preserve">Assumption (Bear): D&amp;A % revenue. FY2026A ~11.8% (39,000 est.); rises as FY2025-26 AI capex is depreciated, partly offset by 15-&gt;25yr useful-life change from FY2027 (TIKR, 2026-09-29).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4</xdr:rowOff>
              </xdr:from>
              <xdr:to>
                <xdr:col>1</xdr:col>
                <xdr:colOff>-132</xdr:colOff>
                <xdr:row>7</xdr:row>
                <xdr:rowOff>19</xdr:rowOff>
              </xdr:to>
            </anchor>
          </commentPr>
        </mc:Choice>
        <mc:Fallback/>
      </mc:AlternateContent>
    </comment>
    <comment ref="I25" authorId="0">
      <text>
        <r>
          <rPr>
            <sz val="10"/>
            <rFont val="Arial"/>
            <family val="2"/>
          </rPr>
          <t xml:space="preserve">Assumption (Bear): cash capex % revenue. FY2026A 34.9% (115,948, 10-K); Q1 FY2027 spend guided &gt;$50B incl. leases (TIKR 2026-09-29). Normalises toward ~15% as AI build-out matures.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4</xdr:rowOff>
              </xdr:from>
              <xdr:to>
                <xdr:col>1</xdr:col>
                <xdr:colOff>-132</xdr:colOff>
                <xdr:row>7</xdr:row>
                <xdr:rowOff>19</xdr:rowOff>
              </xdr:to>
            </anchor>
          </commentPr>
        </mc:Choice>
        <mc:Fallback/>
      </mc:AlternateContent>
    </comment>
    <comment ref="I31" authorId="0">
      <text>
        <r>
          <rPr>
            <sz val="10"/>
            <rFont val="Arial"/>
            <family val="2"/>
          </rPr>
          <t xml:space="preserve">Assumption (Base): revenue growth path. FY2026A growth 17.8%, FY2025A 14.9% (10-K). Peer median LTM growth ~20% (Comps). Fades toward terminal growth by FY2036.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4</xdr:rowOff>
              </xdr:from>
              <xdr:to>
                <xdr:col>1</xdr:col>
                <xdr:colOff>-132</xdr:colOff>
                <xdr:row>7</xdr:row>
                <xdr:rowOff>4</xdr:rowOff>
              </xdr:to>
            </anchor>
          </commentPr>
        </mc:Choice>
        <mc:Fallback/>
      </mc:AlternateContent>
    </comment>
    <comment ref="I32" authorId="0">
      <text>
        <r>
          <rPr>
            <sz val="10"/>
            <rFont val="Arial"/>
            <family val="2"/>
          </rPr>
          <t xml:space="preserve">Assumption (Base): EBIT margin. FY2026A 46.8%, FY2025A 45.6%. Peer median EBIT margin lower; MSFT mix supports mid-40s with D&amp;A headwind from AI capex.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4</xdr:rowOff>
              </xdr:from>
              <xdr:to>
                <xdr:col>1</xdr:col>
                <xdr:colOff>-132</xdr:colOff>
                <xdr:row>7</xdr:row>
                <xdr:rowOff>4</xdr:rowOff>
              </xdr:to>
            </anchor>
          </commentPr>
        </mc:Choice>
        <mc:Fallback/>
      </mc:AlternateContent>
    </comment>
    <comment ref="I33" authorId="0">
      <text>
        <r>
          <rPr>
            <sz val="10"/>
            <rFont val="Arial"/>
            <family val="2"/>
          </rPr>
          <t xml:space="preserve">Assumption (Base): D&amp;A % revenue. FY2026A ~11.8% (39,000 est.); rises as FY2025-26 AI capex is depreciated, partly offset by 15-&gt;25yr useful-life change from FY2027 (TIKR, 2026-09-29).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4</xdr:rowOff>
              </xdr:from>
              <xdr:to>
                <xdr:col>1</xdr:col>
                <xdr:colOff>-132</xdr:colOff>
                <xdr:row>7</xdr:row>
                <xdr:rowOff>19</xdr:rowOff>
              </xdr:to>
            </anchor>
          </commentPr>
        </mc:Choice>
        <mc:Fallback/>
      </mc:AlternateContent>
    </comment>
    <comment ref="I34" authorId="0">
      <text>
        <r>
          <rPr>
            <sz val="10"/>
            <rFont val="Arial"/>
            <family val="2"/>
          </rPr>
          <t xml:space="preserve">Assumption (Base): cash capex % revenue. FY2026A 34.9% (115,948, 10-K); Q1 FY2027 spend guided &gt;$50B incl. leases (TIKR 2026-09-29). Normalises toward ~15% as AI build-out matures.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4</xdr:rowOff>
              </xdr:from>
              <xdr:to>
                <xdr:col>1</xdr:col>
                <xdr:colOff>-132</xdr:colOff>
                <xdr:row>7</xdr:row>
                <xdr:rowOff>19</xdr:rowOff>
              </xdr:to>
            </anchor>
          </commentPr>
        </mc:Choice>
        <mc:Fallback/>
      </mc:AlternateContent>
    </comment>
    <comment ref="I40" authorId="0">
      <text>
        <r>
          <rPr>
            <sz val="10"/>
            <rFont val="Arial"/>
            <family val="2"/>
          </rPr>
          <t xml:space="preserve">Assumption (Bull): revenue growth path. FY2026A growth 17.8%, FY2025A 14.9% (10-K). Peer median LTM growth ~20% (Comps). Fades toward terminal growth by FY2036.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4</xdr:rowOff>
              </xdr:from>
              <xdr:to>
                <xdr:col>1</xdr:col>
                <xdr:colOff>-132</xdr:colOff>
                <xdr:row>7</xdr:row>
                <xdr:rowOff>4</xdr:rowOff>
              </xdr:to>
            </anchor>
          </commentPr>
        </mc:Choice>
        <mc:Fallback/>
      </mc:AlternateContent>
    </comment>
    <comment ref="I41" authorId="0">
      <text>
        <r>
          <rPr>
            <sz val="10"/>
            <rFont val="Arial"/>
            <family val="2"/>
          </rPr>
          <t xml:space="preserve">Assumption (Bull): EBIT margin. FY2026A 46.8%, FY2025A 45.6%. Peer median EBIT margin lower; MSFT mix supports mid-40s with D&amp;A headwind from AI capex.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4</xdr:rowOff>
              </xdr:from>
              <xdr:to>
                <xdr:col>1</xdr:col>
                <xdr:colOff>-132</xdr:colOff>
                <xdr:row>7</xdr:row>
                <xdr:rowOff>4</xdr:rowOff>
              </xdr:to>
            </anchor>
          </commentPr>
        </mc:Choice>
        <mc:Fallback/>
      </mc:AlternateContent>
    </comment>
    <comment ref="I42" authorId="0">
      <text>
        <r>
          <rPr>
            <sz val="10"/>
            <rFont val="Arial"/>
            <family val="2"/>
          </rPr>
          <t xml:space="preserve">Assumption (Bull): D&amp;A % revenue. FY2026A ~11.8% (39,000 est.); rises as FY2025-26 AI capex is depreciated, partly offset by 15-&gt;25yr useful-life change from FY2027 (TIKR, 2026-09-29).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4</xdr:rowOff>
              </xdr:from>
              <xdr:to>
                <xdr:col>1</xdr:col>
                <xdr:colOff>-132</xdr:colOff>
                <xdr:row>7</xdr:row>
                <xdr:rowOff>19</xdr:rowOff>
              </xdr:to>
            </anchor>
          </commentPr>
        </mc:Choice>
        <mc:Fallback/>
      </mc:AlternateContent>
    </comment>
    <comment ref="I43" authorId="0">
      <text>
        <r>
          <rPr>
            <sz val="10"/>
            <rFont val="Arial"/>
            <family val="2"/>
          </rPr>
          <t xml:space="preserve">Assumption (Bull): cash capex % revenue. FY2026A 34.9% (115,948, 10-K); Q1 FY2027 spend guided &gt;$50B incl. leases (TIKR 2026-09-29). Normalises toward ~15% as AI build-out matures.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4</xdr:rowOff>
              </xdr:from>
              <xdr:to>
                <xdr:col>1</xdr:col>
                <xdr:colOff>-132</xdr:colOff>
                <xdr:row>7</xdr:row>
                <xdr:rowOff>19</xdr:rowOff>
              </xdr:to>
            </anchor>
          </commentPr>
        </mc:Choice>
        <mc:Fallback/>
      </mc:AlternateContent>
    </comment>
    <comment ref="J22" authorId="0">
      <text>
        <r>
          <rPr>
            <sz val="10"/>
            <rFont val="Arial"/>
            <family val="2"/>
          </rPr>
          <t xml:space="preserve">Assumption (Bear): revenue growth path. FY2026A growth 17.8%, FY2025A 14.9% (10-K). Peer median LTM growth ~20% (Comps). Fades toward terminal growth by FY2036.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4</xdr:rowOff>
              </xdr:from>
              <xdr:to>
                <xdr:col>1</xdr:col>
                <xdr:colOff>-132</xdr:colOff>
                <xdr:row>7</xdr:row>
                <xdr:rowOff>4</xdr:rowOff>
              </xdr:to>
            </anchor>
          </commentPr>
        </mc:Choice>
        <mc:Fallback/>
      </mc:AlternateContent>
    </comment>
    <comment ref="J23" authorId="0">
      <text>
        <r>
          <rPr>
            <sz val="10"/>
            <rFont val="Arial"/>
            <family val="2"/>
          </rPr>
          <t xml:space="preserve">Assumption (Bear): EBIT margin. FY2026A 46.8%, FY2025A 45.6%. Peer median EBIT margin lower; MSFT mix supports mid-40s with D&amp;A headwind from AI capex.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4</xdr:rowOff>
              </xdr:from>
              <xdr:to>
                <xdr:col>1</xdr:col>
                <xdr:colOff>-132</xdr:colOff>
                <xdr:row>7</xdr:row>
                <xdr:rowOff>4</xdr:rowOff>
              </xdr:to>
            </anchor>
          </commentPr>
        </mc:Choice>
        <mc:Fallback/>
      </mc:AlternateContent>
    </comment>
    <comment ref="J24" authorId="0">
      <text>
        <r>
          <rPr>
            <sz val="10"/>
            <rFont val="Arial"/>
            <family val="2"/>
          </rPr>
          <t xml:space="preserve">Assumption (Bear): D&amp;A % revenue. FY2026A ~11.8% (39,000 est.); rises as FY2025-26 AI capex is depreciated, partly offset by 15-&gt;25yr useful-life change from FY2027 (TIKR, 2026-09-29).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4</xdr:rowOff>
              </xdr:from>
              <xdr:to>
                <xdr:col>1</xdr:col>
                <xdr:colOff>-132</xdr:colOff>
                <xdr:row>7</xdr:row>
                <xdr:rowOff>19</xdr:rowOff>
              </xdr:to>
            </anchor>
          </commentPr>
        </mc:Choice>
        <mc:Fallback/>
      </mc:AlternateContent>
    </comment>
    <comment ref="J25" authorId="0">
      <text>
        <r>
          <rPr>
            <sz val="10"/>
            <rFont val="Arial"/>
            <family val="2"/>
          </rPr>
          <t xml:space="preserve">Assumption (Bear): cash capex % revenue. FY2026A 34.9% (115,948, 10-K); Q1 FY2027 spend guided &gt;$50B incl. leases (TIKR 2026-09-29). Normalises toward ~15% as AI build-out matures.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4</xdr:rowOff>
              </xdr:from>
              <xdr:to>
                <xdr:col>1</xdr:col>
                <xdr:colOff>-132</xdr:colOff>
                <xdr:row>7</xdr:row>
                <xdr:rowOff>19</xdr:rowOff>
              </xdr:to>
            </anchor>
          </commentPr>
        </mc:Choice>
        <mc:Fallback/>
      </mc:AlternateContent>
    </comment>
    <comment ref="J31" authorId="0">
      <text>
        <r>
          <rPr>
            <sz val="10"/>
            <rFont val="Arial"/>
            <family val="2"/>
          </rPr>
          <t xml:space="preserve">Assumption (Base): revenue growth path. FY2026A growth 17.8%, FY2025A 14.9% (10-K). Peer median LTM growth ~20% (Comps). Fades toward terminal growth by FY2036.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4</xdr:rowOff>
              </xdr:from>
              <xdr:to>
                <xdr:col>1</xdr:col>
                <xdr:colOff>-132</xdr:colOff>
                <xdr:row>7</xdr:row>
                <xdr:rowOff>4</xdr:rowOff>
              </xdr:to>
            </anchor>
          </commentPr>
        </mc:Choice>
        <mc:Fallback/>
      </mc:AlternateContent>
    </comment>
    <comment ref="J32" authorId="0">
      <text>
        <r>
          <rPr>
            <sz val="10"/>
            <rFont val="Arial"/>
            <family val="2"/>
          </rPr>
          <t xml:space="preserve">Assumption (Base): EBIT margin. FY2026A 46.8%, FY2025A 45.6%. Peer median EBIT margin lower; MSFT mix supports mid-40s with D&amp;A headwind from AI capex.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4</xdr:rowOff>
              </xdr:from>
              <xdr:to>
                <xdr:col>1</xdr:col>
                <xdr:colOff>-132</xdr:colOff>
                <xdr:row>7</xdr:row>
                <xdr:rowOff>4</xdr:rowOff>
              </xdr:to>
            </anchor>
          </commentPr>
        </mc:Choice>
        <mc:Fallback/>
      </mc:AlternateContent>
    </comment>
    <comment ref="J33" authorId="0">
      <text>
        <r>
          <rPr>
            <sz val="10"/>
            <rFont val="Arial"/>
            <family val="2"/>
          </rPr>
          <t xml:space="preserve">Assumption (Base): D&amp;A % revenue. FY2026A ~11.8% (39,000 est.); rises as FY2025-26 AI capex is depreciated, partly offset by 15-&gt;25yr useful-life change from FY2027 (TIKR, 2026-09-29).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4</xdr:rowOff>
              </xdr:from>
              <xdr:to>
                <xdr:col>1</xdr:col>
                <xdr:colOff>-132</xdr:colOff>
                <xdr:row>7</xdr:row>
                <xdr:rowOff>19</xdr:rowOff>
              </xdr:to>
            </anchor>
          </commentPr>
        </mc:Choice>
        <mc:Fallback/>
      </mc:AlternateContent>
    </comment>
    <comment ref="J34" authorId="0">
      <text>
        <r>
          <rPr>
            <sz val="10"/>
            <rFont val="Arial"/>
            <family val="2"/>
          </rPr>
          <t xml:space="preserve">Assumption (Base): cash capex % revenue. FY2026A 34.9% (115,948, 10-K); Q1 FY2027 spend guided &gt;$50B incl. leases (TIKR 2026-09-29). Normalises toward ~15% as AI build-out matures.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4</xdr:rowOff>
              </xdr:from>
              <xdr:to>
                <xdr:col>1</xdr:col>
                <xdr:colOff>-132</xdr:colOff>
                <xdr:row>7</xdr:row>
                <xdr:rowOff>19</xdr:rowOff>
              </xdr:to>
            </anchor>
          </commentPr>
        </mc:Choice>
        <mc:Fallback/>
      </mc:AlternateContent>
    </comment>
    <comment ref="J40" authorId="0">
      <text>
        <r>
          <rPr>
            <sz val="10"/>
            <rFont val="Arial"/>
            <family val="2"/>
          </rPr>
          <t xml:space="preserve">Assumption (Bull): revenue growth path. FY2026A growth 17.8%, FY2025A 14.9% (10-K). Peer median LTM growth ~20% (Comps). Fades toward terminal growth by FY2036.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4</xdr:rowOff>
              </xdr:from>
              <xdr:to>
                <xdr:col>1</xdr:col>
                <xdr:colOff>-132</xdr:colOff>
                <xdr:row>7</xdr:row>
                <xdr:rowOff>4</xdr:rowOff>
              </xdr:to>
            </anchor>
          </commentPr>
        </mc:Choice>
        <mc:Fallback/>
      </mc:AlternateContent>
    </comment>
    <comment ref="J41" authorId="0">
      <text>
        <r>
          <rPr>
            <sz val="10"/>
            <rFont val="Arial"/>
            <family val="2"/>
          </rPr>
          <t xml:space="preserve">Assumption (Bull): EBIT margin. FY2026A 46.8%, FY2025A 45.6%. Peer median EBIT margin lower; MSFT mix supports mid-40s with D&amp;A headwind from AI capex.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4</xdr:rowOff>
              </xdr:from>
              <xdr:to>
                <xdr:col>1</xdr:col>
                <xdr:colOff>-132</xdr:colOff>
                <xdr:row>7</xdr:row>
                <xdr:rowOff>4</xdr:rowOff>
              </xdr:to>
            </anchor>
          </commentPr>
        </mc:Choice>
        <mc:Fallback/>
      </mc:AlternateContent>
    </comment>
    <comment ref="J42" authorId="0">
      <text>
        <r>
          <rPr>
            <sz val="10"/>
            <rFont val="Arial"/>
            <family val="2"/>
          </rPr>
          <t xml:space="preserve">Assumption (Bull): D&amp;A % revenue. FY2026A ~11.8% (39,000 est.); rises as FY2025-26 AI capex is depreciated, partly offset by 15-&gt;25yr useful-life change from FY2027 (TIKR, 2026-09-29).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4</xdr:rowOff>
              </xdr:from>
              <xdr:to>
                <xdr:col>1</xdr:col>
                <xdr:colOff>-132</xdr:colOff>
                <xdr:row>7</xdr:row>
                <xdr:rowOff>19</xdr:rowOff>
              </xdr:to>
            </anchor>
          </commentPr>
        </mc:Choice>
        <mc:Fallback/>
      </mc:AlternateContent>
    </comment>
    <comment ref="J43" authorId="0">
      <text>
        <r>
          <rPr>
            <sz val="10"/>
            <rFont val="Arial"/>
            <family val="2"/>
          </rPr>
          <t xml:space="preserve">Assumption (Bull): cash capex % revenue. FY2026A 34.9% (115,948, 10-K); Q1 FY2027 spend guided &gt;$50B incl. leases (TIKR 2026-09-29). Normalises toward ~15% as AI build-out matures.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4</xdr:rowOff>
              </xdr:from>
              <xdr:to>
                <xdr:col>1</xdr:col>
                <xdr:colOff>-132</xdr:colOff>
                <xdr:row>7</xdr:row>
                <xdr:rowOff>19</xdr:rowOff>
              </xdr:to>
            </anchor>
          </commentPr>
        </mc:Choice>
        <mc:Fallback/>
      </mc:AlternateContent>
    </comment>
    <comment ref="K22" authorId="0">
      <text>
        <r>
          <rPr>
            <sz val="10"/>
            <rFont val="Arial"/>
            <family val="2"/>
          </rPr>
          <t xml:space="preserve">Assumption (Bear): revenue growth path. FY2026A growth 17.8%, FY2025A 14.9% (10-K). Peer median LTM growth ~20% (Comps). Fades toward terminal growth by FY2036.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4</xdr:rowOff>
              </xdr:from>
              <xdr:to>
                <xdr:col>1</xdr:col>
                <xdr:colOff>-132</xdr:colOff>
                <xdr:row>7</xdr:row>
                <xdr:rowOff>4</xdr:rowOff>
              </xdr:to>
            </anchor>
          </commentPr>
        </mc:Choice>
        <mc:Fallback/>
      </mc:AlternateContent>
    </comment>
    <comment ref="K23" authorId="0">
      <text>
        <r>
          <rPr>
            <sz val="10"/>
            <rFont val="Arial"/>
            <family val="2"/>
          </rPr>
          <t xml:space="preserve">Assumption (Bear): EBIT margin. FY2026A 46.8%, FY2025A 45.6%. Peer median EBIT margin lower; MSFT mix supports mid-40s with D&amp;A headwind from AI capex.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4</xdr:rowOff>
              </xdr:from>
              <xdr:to>
                <xdr:col>1</xdr:col>
                <xdr:colOff>-132</xdr:colOff>
                <xdr:row>7</xdr:row>
                <xdr:rowOff>4</xdr:rowOff>
              </xdr:to>
            </anchor>
          </commentPr>
        </mc:Choice>
        <mc:Fallback/>
      </mc:AlternateContent>
    </comment>
    <comment ref="K24" authorId="0">
      <text>
        <r>
          <rPr>
            <sz val="10"/>
            <rFont val="Arial"/>
            <family val="2"/>
          </rPr>
          <t xml:space="preserve">Assumption (Bear): D&amp;A % revenue. FY2026A ~11.8% (39,000 est.); rises as FY2025-26 AI capex is depreciated, partly offset by 15-&gt;25yr useful-life change from FY2027 (TIKR, 2026-09-29).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4</xdr:rowOff>
              </xdr:from>
              <xdr:to>
                <xdr:col>1</xdr:col>
                <xdr:colOff>-132</xdr:colOff>
                <xdr:row>7</xdr:row>
                <xdr:rowOff>19</xdr:rowOff>
              </xdr:to>
            </anchor>
          </commentPr>
        </mc:Choice>
        <mc:Fallback/>
      </mc:AlternateContent>
    </comment>
    <comment ref="K25" authorId="0">
      <text>
        <r>
          <rPr>
            <sz val="10"/>
            <rFont val="Arial"/>
            <family val="2"/>
          </rPr>
          <t xml:space="preserve">Assumption (Bear): cash capex % revenue. FY2026A 34.9% (115,948, 10-K); Q1 FY2027 spend guided &gt;$50B incl. leases (TIKR 2026-09-29). Normalises toward ~15% as AI build-out matures.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4</xdr:rowOff>
              </xdr:from>
              <xdr:to>
                <xdr:col>1</xdr:col>
                <xdr:colOff>-132</xdr:colOff>
                <xdr:row>7</xdr:row>
                <xdr:rowOff>19</xdr:rowOff>
              </xdr:to>
            </anchor>
          </commentPr>
        </mc:Choice>
        <mc:Fallback/>
      </mc:AlternateContent>
    </comment>
    <comment ref="K31" authorId="0">
      <text>
        <r>
          <rPr>
            <sz val="10"/>
            <rFont val="Arial"/>
            <family val="2"/>
          </rPr>
          <t xml:space="preserve">Assumption (Base): revenue growth path. FY2026A growth 17.8%, FY2025A 14.9% (10-K). Peer median LTM growth ~20% (Comps). Fades toward terminal growth by FY2036.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4</xdr:rowOff>
              </xdr:from>
              <xdr:to>
                <xdr:col>1</xdr:col>
                <xdr:colOff>-132</xdr:colOff>
                <xdr:row>7</xdr:row>
                <xdr:rowOff>4</xdr:rowOff>
              </xdr:to>
            </anchor>
          </commentPr>
        </mc:Choice>
        <mc:Fallback/>
      </mc:AlternateContent>
    </comment>
    <comment ref="K32" authorId="0">
      <text>
        <r>
          <rPr>
            <sz val="10"/>
            <rFont val="Arial"/>
            <family val="2"/>
          </rPr>
          <t xml:space="preserve">Assumption (Base): EBIT margin. FY2026A 46.8%, FY2025A 45.6%. Peer median EBIT margin lower; MSFT mix supports mid-40s with D&amp;A headwind from AI capex.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4</xdr:rowOff>
              </xdr:from>
              <xdr:to>
                <xdr:col>1</xdr:col>
                <xdr:colOff>-132</xdr:colOff>
                <xdr:row>7</xdr:row>
                <xdr:rowOff>4</xdr:rowOff>
              </xdr:to>
            </anchor>
          </commentPr>
        </mc:Choice>
        <mc:Fallback/>
      </mc:AlternateContent>
    </comment>
    <comment ref="K33" authorId="0">
      <text>
        <r>
          <rPr>
            <sz val="10"/>
            <rFont val="Arial"/>
            <family val="2"/>
          </rPr>
          <t xml:space="preserve">Assumption (Base): D&amp;A % revenue. FY2026A ~11.8% (39,000 est.); rises as FY2025-26 AI capex is depreciated, partly offset by 15-&gt;25yr useful-life change from FY2027 (TIKR, 2026-09-29).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4</xdr:rowOff>
              </xdr:from>
              <xdr:to>
                <xdr:col>1</xdr:col>
                <xdr:colOff>-132</xdr:colOff>
                <xdr:row>7</xdr:row>
                <xdr:rowOff>19</xdr:rowOff>
              </xdr:to>
            </anchor>
          </commentPr>
        </mc:Choice>
        <mc:Fallback/>
      </mc:AlternateContent>
    </comment>
    <comment ref="K34" authorId="0">
      <text>
        <r>
          <rPr>
            <sz val="10"/>
            <rFont val="Arial"/>
            <family val="2"/>
          </rPr>
          <t xml:space="preserve">Assumption (Base): cash capex % revenue. FY2026A 34.9% (115,948, 10-K); Q1 FY2027 spend guided &gt;$50B incl. leases (TIKR 2026-09-29). Normalises toward ~15% as AI build-out matures.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4</xdr:rowOff>
              </xdr:from>
              <xdr:to>
                <xdr:col>1</xdr:col>
                <xdr:colOff>-132</xdr:colOff>
                <xdr:row>7</xdr:row>
                <xdr:rowOff>19</xdr:rowOff>
              </xdr:to>
            </anchor>
          </commentPr>
        </mc:Choice>
        <mc:Fallback/>
      </mc:AlternateContent>
    </comment>
    <comment ref="K40" authorId="0">
      <text>
        <r>
          <rPr>
            <sz val="10"/>
            <rFont val="Arial"/>
            <family val="2"/>
          </rPr>
          <t xml:space="preserve">Assumption (Bull): revenue growth path. FY2026A growth 17.8%, FY2025A 14.9% (10-K). Peer median LTM growth ~20% (Comps). Fades toward terminal growth by FY2036.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4</xdr:rowOff>
              </xdr:from>
              <xdr:to>
                <xdr:col>1</xdr:col>
                <xdr:colOff>-132</xdr:colOff>
                <xdr:row>7</xdr:row>
                <xdr:rowOff>4</xdr:rowOff>
              </xdr:to>
            </anchor>
          </commentPr>
        </mc:Choice>
        <mc:Fallback/>
      </mc:AlternateContent>
    </comment>
    <comment ref="K41" authorId="0">
      <text>
        <r>
          <rPr>
            <sz val="10"/>
            <rFont val="Arial"/>
            <family val="2"/>
          </rPr>
          <t xml:space="preserve">Assumption (Bull): EBIT margin. FY2026A 46.8%, FY2025A 45.6%. Peer median EBIT margin lower; MSFT mix supports mid-40s with D&amp;A headwind from AI capex.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4</xdr:rowOff>
              </xdr:from>
              <xdr:to>
                <xdr:col>1</xdr:col>
                <xdr:colOff>-132</xdr:colOff>
                <xdr:row>7</xdr:row>
                <xdr:rowOff>4</xdr:rowOff>
              </xdr:to>
            </anchor>
          </commentPr>
        </mc:Choice>
        <mc:Fallback/>
      </mc:AlternateContent>
    </comment>
    <comment ref="K42" authorId="0">
      <text>
        <r>
          <rPr>
            <sz val="10"/>
            <rFont val="Arial"/>
            <family val="2"/>
          </rPr>
          <t xml:space="preserve">Assumption (Bull): D&amp;A % revenue. FY2026A ~11.8% (39,000 est.); rises as FY2025-26 AI capex is depreciated, partly offset by 15-&gt;25yr useful-life change from FY2027 (TIKR, 2026-09-29).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4</xdr:rowOff>
              </xdr:from>
              <xdr:to>
                <xdr:col>1</xdr:col>
                <xdr:colOff>-132</xdr:colOff>
                <xdr:row>7</xdr:row>
                <xdr:rowOff>19</xdr:rowOff>
              </xdr:to>
            </anchor>
          </commentPr>
        </mc:Choice>
        <mc:Fallback/>
      </mc:AlternateContent>
    </comment>
    <comment ref="K43" authorId="0">
      <text>
        <r>
          <rPr>
            <sz val="10"/>
            <rFont val="Arial"/>
            <family val="2"/>
          </rPr>
          <t xml:space="preserve">Assumption (Bull): cash capex % revenue. FY2026A 34.9% (115,948, 10-K); Q1 FY2027 spend guided &gt;$50B incl. leases (TIKR 2026-09-29). Normalises toward ~15% as AI build-out matures.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4</xdr:rowOff>
              </xdr:from>
              <xdr:to>
                <xdr:col>1</xdr:col>
                <xdr:colOff>-132</xdr:colOff>
                <xdr:row>7</xdr:row>
                <xdr:rowOff>19</xdr:rowOff>
              </xdr:to>
            </anchor>
          </commentPr>
        </mc:Choice>
        <mc:Fallback/>
      </mc:AlternateContent>
    </comment>
    <comment ref="L22" authorId="0">
      <text>
        <r>
          <rPr>
            <sz val="10"/>
            <rFont val="Arial"/>
            <family val="2"/>
          </rPr>
          <t xml:space="preserve">Assumption (Bear): revenue growth path. FY2026A growth 17.8%, FY2025A 14.9% (10-K). Peer median LTM growth ~20% (Comps). Fades toward terminal growth by FY2036.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4</xdr:rowOff>
              </xdr:from>
              <xdr:to>
                <xdr:col>1</xdr:col>
                <xdr:colOff>-132</xdr:colOff>
                <xdr:row>7</xdr:row>
                <xdr:rowOff>4</xdr:rowOff>
              </xdr:to>
            </anchor>
          </commentPr>
        </mc:Choice>
        <mc:Fallback/>
      </mc:AlternateContent>
    </comment>
    <comment ref="L23" authorId="0">
      <text>
        <r>
          <rPr>
            <sz val="10"/>
            <rFont val="Arial"/>
            <family val="2"/>
          </rPr>
          <t xml:space="preserve">Assumption (Bear): EBIT margin. FY2026A 46.8%, FY2025A 45.6%. Peer median EBIT margin lower; MSFT mix supports mid-40s with D&amp;A headwind from AI capex.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4</xdr:rowOff>
              </xdr:from>
              <xdr:to>
                <xdr:col>1</xdr:col>
                <xdr:colOff>-132</xdr:colOff>
                <xdr:row>7</xdr:row>
                <xdr:rowOff>4</xdr:rowOff>
              </xdr:to>
            </anchor>
          </commentPr>
        </mc:Choice>
        <mc:Fallback/>
      </mc:AlternateContent>
    </comment>
    <comment ref="L24" authorId="0">
      <text>
        <r>
          <rPr>
            <sz val="10"/>
            <rFont val="Arial"/>
            <family val="2"/>
          </rPr>
          <t xml:space="preserve">Assumption (Bear): D&amp;A % revenue. FY2026A ~11.8% (39,000 est.); rises as FY2025-26 AI capex is depreciated, partly offset by 15-&gt;25yr useful-life change from FY2027 (TIKR, 2026-09-29).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4</xdr:rowOff>
              </xdr:from>
              <xdr:to>
                <xdr:col>1</xdr:col>
                <xdr:colOff>-132</xdr:colOff>
                <xdr:row>7</xdr:row>
                <xdr:rowOff>19</xdr:rowOff>
              </xdr:to>
            </anchor>
          </commentPr>
        </mc:Choice>
        <mc:Fallback/>
      </mc:AlternateContent>
    </comment>
    <comment ref="L25" authorId="0">
      <text>
        <r>
          <rPr>
            <sz val="10"/>
            <rFont val="Arial"/>
            <family val="2"/>
          </rPr>
          <t xml:space="preserve">Assumption (Bear): cash capex % revenue. FY2026A 34.9% (115,948, 10-K); Q1 FY2027 spend guided &gt;$50B incl. leases (TIKR 2026-09-29). Normalises toward ~15% as AI build-out matures.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4</xdr:rowOff>
              </xdr:from>
              <xdr:to>
                <xdr:col>1</xdr:col>
                <xdr:colOff>-132</xdr:colOff>
                <xdr:row>7</xdr:row>
                <xdr:rowOff>19</xdr:rowOff>
              </xdr:to>
            </anchor>
          </commentPr>
        </mc:Choice>
        <mc:Fallback/>
      </mc:AlternateContent>
    </comment>
    <comment ref="L31" authorId="0">
      <text>
        <r>
          <rPr>
            <sz val="10"/>
            <rFont val="Arial"/>
            <family val="2"/>
          </rPr>
          <t xml:space="preserve">Assumption (Base): revenue growth path. FY2026A growth 17.8%, FY2025A 14.9% (10-K). Peer median LTM growth ~20% (Comps). Fades toward terminal growth by FY2036.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4</xdr:rowOff>
              </xdr:from>
              <xdr:to>
                <xdr:col>1</xdr:col>
                <xdr:colOff>-132</xdr:colOff>
                <xdr:row>7</xdr:row>
                <xdr:rowOff>4</xdr:rowOff>
              </xdr:to>
            </anchor>
          </commentPr>
        </mc:Choice>
        <mc:Fallback/>
      </mc:AlternateContent>
    </comment>
    <comment ref="L32" authorId="0">
      <text>
        <r>
          <rPr>
            <sz val="10"/>
            <rFont val="Arial"/>
            <family val="2"/>
          </rPr>
          <t xml:space="preserve">Assumption (Base): EBIT margin. FY2026A 46.8%, FY2025A 45.6%. Peer median EBIT margin lower; MSFT mix supports mid-40s with D&amp;A headwind from AI capex.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4</xdr:rowOff>
              </xdr:from>
              <xdr:to>
                <xdr:col>1</xdr:col>
                <xdr:colOff>-132</xdr:colOff>
                <xdr:row>7</xdr:row>
                <xdr:rowOff>4</xdr:rowOff>
              </xdr:to>
            </anchor>
          </commentPr>
        </mc:Choice>
        <mc:Fallback/>
      </mc:AlternateContent>
    </comment>
    <comment ref="L33" authorId="0">
      <text>
        <r>
          <rPr>
            <sz val="10"/>
            <rFont val="Arial"/>
            <family val="2"/>
          </rPr>
          <t xml:space="preserve">Assumption (Base): D&amp;A % revenue. FY2026A ~11.8% (39,000 est.); rises as FY2025-26 AI capex is depreciated, partly offset by 15-&gt;25yr useful-life change from FY2027 (TIKR, 2026-09-29).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4</xdr:rowOff>
              </xdr:from>
              <xdr:to>
                <xdr:col>1</xdr:col>
                <xdr:colOff>-132</xdr:colOff>
                <xdr:row>7</xdr:row>
                <xdr:rowOff>19</xdr:rowOff>
              </xdr:to>
            </anchor>
          </commentPr>
        </mc:Choice>
        <mc:Fallback/>
      </mc:AlternateContent>
    </comment>
    <comment ref="L34" authorId="0">
      <text>
        <r>
          <rPr>
            <sz val="10"/>
            <rFont val="Arial"/>
            <family val="2"/>
          </rPr>
          <t xml:space="preserve">Assumption (Base): cash capex % revenue. FY2026A 34.9% (115,948, 10-K); Q1 FY2027 spend guided &gt;$50B incl. leases (TIKR 2026-09-29). Normalises toward ~15% as AI build-out matures.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4</xdr:rowOff>
              </xdr:from>
              <xdr:to>
                <xdr:col>1</xdr:col>
                <xdr:colOff>-132</xdr:colOff>
                <xdr:row>7</xdr:row>
                <xdr:rowOff>19</xdr:rowOff>
              </xdr:to>
            </anchor>
          </commentPr>
        </mc:Choice>
        <mc:Fallback/>
      </mc:AlternateContent>
    </comment>
    <comment ref="L40" authorId="0">
      <text>
        <r>
          <rPr>
            <sz val="10"/>
            <rFont val="Arial"/>
            <family val="2"/>
          </rPr>
          <t xml:space="preserve">Assumption (Bull): revenue growth path. FY2026A growth 17.8%, FY2025A 14.9% (10-K). Peer median LTM growth ~20% (Comps). Fades toward terminal growth by FY2036.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4</xdr:rowOff>
              </xdr:from>
              <xdr:to>
                <xdr:col>1</xdr:col>
                <xdr:colOff>-132</xdr:colOff>
                <xdr:row>7</xdr:row>
                <xdr:rowOff>4</xdr:rowOff>
              </xdr:to>
            </anchor>
          </commentPr>
        </mc:Choice>
        <mc:Fallback/>
      </mc:AlternateContent>
    </comment>
    <comment ref="L41" authorId="0">
      <text>
        <r>
          <rPr>
            <sz val="10"/>
            <rFont val="Arial"/>
            <family val="2"/>
          </rPr>
          <t xml:space="preserve">Assumption (Bull): EBIT margin. FY2026A 46.8%, FY2025A 45.6%. Peer median EBIT margin lower; MSFT mix supports mid-40s with D&amp;A headwind from AI capex.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4</xdr:rowOff>
              </xdr:from>
              <xdr:to>
                <xdr:col>1</xdr:col>
                <xdr:colOff>-132</xdr:colOff>
                <xdr:row>7</xdr:row>
                <xdr:rowOff>4</xdr:rowOff>
              </xdr:to>
            </anchor>
          </commentPr>
        </mc:Choice>
        <mc:Fallback/>
      </mc:AlternateContent>
    </comment>
    <comment ref="L42" authorId="0">
      <text>
        <r>
          <rPr>
            <sz val="10"/>
            <rFont val="Arial"/>
            <family val="2"/>
          </rPr>
          <t xml:space="preserve">Assumption (Bull): D&amp;A % revenue. FY2026A ~11.8% (39,000 est.); rises as FY2025-26 AI capex is depreciated, partly offset by 15-&gt;25yr useful-life change from FY2027 (TIKR, 2026-09-29).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4</xdr:rowOff>
              </xdr:from>
              <xdr:to>
                <xdr:col>1</xdr:col>
                <xdr:colOff>-132</xdr:colOff>
                <xdr:row>7</xdr:row>
                <xdr:rowOff>19</xdr:rowOff>
              </xdr:to>
            </anchor>
          </commentPr>
        </mc:Choice>
        <mc:Fallback/>
      </mc:AlternateContent>
    </comment>
    <comment ref="L43" authorId="0">
      <text>
        <r>
          <rPr>
            <sz val="10"/>
            <rFont val="Arial"/>
            <family val="2"/>
          </rPr>
          <t xml:space="preserve">Assumption (Bull): cash capex % revenue. FY2026A 34.9% (115,948, 10-K); Q1 FY2027 spend guided &gt;$50B incl. leases (TIKR 2026-09-29). Normalises toward ~15% as AI build-out matures.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4</xdr:rowOff>
              </xdr:from>
              <xdr:to>
                <xdr:col>1</xdr:col>
                <xdr:colOff>-132</xdr:colOff>
                <xdr:row>7</xdr:row>
                <xdr:rowOff>19</xdr:rowOff>
              </xdr:to>
            </anchor>
          </commentPr>
        </mc:Choice>
        <mc:Fallback/>
      </mc:AlternateContent>
    </comment>
    <comment ref="M22" authorId="0">
      <text>
        <r>
          <rPr>
            <sz val="10"/>
            <rFont val="Arial"/>
            <family val="2"/>
          </rPr>
          <t xml:space="preserve">Assumption (Bear): revenue growth path. FY2026A growth 17.8%, FY2025A 14.9% (10-K). Peer median LTM growth ~20% (Comps). Fades toward terminal growth by FY2036.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4</xdr:rowOff>
              </xdr:from>
              <xdr:to>
                <xdr:col>1</xdr:col>
                <xdr:colOff>-132</xdr:colOff>
                <xdr:row>7</xdr:row>
                <xdr:rowOff>4</xdr:rowOff>
              </xdr:to>
            </anchor>
          </commentPr>
        </mc:Choice>
        <mc:Fallback/>
      </mc:AlternateContent>
    </comment>
    <comment ref="M23" authorId="0">
      <text>
        <r>
          <rPr>
            <sz val="10"/>
            <rFont val="Arial"/>
            <family val="2"/>
          </rPr>
          <t xml:space="preserve">Assumption (Bear): EBIT margin. FY2026A 46.8%, FY2025A 45.6%. Peer median EBIT margin lower; MSFT mix supports mid-40s with D&amp;A headwind from AI capex.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4</xdr:rowOff>
              </xdr:from>
              <xdr:to>
                <xdr:col>1</xdr:col>
                <xdr:colOff>-132</xdr:colOff>
                <xdr:row>7</xdr:row>
                <xdr:rowOff>4</xdr:rowOff>
              </xdr:to>
            </anchor>
          </commentPr>
        </mc:Choice>
        <mc:Fallback/>
      </mc:AlternateContent>
    </comment>
    <comment ref="M24" authorId="0">
      <text>
        <r>
          <rPr>
            <sz val="10"/>
            <rFont val="Arial"/>
            <family val="2"/>
          </rPr>
          <t xml:space="preserve">Assumption (Bear): D&amp;A % revenue. FY2026A ~11.8% (39,000 est.); rises as FY2025-26 AI capex is depreciated, partly offset by 15-&gt;25yr useful-life change from FY2027 (TIKR, 2026-09-29).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4</xdr:rowOff>
              </xdr:from>
              <xdr:to>
                <xdr:col>1</xdr:col>
                <xdr:colOff>-132</xdr:colOff>
                <xdr:row>7</xdr:row>
                <xdr:rowOff>19</xdr:rowOff>
              </xdr:to>
            </anchor>
          </commentPr>
        </mc:Choice>
        <mc:Fallback/>
      </mc:AlternateContent>
    </comment>
    <comment ref="M25" authorId="0">
      <text>
        <r>
          <rPr>
            <sz val="10"/>
            <rFont val="Arial"/>
            <family val="2"/>
          </rPr>
          <t xml:space="preserve">Assumption (Bear): cash capex % revenue. FY2026A 34.9% (115,948, 10-K); Q1 FY2027 spend guided &gt;$50B incl. leases (TIKR 2026-09-29). Normalises toward ~15% as AI build-out matures.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4</xdr:rowOff>
              </xdr:from>
              <xdr:to>
                <xdr:col>1</xdr:col>
                <xdr:colOff>-132</xdr:colOff>
                <xdr:row>7</xdr:row>
                <xdr:rowOff>19</xdr:rowOff>
              </xdr:to>
            </anchor>
          </commentPr>
        </mc:Choice>
        <mc:Fallback/>
      </mc:AlternateContent>
    </comment>
    <comment ref="M31" authorId="0">
      <text>
        <r>
          <rPr>
            <sz val="10"/>
            <rFont val="Arial"/>
            <family val="2"/>
          </rPr>
          <t xml:space="preserve">Assumption (Base): revenue growth path. FY2026A growth 17.8%, FY2025A 14.9% (10-K). Peer median LTM growth ~20% (Comps). Fades toward terminal growth by FY2036.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4</xdr:rowOff>
              </xdr:from>
              <xdr:to>
                <xdr:col>1</xdr:col>
                <xdr:colOff>-132</xdr:colOff>
                <xdr:row>7</xdr:row>
                <xdr:rowOff>4</xdr:rowOff>
              </xdr:to>
            </anchor>
          </commentPr>
        </mc:Choice>
        <mc:Fallback/>
      </mc:AlternateContent>
    </comment>
    <comment ref="M32" authorId="0">
      <text>
        <r>
          <rPr>
            <sz val="10"/>
            <rFont val="Arial"/>
            <family val="2"/>
          </rPr>
          <t xml:space="preserve">Assumption (Base): EBIT margin. FY2026A 46.8%, FY2025A 45.6%. Peer median EBIT margin lower; MSFT mix supports mid-40s with D&amp;A headwind from AI capex.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4</xdr:rowOff>
              </xdr:from>
              <xdr:to>
                <xdr:col>1</xdr:col>
                <xdr:colOff>-132</xdr:colOff>
                <xdr:row>7</xdr:row>
                <xdr:rowOff>4</xdr:rowOff>
              </xdr:to>
            </anchor>
          </commentPr>
        </mc:Choice>
        <mc:Fallback/>
      </mc:AlternateContent>
    </comment>
    <comment ref="M33" authorId="0">
      <text>
        <r>
          <rPr>
            <sz val="10"/>
            <rFont val="Arial"/>
            <family val="2"/>
          </rPr>
          <t xml:space="preserve">Assumption (Base): D&amp;A % revenue. FY2026A ~11.8% (39,000 est.); rises as FY2025-26 AI capex is depreciated, partly offset by 15-&gt;25yr useful-life change from FY2027 (TIKR, 2026-09-29).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4</xdr:rowOff>
              </xdr:from>
              <xdr:to>
                <xdr:col>1</xdr:col>
                <xdr:colOff>-132</xdr:colOff>
                <xdr:row>7</xdr:row>
                <xdr:rowOff>19</xdr:rowOff>
              </xdr:to>
            </anchor>
          </commentPr>
        </mc:Choice>
        <mc:Fallback/>
      </mc:AlternateContent>
    </comment>
    <comment ref="M34" authorId="0">
      <text>
        <r>
          <rPr>
            <sz val="10"/>
            <rFont val="Arial"/>
            <family val="2"/>
          </rPr>
          <t xml:space="preserve">Assumption (Base): cash capex % revenue. FY2026A 34.9% (115,948, 10-K); Q1 FY2027 spend guided &gt;$50B incl. leases (TIKR 2026-09-29). Normalises toward ~15% as AI build-out matures.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4</xdr:rowOff>
              </xdr:from>
              <xdr:to>
                <xdr:col>1</xdr:col>
                <xdr:colOff>-132</xdr:colOff>
                <xdr:row>7</xdr:row>
                <xdr:rowOff>19</xdr:rowOff>
              </xdr:to>
            </anchor>
          </commentPr>
        </mc:Choice>
        <mc:Fallback/>
      </mc:AlternateContent>
    </comment>
    <comment ref="M40" authorId="0">
      <text>
        <r>
          <rPr>
            <sz val="10"/>
            <rFont val="Arial"/>
            <family val="2"/>
          </rPr>
          <t xml:space="preserve">Assumption (Bull): revenue growth path. FY2026A growth 17.8%, FY2025A 14.9% (10-K). Peer median LTM growth ~20% (Comps). Fades toward terminal growth by FY2036.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4</xdr:rowOff>
              </xdr:from>
              <xdr:to>
                <xdr:col>1</xdr:col>
                <xdr:colOff>-132</xdr:colOff>
                <xdr:row>7</xdr:row>
                <xdr:rowOff>4</xdr:rowOff>
              </xdr:to>
            </anchor>
          </commentPr>
        </mc:Choice>
        <mc:Fallback/>
      </mc:AlternateContent>
    </comment>
    <comment ref="M41" authorId="0">
      <text>
        <r>
          <rPr>
            <sz val="10"/>
            <rFont val="Arial"/>
            <family val="2"/>
          </rPr>
          <t xml:space="preserve">Assumption (Bull): EBIT margin. FY2026A 46.8%, FY2025A 45.6%. Peer median EBIT margin lower; MSFT mix supports mid-40s with D&amp;A headwind from AI capex.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4</xdr:rowOff>
              </xdr:from>
              <xdr:to>
                <xdr:col>1</xdr:col>
                <xdr:colOff>-132</xdr:colOff>
                <xdr:row>7</xdr:row>
                <xdr:rowOff>4</xdr:rowOff>
              </xdr:to>
            </anchor>
          </commentPr>
        </mc:Choice>
        <mc:Fallback/>
      </mc:AlternateContent>
    </comment>
    <comment ref="M42" authorId="0">
      <text>
        <r>
          <rPr>
            <sz val="10"/>
            <rFont val="Arial"/>
            <family val="2"/>
          </rPr>
          <t xml:space="preserve">Assumption (Bull): D&amp;A % revenue. FY2026A ~11.8% (39,000 est.); rises as FY2025-26 AI capex is depreciated, partly offset by 15-&gt;25yr useful-life change from FY2027 (TIKR, 2026-09-29).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4</xdr:rowOff>
              </xdr:from>
              <xdr:to>
                <xdr:col>1</xdr:col>
                <xdr:colOff>-132</xdr:colOff>
                <xdr:row>7</xdr:row>
                <xdr:rowOff>19</xdr:rowOff>
              </xdr:to>
            </anchor>
          </commentPr>
        </mc:Choice>
        <mc:Fallback/>
      </mc:AlternateContent>
    </comment>
    <comment ref="M43" authorId="0">
      <text>
        <r>
          <rPr>
            <sz val="10"/>
            <rFont val="Arial"/>
            <family val="2"/>
          </rPr>
          <t xml:space="preserve">Assumption (Bull): cash capex % revenue. FY2026A 34.9% (115,948, 10-K); Q1 FY2027 spend guided &gt;$50B incl. leases (TIKR 2026-09-29). Normalises toward ~15% as AI build-out matures.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4</xdr:rowOff>
              </xdr:from>
              <xdr:to>
                <xdr:col>1</xdr:col>
                <xdr:colOff>-132</xdr:colOff>
                <xdr:row>7</xdr:row>
                <xdr:rowOff>19</xdr:rowOff>
              </xdr:to>
            </anchor>
          </commentPr>
        </mc:Choice>
        <mc:Fallback/>
      </mc:AlternateContent>
    </comment>
    <comment ref="N22" authorId="0">
      <text>
        <r>
          <rPr>
            <sz val="10"/>
            <rFont val="Arial"/>
            <family val="2"/>
          </rPr>
          <t xml:space="preserve">Assumption (Bear): revenue growth path. FY2026A growth 17.8%, FY2025A 14.9% (10-K). Peer median LTM growth ~20% (Comps). Fades toward terminal growth by FY2036.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4</xdr:rowOff>
              </xdr:from>
              <xdr:to>
                <xdr:col>1</xdr:col>
                <xdr:colOff>-132</xdr:colOff>
                <xdr:row>7</xdr:row>
                <xdr:rowOff>4</xdr:rowOff>
              </xdr:to>
            </anchor>
          </commentPr>
        </mc:Choice>
        <mc:Fallback/>
      </mc:AlternateContent>
    </comment>
    <comment ref="N23" authorId="0">
      <text>
        <r>
          <rPr>
            <sz val="10"/>
            <rFont val="Arial"/>
            <family val="2"/>
          </rPr>
          <t xml:space="preserve">Assumption (Bear): EBIT margin. FY2026A 46.8%, FY2025A 45.6%. Peer median EBIT margin lower; MSFT mix supports mid-40s with D&amp;A headwind from AI capex.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4</xdr:rowOff>
              </xdr:from>
              <xdr:to>
                <xdr:col>1</xdr:col>
                <xdr:colOff>-132</xdr:colOff>
                <xdr:row>7</xdr:row>
                <xdr:rowOff>4</xdr:rowOff>
              </xdr:to>
            </anchor>
          </commentPr>
        </mc:Choice>
        <mc:Fallback/>
      </mc:AlternateContent>
    </comment>
    <comment ref="N24" authorId="0">
      <text>
        <r>
          <rPr>
            <sz val="10"/>
            <rFont val="Arial"/>
            <family val="2"/>
          </rPr>
          <t xml:space="preserve">Assumption (Bear): D&amp;A % revenue. FY2026A ~11.8% (39,000 est.); rises as FY2025-26 AI capex is depreciated, partly offset by 15-&gt;25yr useful-life change from FY2027 (TIKR, 2026-09-29).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4</xdr:rowOff>
              </xdr:from>
              <xdr:to>
                <xdr:col>1</xdr:col>
                <xdr:colOff>-132</xdr:colOff>
                <xdr:row>7</xdr:row>
                <xdr:rowOff>19</xdr:rowOff>
              </xdr:to>
            </anchor>
          </commentPr>
        </mc:Choice>
        <mc:Fallback/>
      </mc:AlternateContent>
    </comment>
    <comment ref="N25" authorId="0">
      <text>
        <r>
          <rPr>
            <sz val="10"/>
            <rFont val="Arial"/>
            <family val="2"/>
          </rPr>
          <t xml:space="preserve">Assumption (Bear): cash capex % revenue. FY2026A 34.9% (115,948, 10-K); Q1 FY2027 spend guided &gt;$50B incl. leases (TIKR 2026-09-29). Normalises toward ~15% as AI build-out matures.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4</xdr:rowOff>
              </xdr:from>
              <xdr:to>
                <xdr:col>1</xdr:col>
                <xdr:colOff>-132</xdr:colOff>
                <xdr:row>7</xdr:row>
                <xdr:rowOff>19</xdr:rowOff>
              </xdr:to>
            </anchor>
          </commentPr>
        </mc:Choice>
        <mc:Fallback/>
      </mc:AlternateContent>
    </comment>
    <comment ref="N31" authorId="0">
      <text>
        <r>
          <rPr>
            <sz val="10"/>
            <rFont val="Arial"/>
            <family val="2"/>
          </rPr>
          <t xml:space="preserve">Assumption (Base): revenue growth path. FY2026A growth 17.8%, FY2025A 14.9% (10-K). Peer median LTM growth ~20% (Comps). Fades toward terminal growth by FY2036.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4</xdr:rowOff>
              </xdr:from>
              <xdr:to>
                <xdr:col>1</xdr:col>
                <xdr:colOff>-132</xdr:colOff>
                <xdr:row>7</xdr:row>
                <xdr:rowOff>4</xdr:rowOff>
              </xdr:to>
            </anchor>
          </commentPr>
        </mc:Choice>
        <mc:Fallback/>
      </mc:AlternateContent>
    </comment>
    <comment ref="N32" authorId="0">
      <text>
        <r>
          <rPr>
            <sz val="10"/>
            <rFont val="Arial"/>
            <family val="2"/>
          </rPr>
          <t xml:space="preserve">Assumption (Base): EBIT margin. FY2026A 46.8%, FY2025A 45.6%. Peer median EBIT margin lower; MSFT mix supports mid-40s with D&amp;A headwind from AI capex.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4</xdr:rowOff>
              </xdr:from>
              <xdr:to>
                <xdr:col>1</xdr:col>
                <xdr:colOff>-132</xdr:colOff>
                <xdr:row>7</xdr:row>
                <xdr:rowOff>4</xdr:rowOff>
              </xdr:to>
            </anchor>
          </commentPr>
        </mc:Choice>
        <mc:Fallback/>
      </mc:AlternateContent>
    </comment>
    <comment ref="N33" authorId="0">
      <text>
        <r>
          <rPr>
            <sz val="10"/>
            <rFont val="Arial"/>
            <family val="2"/>
          </rPr>
          <t xml:space="preserve">Assumption (Base): D&amp;A % revenue. FY2026A ~11.8% (39,000 est.); rises as FY2025-26 AI capex is depreciated, partly offset by 15-&gt;25yr useful-life change from FY2027 (TIKR, 2026-09-29).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4</xdr:rowOff>
              </xdr:from>
              <xdr:to>
                <xdr:col>1</xdr:col>
                <xdr:colOff>-132</xdr:colOff>
                <xdr:row>7</xdr:row>
                <xdr:rowOff>19</xdr:rowOff>
              </xdr:to>
            </anchor>
          </commentPr>
        </mc:Choice>
        <mc:Fallback/>
      </mc:AlternateContent>
    </comment>
    <comment ref="N34" authorId="0">
      <text>
        <r>
          <rPr>
            <sz val="10"/>
            <rFont val="Arial"/>
            <family val="2"/>
          </rPr>
          <t xml:space="preserve">Assumption (Base): cash capex % revenue. FY2026A 34.9% (115,948, 10-K); Q1 FY2027 spend guided &gt;$50B incl. leases (TIKR 2026-09-29). Normalises toward ~15% as AI build-out matures.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4</xdr:rowOff>
              </xdr:from>
              <xdr:to>
                <xdr:col>1</xdr:col>
                <xdr:colOff>-132</xdr:colOff>
                <xdr:row>7</xdr:row>
                <xdr:rowOff>19</xdr:rowOff>
              </xdr:to>
            </anchor>
          </commentPr>
        </mc:Choice>
        <mc:Fallback/>
      </mc:AlternateContent>
    </comment>
    <comment ref="N40" authorId="0">
      <text>
        <r>
          <rPr>
            <sz val="10"/>
            <rFont val="Arial"/>
            <family val="2"/>
          </rPr>
          <t xml:space="preserve">Assumption (Bull): revenue growth path. FY2026A growth 17.8%, FY2025A 14.9% (10-K). Peer median LTM growth ~20% (Comps). Fades toward terminal growth by FY2036.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4</xdr:rowOff>
              </xdr:from>
              <xdr:to>
                <xdr:col>1</xdr:col>
                <xdr:colOff>-132</xdr:colOff>
                <xdr:row>7</xdr:row>
                <xdr:rowOff>4</xdr:rowOff>
              </xdr:to>
            </anchor>
          </commentPr>
        </mc:Choice>
        <mc:Fallback/>
      </mc:AlternateContent>
    </comment>
    <comment ref="N41" authorId="0">
      <text>
        <r>
          <rPr>
            <sz val="10"/>
            <rFont val="Arial"/>
            <family val="2"/>
          </rPr>
          <t xml:space="preserve">Assumption (Bull): EBIT margin. FY2026A 46.8%, FY2025A 45.6%. Peer median EBIT margin lower; MSFT mix supports mid-40s with D&amp;A headwind from AI capex.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4</xdr:rowOff>
              </xdr:from>
              <xdr:to>
                <xdr:col>1</xdr:col>
                <xdr:colOff>-132</xdr:colOff>
                <xdr:row>7</xdr:row>
                <xdr:rowOff>4</xdr:rowOff>
              </xdr:to>
            </anchor>
          </commentPr>
        </mc:Choice>
        <mc:Fallback/>
      </mc:AlternateContent>
    </comment>
    <comment ref="N42" authorId="0">
      <text>
        <r>
          <rPr>
            <sz val="10"/>
            <rFont val="Arial"/>
            <family val="2"/>
          </rPr>
          <t xml:space="preserve">Assumption (Bull): D&amp;A % revenue. FY2026A ~11.8% (39,000 est.); rises as FY2025-26 AI capex is depreciated, partly offset by 15-&gt;25yr useful-life change from FY2027 (TIKR, 2026-09-29).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4</xdr:rowOff>
              </xdr:from>
              <xdr:to>
                <xdr:col>1</xdr:col>
                <xdr:colOff>-132</xdr:colOff>
                <xdr:row>7</xdr:row>
                <xdr:rowOff>19</xdr:rowOff>
              </xdr:to>
            </anchor>
          </commentPr>
        </mc:Choice>
        <mc:Fallback/>
      </mc:AlternateContent>
    </comment>
    <comment ref="N43" authorId="0">
      <text>
        <r>
          <rPr>
            <sz val="10"/>
            <rFont val="Arial"/>
            <family val="2"/>
          </rPr>
          <t xml:space="preserve">Assumption (Bull): cash capex % revenue. FY2026A 34.9% (115,948, 10-K); Q1 FY2027 spend guided &gt;$50B incl. leases (TIKR 2026-09-29). Normalises toward ~15% as AI build-out matures.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4</xdr:rowOff>
              </xdr:from>
              <xdr:to>
                <xdr:col>1</xdr:col>
                <xdr:colOff>-132</xdr:colOff>
                <xdr:row>7</xdr:row>
                <xdr:rowOff>19</xdr:rowOff>
              </xdr:to>
            </anchor>
          </commentPr>
        </mc:Choice>
        <mc:Fallback/>
      </mc:AlternateContent>
    </comment>
  </commentList>
</comments>
</file>

<file path=xl/comments2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B4" authorId="0">
      <text>
        <r>
          <rPr>
            <sz val="10"/>
            <rFont val="Arial"/>
            <family val="2"/>
          </rPr>
          <t xml:space="preserve">Source: FRED DGS10 via stock-data get_macro_series, latest observation 2026-10-13 = 5.21%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-88</xdr:colOff>
                <xdr:row>4</xdr:row>
                <xdr:rowOff>4</xdr:rowOff>
              </xdr:to>
            </anchor>
          </commentPr>
        </mc:Choice>
        <mc:Fallback/>
      </mc:AlternateContent>
    </comment>
    <comment ref="B6" authorId="0">
      <text>
        <r>
          <rPr>
            <sz val="10"/>
            <rFont val="Arial"/>
            <family val="2"/>
          </rPr>
          <t xml:space="preserve">Assumption: 5.0% mature-market ERP (skill default range 5.0-6.0%; Damodaran implied ERP has run ~4-4.5% - model knowledge).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-88</xdr:colOff>
                <xdr:row>5</xdr:row>
                <xdr:rowOff>14</xdr:rowOff>
              </xdr:to>
            </anchor>
          </commentPr>
        </mc:Choice>
        <mc:Fallback/>
      </mc:AlternateContent>
    </comment>
    <comment ref="B10" authorId="0">
      <text>
        <r>
          <rPr>
            <sz val="10"/>
            <rFont val="Arial"/>
            <family val="2"/>
          </rPr>
          <t xml:space="preserve">Source: model knowledge - MSFT rated AAA (S&amp;P) / Aaa (Moody's)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-88</xdr:colOff>
                <xdr:row>4</xdr:row>
                <xdr:rowOff>1</xdr:rowOff>
              </xdr:to>
            </anchor>
          </commentPr>
        </mc:Choice>
        <mc:Fallback/>
      </mc:AlternateContent>
    </comment>
    <comment ref="B11" authorId="0">
      <text>
        <r>
          <rPr>
            <sz val="10"/>
            <rFont val="Arial"/>
            <family val="2"/>
          </rPr>
          <t xml:space="preserve">Assumption: ~60bp AAA corporate spread over 10Y UST (model knowledge; not verified against live MSFT bond yields).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-88</xdr:colOff>
                <xdr:row>4</xdr:row>
                <xdr:rowOff>19</xdr:rowOff>
              </xdr:to>
            </anchor>
          </commentPr>
        </mc:Choice>
        <mc:Fallback/>
      </mc:AlternateContent>
    </comment>
    <comment ref="B15" authorId="0">
      <text>
        <r>
          <rPr>
            <sz val="10"/>
            <rFont val="Arial"/>
            <family val="2"/>
          </rPr>
          <t xml:space="preserve">FY2025 total debt 43,151 = 2,999 + 40,152 (10-K FY2025 via stock-data). Inflated by finance-lease interest, so not used.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-88</xdr:colOff>
                <xdr:row>5</xdr:row>
                <xdr:rowOff>14</xdr:rowOff>
              </xdr:to>
            </anchor>
          </commentPr>
        </mc:Choice>
        <mc:Fallback/>
      </mc:AlternateContent>
    </comment>
    <comment ref="C15" authorId="0">
      <text>
        <r>
          <rPr>
            <sz val="10"/>
            <rFont val="Arial"/>
            <family val="2"/>
          </rPr>
          <t xml:space="preserve">Source: MSFT 10-K FY2026 via stock-data get_financials (interest expense; includes finance-lease interest)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-88</xdr:colOff>
                <xdr:row>4</xdr:row>
                <xdr:rowOff>4</xdr:rowOff>
              </xdr:to>
            </anchor>
          </commentPr>
        </mc:Choice>
        <mc:Fallback/>
      </mc:AlternateContent>
    </comment>
  </commentList>
</comments>
</file>

<file path=xl/comments3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B4" authorId="0">
      <text>
        <r>
          <rPr>
            <sz val="10"/>
            <rFont val="Arial"/>
            <family val="2"/>
          </rPr>
          <t xml:space="preserve">Source: stock-data get_price_history MSFT 10y 1mo (Yahoo adj_close), fetched 2026-10-15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23</xdr:colOff>
                <xdr:row>4</xdr:row>
                <xdr:rowOff>4</xdr:rowOff>
              </xdr:to>
            </anchor>
          </commentPr>
        </mc:Choice>
        <mc:Fallback/>
      </mc:AlternateContent>
    </comment>
    <comment ref="B5" authorId="0">
      <text>
        <r>
          <rPr>
            <sz val="10"/>
            <rFont val="Arial"/>
            <family val="2"/>
          </rPr>
          <t xml:space="preserve">Source: stock-data get_price_history MSFT monthly adj_close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23</xdr:colOff>
                <xdr:row>4</xdr:row>
                <xdr:rowOff>1</xdr:rowOff>
              </xdr:to>
            </anchor>
          </commentPr>
        </mc:Choice>
        <mc:Fallback/>
      </mc:AlternateContent>
    </comment>
    <comment ref="B6" authorId="0">
      <text>
        <r>
          <rPr>
            <sz val="10"/>
            <rFont val="Arial"/>
            <family val="2"/>
          </rPr>
          <t xml:space="preserve">Source: stock-data get_price_history MSFT monthly adj_close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23</xdr:colOff>
                <xdr:row>4</xdr:row>
                <xdr:rowOff>1</xdr:rowOff>
              </xdr:to>
            </anchor>
          </commentPr>
        </mc:Choice>
        <mc:Fallback/>
      </mc:AlternateContent>
    </comment>
    <comment ref="B7" authorId="0">
      <text>
        <r>
          <rPr>
            <sz val="10"/>
            <rFont val="Arial"/>
            <family val="2"/>
          </rPr>
          <t xml:space="preserve">Source: stock-data get_price_history MSFT monthly adj_close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23</xdr:colOff>
                <xdr:row>4</xdr:row>
                <xdr:rowOff>1</xdr:rowOff>
              </xdr:to>
            </anchor>
          </commentPr>
        </mc:Choice>
        <mc:Fallback/>
      </mc:AlternateContent>
    </comment>
    <comment ref="B8" authorId="0">
      <text>
        <r>
          <rPr>
            <sz val="10"/>
            <rFont val="Arial"/>
            <family val="2"/>
          </rPr>
          <t xml:space="preserve">Source: stock-data get_price_history MSFT monthly adj_close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23</xdr:colOff>
                <xdr:row>4</xdr:row>
                <xdr:rowOff>1</xdr:rowOff>
              </xdr:to>
            </anchor>
          </commentPr>
        </mc:Choice>
        <mc:Fallback/>
      </mc:AlternateContent>
    </comment>
    <comment ref="B9" authorId="0">
      <text>
        <r>
          <rPr>
            <sz val="10"/>
            <rFont val="Arial"/>
            <family val="2"/>
          </rPr>
          <t xml:space="preserve">Source: stock-data get_price_history MSFT monthly adj_close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23</xdr:colOff>
                <xdr:row>4</xdr:row>
                <xdr:rowOff>1</xdr:rowOff>
              </xdr:to>
            </anchor>
          </commentPr>
        </mc:Choice>
        <mc:Fallback/>
      </mc:AlternateContent>
    </comment>
    <comment ref="B10" authorId="0">
      <text>
        <r>
          <rPr>
            <sz val="10"/>
            <rFont val="Arial"/>
            <family val="2"/>
          </rPr>
          <t xml:space="preserve">Source: stock-data get_price_history MSFT monthly adj_close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23</xdr:colOff>
                <xdr:row>4</xdr:row>
                <xdr:rowOff>1</xdr:rowOff>
              </xdr:to>
            </anchor>
          </commentPr>
        </mc:Choice>
        <mc:Fallback/>
      </mc:AlternateContent>
    </comment>
    <comment ref="B11" authorId="0">
      <text>
        <r>
          <rPr>
            <sz val="10"/>
            <rFont val="Arial"/>
            <family val="2"/>
          </rPr>
          <t xml:space="preserve">Source: stock-data get_price_history MSFT monthly adj_close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23</xdr:colOff>
                <xdr:row>4</xdr:row>
                <xdr:rowOff>1</xdr:rowOff>
              </xdr:to>
            </anchor>
          </commentPr>
        </mc:Choice>
        <mc:Fallback/>
      </mc:AlternateContent>
    </comment>
    <comment ref="B12" authorId="0">
      <text>
        <r>
          <rPr>
            <sz val="10"/>
            <rFont val="Arial"/>
            <family val="2"/>
          </rPr>
          <t xml:space="preserve">Source: stock-data get_price_history MSFT monthly adj_close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23</xdr:colOff>
                <xdr:row>4</xdr:row>
                <xdr:rowOff>1</xdr:rowOff>
              </xdr:to>
            </anchor>
          </commentPr>
        </mc:Choice>
        <mc:Fallback/>
      </mc:AlternateContent>
    </comment>
    <comment ref="B13" authorId="0">
      <text>
        <r>
          <rPr>
            <sz val="10"/>
            <rFont val="Arial"/>
            <family val="2"/>
          </rPr>
          <t xml:space="preserve">Source: stock-data get_price_history MSFT monthly adj_close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23</xdr:colOff>
                <xdr:row>4</xdr:row>
                <xdr:rowOff>1</xdr:rowOff>
              </xdr:to>
            </anchor>
          </commentPr>
        </mc:Choice>
        <mc:Fallback/>
      </mc:AlternateContent>
    </comment>
    <comment ref="B14" authorId="0">
      <text>
        <r>
          <rPr>
            <sz val="10"/>
            <rFont val="Arial"/>
            <family val="2"/>
          </rPr>
          <t xml:space="preserve">Source: stock-data get_price_history MSFT monthly adj_close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23</xdr:colOff>
                <xdr:row>4</xdr:row>
                <xdr:rowOff>1</xdr:rowOff>
              </xdr:to>
            </anchor>
          </commentPr>
        </mc:Choice>
        <mc:Fallback/>
      </mc:AlternateContent>
    </comment>
    <comment ref="B15" authorId="0">
      <text>
        <r>
          <rPr>
            <sz val="10"/>
            <rFont val="Arial"/>
            <family val="2"/>
          </rPr>
          <t xml:space="preserve">Source: stock-data get_price_history MSFT monthly adj_close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23</xdr:colOff>
                <xdr:row>4</xdr:row>
                <xdr:rowOff>1</xdr:rowOff>
              </xdr:to>
            </anchor>
          </commentPr>
        </mc:Choice>
        <mc:Fallback/>
      </mc:AlternateContent>
    </comment>
    <comment ref="B16" authorId="0">
      <text>
        <r>
          <rPr>
            <sz val="10"/>
            <rFont val="Arial"/>
            <family val="2"/>
          </rPr>
          <t xml:space="preserve">Source: stock-data get_price_history MSFT monthly adj_close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23</xdr:colOff>
                <xdr:row>4</xdr:row>
                <xdr:rowOff>1</xdr:rowOff>
              </xdr:to>
            </anchor>
          </commentPr>
        </mc:Choice>
        <mc:Fallback/>
      </mc:AlternateContent>
    </comment>
    <comment ref="B17" authorId="0">
      <text>
        <r>
          <rPr>
            <sz val="10"/>
            <rFont val="Arial"/>
            <family val="2"/>
          </rPr>
          <t xml:space="preserve">Source: stock-data get_price_history MSFT monthly adj_close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23</xdr:colOff>
                <xdr:row>4</xdr:row>
                <xdr:rowOff>1</xdr:rowOff>
              </xdr:to>
            </anchor>
          </commentPr>
        </mc:Choice>
        <mc:Fallback/>
      </mc:AlternateContent>
    </comment>
    <comment ref="B18" authorId="0">
      <text>
        <r>
          <rPr>
            <sz val="10"/>
            <rFont val="Arial"/>
            <family val="2"/>
          </rPr>
          <t xml:space="preserve">Source: stock-data get_price_history MSFT monthly adj_close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23</xdr:colOff>
                <xdr:row>4</xdr:row>
                <xdr:rowOff>1</xdr:rowOff>
              </xdr:to>
            </anchor>
          </commentPr>
        </mc:Choice>
        <mc:Fallback/>
      </mc:AlternateContent>
    </comment>
    <comment ref="B19" authorId="0">
      <text>
        <r>
          <rPr>
            <sz val="10"/>
            <rFont val="Arial"/>
            <family val="2"/>
          </rPr>
          <t xml:space="preserve">Source: stock-data get_price_history MSFT monthly adj_close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23</xdr:colOff>
                <xdr:row>4</xdr:row>
                <xdr:rowOff>1</xdr:rowOff>
              </xdr:to>
            </anchor>
          </commentPr>
        </mc:Choice>
        <mc:Fallback/>
      </mc:AlternateContent>
    </comment>
    <comment ref="B20" authorId="0">
      <text>
        <r>
          <rPr>
            <sz val="10"/>
            <rFont val="Arial"/>
            <family val="2"/>
          </rPr>
          <t xml:space="preserve">Source: stock-data get_price_history MSFT monthly adj_close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23</xdr:colOff>
                <xdr:row>4</xdr:row>
                <xdr:rowOff>1</xdr:rowOff>
              </xdr:to>
            </anchor>
          </commentPr>
        </mc:Choice>
        <mc:Fallback/>
      </mc:AlternateContent>
    </comment>
    <comment ref="B21" authorId="0">
      <text>
        <r>
          <rPr>
            <sz val="10"/>
            <rFont val="Arial"/>
            <family val="2"/>
          </rPr>
          <t xml:space="preserve">Source: stock-data get_price_history MSFT monthly adj_close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23</xdr:colOff>
                <xdr:row>4</xdr:row>
                <xdr:rowOff>1</xdr:rowOff>
              </xdr:to>
            </anchor>
          </commentPr>
        </mc:Choice>
        <mc:Fallback/>
      </mc:AlternateContent>
    </comment>
    <comment ref="B22" authorId="0">
      <text>
        <r>
          <rPr>
            <sz val="10"/>
            <rFont val="Arial"/>
            <family val="2"/>
          </rPr>
          <t xml:space="preserve">Source: stock-data get_price_history MSFT monthly adj_close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23</xdr:colOff>
                <xdr:row>4</xdr:row>
                <xdr:rowOff>1</xdr:rowOff>
              </xdr:to>
            </anchor>
          </commentPr>
        </mc:Choice>
        <mc:Fallback/>
      </mc:AlternateContent>
    </comment>
    <comment ref="B23" authorId="0">
      <text>
        <r>
          <rPr>
            <sz val="10"/>
            <rFont val="Arial"/>
            <family val="2"/>
          </rPr>
          <t xml:space="preserve">Source: stock-data get_price_history MSFT monthly adj_close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23</xdr:colOff>
                <xdr:row>4</xdr:row>
                <xdr:rowOff>1</xdr:rowOff>
              </xdr:to>
            </anchor>
          </commentPr>
        </mc:Choice>
        <mc:Fallback/>
      </mc:AlternateContent>
    </comment>
    <comment ref="B24" authorId="0">
      <text>
        <r>
          <rPr>
            <sz val="10"/>
            <rFont val="Arial"/>
            <family val="2"/>
          </rPr>
          <t xml:space="preserve">Source: stock-data get_price_history MSFT monthly adj_close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23</xdr:colOff>
                <xdr:row>4</xdr:row>
                <xdr:rowOff>1</xdr:rowOff>
              </xdr:to>
            </anchor>
          </commentPr>
        </mc:Choice>
        <mc:Fallback/>
      </mc:AlternateContent>
    </comment>
    <comment ref="B25" authorId="0">
      <text>
        <r>
          <rPr>
            <sz val="10"/>
            <rFont val="Arial"/>
            <family val="2"/>
          </rPr>
          <t xml:space="preserve">Source: stock-data get_price_history MSFT monthly adj_close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23</xdr:colOff>
                <xdr:row>4</xdr:row>
                <xdr:rowOff>1</xdr:rowOff>
              </xdr:to>
            </anchor>
          </commentPr>
        </mc:Choice>
        <mc:Fallback/>
      </mc:AlternateContent>
    </comment>
    <comment ref="B26" authorId="0">
      <text>
        <r>
          <rPr>
            <sz val="10"/>
            <rFont val="Arial"/>
            <family val="2"/>
          </rPr>
          <t xml:space="preserve">Source: stock-data get_price_history MSFT monthly adj_close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23</xdr:colOff>
                <xdr:row>4</xdr:row>
                <xdr:rowOff>1</xdr:rowOff>
              </xdr:to>
            </anchor>
          </commentPr>
        </mc:Choice>
        <mc:Fallback/>
      </mc:AlternateContent>
    </comment>
    <comment ref="B27" authorId="0">
      <text>
        <r>
          <rPr>
            <sz val="10"/>
            <rFont val="Arial"/>
            <family val="2"/>
          </rPr>
          <t xml:space="preserve">Source: stock-data get_price_history MSFT monthly adj_close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23</xdr:colOff>
                <xdr:row>4</xdr:row>
                <xdr:rowOff>1</xdr:rowOff>
              </xdr:to>
            </anchor>
          </commentPr>
        </mc:Choice>
        <mc:Fallback/>
      </mc:AlternateContent>
    </comment>
    <comment ref="B28" authorId="0">
      <text>
        <r>
          <rPr>
            <sz val="10"/>
            <rFont val="Arial"/>
            <family val="2"/>
          </rPr>
          <t xml:space="preserve">Source: stock-data get_price_history MSFT monthly adj_close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23</xdr:colOff>
                <xdr:row>4</xdr:row>
                <xdr:rowOff>1</xdr:rowOff>
              </xdr:to>
            </anchor>
          </commentPr>
        </mc:Choice>
        <mc:Fallback/>
      </mc:AlternateContent>
    </comment>
    <comment ref="B29" authorId="0">
      <text>
        <r>
          <rPr>
            <sz val="10"/>
            <rFont val="Arial"/>
            <family val="2"/>
          </rPr>
          <t xml:space="preserve">Source: stock-data get_price_history MSFT monthly adj_close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23</xdr:colOff>
                <xdr:row>4</xdr:row>
                <xdr:rowOff>1</xdr:rowOff>
              </xdr:to>
            </anchor>
          </commentPr>
        </mc:Choice>
        <mc:Fallback/>
      </mc:AlternateContent>
    </comment>
    <comment ref="B30" authorId="0">
      <text>
        <r>
          <rPr>
            <sz val="10"/>
            <rFont val="Arial"/>
            <family val="2"/>
          </rPr>
          <t xml:space="preserve">Source: stock-data get_price_history MSFT monthly adj_close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23</xdr:colOff>
                <xdr:row>4</xdr:row>
                <xdr:rowOff>1</xdr:rowOff>
              </xdr:to>
            </anchor>
          </commentPr>
        </mc:Choice>
        <mc:Fallback/>
      </mc:AlternateContent>
    </comment>
    <comment ref="B31" authorId="0">
      <text>
        <r>
          <rPr>
            <sz val="10"/>
            <rFont val="Arial"/>
            <family val="2"/>
          </rPr>
          <t xml:space="preserve">Source: stock-data get_price_history MSFT monthly adj_close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23</xdr:colOff>
                <xdr:row>4</xdr:row>
                <xdr:rowOff>1</xdr:rowOff>
              </xdr:to>
            </anchor>
          </commentPr>
        </mc:Choice>
        <mc:Fallback/>
      </mc:AlternateContent>
    </comment>
    <comment ref="B32" authorId="0">
      <text>
        <r>
          <rPr>
            <sz val="10"/>
            <rFont val="Arial"/>
            <family val="2"/>
          </rPr>
          <t xml:space="preserve">Source: stock-data get_price_history MSFT monthly adj_close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23</xdr:colOff>
                <xdr:row>4</xdr:row>
                <xdr:rowOff>1</xdr:rowOff>
              </xdr:to>
            </anchor>
          </commentPr>
        </mc:Choice>
        <mc:Fallback/>
      </mc:AlternateContent>
    </comment>
    <comment ref="B33" authorId="0">
      <text>
        <r>
          <rPr>
            <sz val="10"/>
            <rFont val="Arial"/>
            <family val="2"/>
          </rPr>
          <t xml:space="preserve">Source: stock-data get_price_history MSFT monthly adj_close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23</xdr:colOff>
                <xdr:row>4</xdr:row>
                <xdr:rowOff>1</xdr:rowOff>
              </xdr:to>
            </anchor>
          </commentPr>
        </mc:Choice>
        <mc:Fallback/>
      </mc:AlternateContent>
    </comment>
    <comment ref="B34" authorId="0">
      <text>
        <r>
          <rPr>
            <sz val="10"/>
            <rFont val="Arial"/>
            <family val="2"/>
          </rPr>
          <t xml:space="preserve">Source: stock-data get_price_history MSFT monthly adj_close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23</xdr:colOff>
                <xdr:row>4</xdr:row>
                <xdr:rowOff>1</xdr:rowOff>
              </xdr:to>
            </anchor>
          </commentPr>
        </mc:Choice>
        <mc:Fallback/>
      </mc:AlternateContent>
    </comment>
    <comment ref="B35" authorId="0">
      <text>
        <r>
          <rPr>
            <sz val="10"/>
            <rFont val="Arial"/>
            <family val="2"/>
          </rPr>
          <t xml:space="preserve">Source: stock-data get_price_history MSFT monthly adj_close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23</xdr:colOff>
                <xdr:row>4</xdr:row>
                <xdr:rowOff>1</xdr:rowOff>
              </xdr:to>
            </anchor>
          </commentPr>
        </mc:Choice>
        <mc:Fallback/>
      </mc:AlternateContent>
    </comment>
    <comment ref="B36" authorId="0">
      <text>
        <r>
          <rPr>
            <sz val="10"/>
            <rFont val="Arial"/>
            <family val="2"/>
          </rPr>
          <t xml:space="preserve">Source: stock-data get_price_history MSFT monthly adj_close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23</xdr:colOff>
                <xdr:row>4</xdr:row>
                <xdr:rowOff>1</xdr:rowOff>
              </xdr:to>
            </anchor>
          </commentPr>
        </mc:Choice>
        <mc:Fallback/>
      </mc:AlternateContent>
    </comment>
    <comment ref="B37" authorId="0">
      <text>
        <r>
          <rPr>
            <sz val="10"/>
            <rFont val="Arial"/>
            <family val="2"/>
          </rPr>
          <t xml:space="preserve">Source: stock-data get_price_history MSFT monthly adj_close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23</xdr:colOff>
                <xdr:row>4</xdr:row>
                <xdr:rowOff>1</xdr:rowOff>
              </xdr:to>
            </anchor>
          </commentPr>
        </mc:Choice>
        <mc:Fallback/>
      </mc:AlternateContent>
    </comment>
    <comment ref="B38" authorId="0">
      <text>
        <r>
          <rPr>
            <sz val="10"/>
            <rFont val="Arial"/>
            <family val="2"/>
          </rPr>
          <t xml:space="preserve">Source: stock-data get_price_history MSFT monthly adj_close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23</xdr:colOff>
                <xdr:row>4</xdr:row>
                <xdr:rowOff>1</xdr:rowOff>
              </xdr:to>
            </anchor>
          </commentPr>
        </mc:Choice>
        <mc:Fallback/>
      </mc:AlternateContent>
    </comment>
    <comment ref="B39" authorId="0">
      <text>
        <r>
          <rPr>
            <sz val="10"/>
            <rFont val="Arial"/>
            <family val="2"/>
          </rPr>
          <t xml:space="preserve">Source: stock-data get_price_history MSFT monthly adj_close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23</xdr:colOff>
                <xdr:row>4</xdr:row>
                <xdr:rowOff>1</xdr:rowOff>
              </xdr:to>
            </anchor>
          </commentPr>
        </mc:Choice>
        <mc:Fallback/>
      </mc:AlternateContent>
    </comment>
    <comment ref="B40" authorId="0">
      <text>
        <r>
          <rPr>
            <sz val="10"/>
            <rFont val="Arial"/>
            <family val="2"/>
          </rPr>
          <t xml:space="preserve">Source: stock-data get_price_history MSFT monthly adj_close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23</xdr:colOff>
                <xdr:row>4</xdr:row>
                <xdr:rowOff>1</xdr:rowOff>
              </xdr:to>
            </anchor>
          </commentPr>
        </mc:Choice>
        <mc:Fallback/>
      </mc:AlternateContent>
    </comment>
    <comment ref="B41" authorId="0">
      <text>
        <r>
          <rPr>
            <sz val="10"/>
            <rFont val="Arial"/>
            <family val="2"/>
          </rPr>
          <t xml:space="preserve">Source: stock-data get_price_history MSFT monthly adj_close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23</xdr:colOff>
                <xdr:row>4</xdr:row>
                <xdr:rowOff>1</xdr:rowOff>
              </xdr:to>
            </anchor>
          </commentPr>
        </mc:Choice>
        <mc:Fallback/>
      </mc:AlternateContent>
    </comment>
    <comment ref="B42" authorId="0">
      <text>
        <r>
          <rPr>
            <sz val="10"/>
            <rFont val="Arial"/>
            <family val="2"/>
          </rPr>
          <t xml:space="preserve">Source: stock-data get_price_history MSFT monthly adj_close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23</xdr:colOff>
                <xdr:row>4</xdr:row>
                <xdr:rowOff>1</xdr:rowOff>
              </xdr:to>
            </anchor>
          </commentPr>
        </mc:Choice>
        <mc:Fallback/>
      </mc:AlternateContent>
    </comment>
    <comment ref="B43" authorId="0">
      <text>
        <r>
          <rPr>
            <sz val="10"/>
            <rFont val="Arial"/>
            <family val="2"/>
          </rPr>
          <t xml:space="preserve">Source: stock-data get_price_history MSFT monthly adj_close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23</xdr:colOff>
                <xdr:row>4</xdr:row>
                <xdr:rowOff>1</xdr:rowOff>
              </xdr:to>
            </anchor>
          </commentPr>
        </mc:Choice>
        <mc:Fallback/>
      </mc:AlternateContent>
    </comment>
    <comment ref="B44" authorId="0">
      <text>
        <r>
          <rPr>
            <sz val="10"/>
            <rFont val="Arial"/>
            <family val="2"/>
          </rPr>
          <t xml:space="preserve">Source: stock-data get_price_history MSFT monthly adj_close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23</xdr:colOff>
                <xdr:row>4</xdr:row>
                <xdr:rowOff>1</xdr:rowOff>
              </xdr:to>
            </anchor>
          </commentPr>
        </mc:Choice>
        <mc:Fallback/>
      </mc:AlternateContent>
    </comment>
    <comment ref="B45" authorId="0">
      <text>
        <r>
          <rPr>
            <sz val="10"/>
            <rFont val="Arial"/>
            <family val="2"/>
          </rPr>
          <t xml:space="preserve">Source: stock-data get_price_history MSFT monthly adj_close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23</xdr:colOff>
                <xdr:row>4</xdr:row>
                <xdr:rowOff>1</xdr:rowOff>
              </xdr:to>
            </anchor>
          </commentPr>
        </mc:Choice>
        <mc:Fallback/>
      </mc:AlternateContent>
    </comment>
    <comment ref="B46" authorId="0">
      <text>
        <r>
          <rPr>
            <sz val="10"/>
            <rFont val="Arial"/>
            <family val="2"/>
          </rPr>
          <t xml:space="preserve">Source: stock-data get_price_history MSFT monthly adj_close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23</xdr:colOff>
                <xdr:row>4</xdr:row>
                <xdr:rowOff>1</xdr:rowOff>
              </xdr:to>
            </anchor>
          </commentPr>
        </mc:Choice>
        <mc:Fallback/>
      </mc:AlternateContent>
    </comment>
    <comment ref="B47" authorId="0">
      <text>
        <r>
          <rPr>
            <sz val="10"/>
            <rFont val="Arial"/>
            <family val="2"/>
          </rPr>
          <t xml:space="preserve">Source: stock-data get_price_history MSFT monthly adj_close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23</xdr:colOff>
                <xdr:row>4</xdr:row>
                <xdr:rowOff>1</xdr:rowOff>
              </xdr:to>
            </anchor>
          </commentPr>
        </mc:Choice>
        <mc:Fallback/>
      </mc:AlternateContent>
    </comment>
    <comment ref="B48" authorId="0">
      <text>
        <r>
          <rPr>
            <sz val="10"/>
            <rFont val="Arial"/>
            <family val="2"/>
          </rPr>
          <t xml:space="preserve">Source: stock-data get_price_history MSFT monthly adj_close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23</xdr:colOff>
                <xdr:row>4</xdr:row>
                <xdr:rowOff>1</xdr:rowOff>
              </xdr:to>
            </anchor>
          </commentPr>
        </mc:Choice>
        <mc:Fallback/>
      </mc:AlternateContent>
    </comment>
    <comment ref="B49" authorId="0">
      <text>
        <r>
          <rPr>
            <sz val="10"/>
            <rFont val="Arial"/>
            <family val="2"/>
          </rPr>
          <t xml:space="preserve">Source: stock-data get_price_history MSFT monthly adj_close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23</xdr:colOff>
                <xdr:row>4</xdr:row>
                <xdr:rowOff>1</xdr:rowOff>
              </xdr:to>
            </anchor>
          </commentPr>
        </mc:Choice>
        <mc:Fallback/>
      </mc:AlternateContent>
    </comment>
    <comment ref="B50" authorId="0">
      <text>
        <r>
          <rPr>
            <sz val="10"/>
            <rFont val="Arial"/>
            <family val="2"/>
          </rPr>
          <t xml:space="preserve">Source: stock-data get_price_history MSFT monthly adj_close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23</xdr:colOff>
                <xdr:row>4</xdr:row>
                <xdr:rowOff>1</xdr:rowOff>
              </xdr:to>
            </anchor>
          </commentPr>
        </mc:Choice>
        <mc:Fallback/>
      </mc:AlternateContent>
    </comment>
    <comment ref="B51" authorId="0">
      <text>
        <r>
          <rPr>
            <sz val="10"/>
            <rFont val="Arial"/>
            <family val="2"/>
          </rPr>
          <t xml:space="preserve">Source: stock-data get_price_history MSFT monthly adj_close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23</xdr:colOff>
                <xdr:row>4</xdr:row>
                <xdr:rowOff>1</xdr:rowOff>
              </xdr:to>
            </anchor>
          </commentPr>
        </mc:Choice>
        <mc:Fallback/>
      </mc:AlternateContent>
    </comment>
    <comment ref="B52" authorId="0">
      <text>
        <r>
          <rPr>
            <sz val="10"/>
            <rFont val="Arial"/>
            <family val="2"/>
          </rPr>
          <t xml:space="preserve">Source: stock-data get_price_history MSFT monthly adj_close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23</xdr:colOff>
                <xdr:row>4</xdr:row>
                <xdr:rowOff>1</xdr:rowOff>
              </xdr:to>
            </anchor>
          </commentPr>
        </mc:Choice>
        <mc:Fallback/>
      </mc:AlternateContent>
    </comment>
    <comment ref="B53" authorId="0">
      <text>
        <r>
          <rPr>
            <sz val="10"/>
            <rFont val="Arial"/>
            <family val="2"/>
          </rPr>
          <t xml:space="preserve">Source: stock-data get_price_history MSFT monthly adj_close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23</xdr:colOff>
                <xdr:row>4</xdr:row>
                <xdr:rowOff>1</xdr:rowOff>
              </xdr:to>
            </anchor>
          </commentPr>
        </mc:Choice>
        <mc:Fallback/>
      </mc:AlternateContent>
    </comment>
    <comment ref="B54" authorId="0">
      <text>
        <r>
          <rPr>
            <sz val="10"/>
            <rFont val="Arial"/>
            <family val="2"/>
          </rPr>
          <t xml:space="preserve">Source: stock-data get_price_history MSFT monthly adj_close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23</xdr:colOff>
                <xdr:row>4</xdr:row>
                <xdr:rowOff>1</xdr:rowOff>
              </xdr:to>
            </anchor>
          </commentPr>
        </mc:Choice>
        <mc:Fallback/>
      </mc:AlternateContent>
    </comment>
    <comment ref="B55" authorId="0">
      <text>
        <r>
          <rPr>
            <sz val="10"/>
            <rFont val="Arial"/>
            <family val="2"/>
          </rPr>
          <t xml:space="preserve">Source: stock-data get_price_history MSFT monthly adj_close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23</xdr:colOff>
                <xdr:row>4</xdr:row>
                <xdr:rowOff>1</xdr:rowOff>
              </xdr:to>
            </anchor>
          </commentPr>
        </mc:Choice>
        <mc:Fallback/>
      </mc:AlternateContent>
    </comment>
    <comment ref="B56" authorId="0">
      <text>
        <r>
          <rPr>
            <sz val="10"/>
            <rFont val="Arial"/>
            <family val="2"/>
          </rPr>
          <t xml:space="preserve">Source: stock-data get_price_history MSFT monthly adj_close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23</xdr:colOff>
                <xdr:row>4</xdr:row>
                <xdr:rowOff>1</xdr:rowOff>
              </xdr:to>
            </anchor>
          </commentPr>
        </mc:Choice>
        <mc:Fallback/>
      </mc:AlternateContent>
    </comment>
    <comment ref="B57" authorId="0">
      <text>
        <r>
          <rPr>
            <sz val="10"/>
            <rFont val="Arial"/>
            <family val="2"/>
          </rPr>
          <t xml:space="preserve">Source: stock-data get_price_history MSFT monthly adj_close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23</xdr:colOff>
                <xdr:row>4</xdr:row>
                <xdr:rowOff>1</xdr:rowOff>
              </xdr:to>
            </anchor>
          </commentPr>
        </mc:Choice>
        <mc:Fallback/>
      </mc:AlternateContent>
    </comment>
    <comment ref="B58" authorId="0">
      <text>
        <r>
          <rPr>
            <sz val="10"/>
            <rFont val="Arial"/>
            <family val="2"/>
          </rPr>
          <t xml:space="preserve">Source: stock-data get_price_history MSFT monthly adj_close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23</xdr:colOff>
                <xdr:row>4</xdr:row>
                <xdr:rowOff>1</xdr:rowOff>
              </xdr:to>
            </anchor>
          </commentPr>
        </mc:Choice>
        <mc:Fallback/>
      </mc:AlternateContent>
    </comment>
    <comment ref="B59" authorId="0">
      <text>
        <r>
          <rPr>
            <sz val="10"/>
            <rFont val="Arial"/>
            <family val="2"/>
          </rPr>
          <t xml:space="preserve">Source: stock-data get_price_history MSFT monthly adj_close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23</xdr:colOff>
                <xdr:row>4</xdr:row>
                <xdr:rowOff>1</xdr:rowOff>
              </xdr:to>
            </anchor>
          </commentPr>
        </mc:Choice>
        <mc:Fallback/>
      </mc:AlternateContent>
    </comment>
    <comment ref="B60" authorId="0">
      <text>
        <r>
          <rPr>
            <sz val="10"/>
            <rFont val="Arial"/>
            <family val="2"/>
          </rPr>
          <t xml:space="preserve">Source: stock-data get_price_history MSFT monthly adj_close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23</xdr:colOff>
                <xdr:row>4</xdr:row>
                <xdr:rowOff>1</xdr:rowOff>
              </xdr:to>
            </anchor>
          </commentPr>
        </mc:Choice>
        <mc:Fallback/>
      </mc:AlternateContent>
    </comment>
    <comment ref="B61" authorId="0">
      <text>
        <r>
          <rPr>
            <sz val="10"/>
            <rFont val="Arial"/>
            <family val="2"/>
          </rPr>
          <t xml:space="preserve">Source: stock-data get_price_history MSFT monthly adj_close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23</xdr:colOff>
                <xdr:row>4</xdr:row>
                <xdr:rowOff>1</xdr:rowOff>
              </xdr:to>
            </anchor>
          </commentPr>
        </mc:Choice>
        <mc:Fallback/>
      </mc:AlternateContent>
    </comment>
    <comment ref="B62" authorId="0">
      <text>
        <r>
          <rPr>
            <sz val="10"/>
            <rFont val="Arial"/>
            <family val="2"/>
          </rPr>
          <t xml:space="preserve">Source: stock-data get_price_history MSFT monthly adj_close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23</xdr:colOff>
                <xdr:row>4</xdr:row>
                <xdr:rowOff>1</xdr:rowOff>
              </xdr:to>
            </anchor>
          </commentPr>
        </mc:Choice>
        <mc:Fallback/>
      </mc:AlternateContent>
    </comment>
    <comment ref="B63" authorId="0">
      <text>
        <r>
          <rPr>
            <sz val="10"/>
            <rFont val="Arial"/>
            <family val="2"/>
          </rPr>
          <t xml:space="preserve">Source: stock-data get_price_history MSFT monthly adj_close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23</xdr:colOff>
                <xdr:row>4</xdr:row>
                <xdr:rowOff>1</xdr:rowOff>
              </xdr:to>
            </anchor>
          </commentPr>
        </mc:Choice>
        <mc:Fallback/>
      </mc:AlternateContent>
    </comment>
    <comment ref="B64" authorId="0">
      <text>
        <r>
          <rPr>
            <sz val="10"/>
            <rFont val="Arial"/>
            <family val="2"/>
          </rPr>
          <t xml:space="preserve">Source: stock-data get_price_history MSFT monthly adj_close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23</xdr:colOff>
                <xdr:row>4</xdr:row>
                <xdr:rowOff>1</xdr:rowOff>
              </xdr:to>
            </anchor>
          </commentPr>
        </mc:Choice>
        <mc:Fallback/>
      </mc:AlternateContent>
    </comment>
    <comment ref="C4" authorId="0">
      <text>
        <r>
          <rPr>
            <sz val="10"/>
            <rFont val="Arial"/>
            <family val="2"/>
          </rPr>
          <t xml:space="preserve">Source: stock-data get_price_history ^GSPC 10y 1mo (close), fetched 2026-10-15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23</xdr:colOff>
                <xdr:row>4</xdr:row>
                <xdr:rowOff>4</xdr:rowOff>
              </xdr:to>
            </anchor>
          </commentPr>
        </mc:Choice>
        <mc:Fallback/>
      </mc:AlternateContent>
    </comment>
    <comment ref="C5" authorId="0">
      <text>
        <r>
          <rPr>
            <sz val="10"/>
            <rFont val="Arial"/>
            <family val="2"/>
          </rPr>
          <t xml:space="preserve">Source: stock-data get_price_history ^GSPC monthly close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23</xdr:colOff>
                <xdr:row>4</xdr:row>
                <xdr:rowOff>1</xdr:rowOff>
              </xdr:to>
            </anchor>
          </commentPr>
        </mc:Choice>
        <mc:Fallback/>
      </mc:AlternateContent>
    </comment>
    <comment ref="C6" authorId="0">
      <text>
        <r>
          <rPr>
            <sz val="10"/>
            <rFont val="Arial"/>
            <family val="2"/>
          </rPr>
          <t xml:space="preserve">Source: stock-data get_price_history ^GSPC monthly close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23</xdr:colOff>
                <xdr:row>4</xdr:row>
                <xdr:rowOff>1</xdr:rowOff>
              </xdr:to>
            </anchor>
          </commentPr>
        </mc:Choice>
        <mc:Fallback/>
      </mc:AlternateContent>
    </comment>
    <comment ref="C7" authorId="0">
      <text>
        <r>
          <rPr>
            <sz val="10"/>
            <rFont val="Arial"/>
            <family val="2"/>
          </rPr>
          <t xml:space="preserve">Source: stock-data get_price_history ^GSPC monthly close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23</xdr:colOff>
                <xdr:row>4</xdr:row>
                <xdr:rowOff>1</xdr:rowOff>
              </xdr:to>
            </anchor>
          </commentPr>
        </mc:Choice>
        <mc:Fallback/>
      </mc:AlternateContent>
    </comment>
    <comment ref="C8" authorId="0">
      <text>
        <r>
          <rPr>
            <sz val="10"/>
            <rFont val="Arial"/>
            <family val="2"/>
          </rPr>
          <t xml:space="preserve">Source: stock-data get_price_history ^GSPC monthly close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23</xdr:colOff>
                <xdr:row>4</xdr:row>
                <xdr:rowOff>1</xdr:rowOff>
              </xdr:to>
            </anchor>
          </commentPr>
        </mc:Choice>
        <mc:Fallback/>
      </mc:AlternateContent>
    </comment>
    <comment ref="C9" authorId="0">
      <text>
        <r>
          <rPr>
            <sz val="10"/>
            <rFont val="Arial"/>
            <family val="2"/>
          </rPr>
          <t xml:space="preserve">Source: stock-data get_price_history ^GSPC monthly close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23</xdr:colOff>
                <xdr:row>4</xdr:row>
                <xdr:rowOff>1</xdr:rowOff>
              </xdr:to>
            </anchor>
          </commentPr>
        </mc:Choice>
        <mc:Fallback/>
      </mc:AlternateContent>
    </comment>
    <comment ref="C10" authorId="0">
      <text>
        <r>
          <rPr>
            <sz val="10"/>
            <rFont val="Arial"/>
            <family val="2"/>
          </rPr>
          <t xml:space="preserve">Source: stock-data get_price_history ^GSPC monthly close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23</xdr:colOff>
                <xdr:row>4</xdr:row>
                <xdr:rowOff>1</xdr:rowOff>
              </xdr:to>
            </anchor>
          </commentPr>
        </mc:Choice>
        <mc:Fallback/>
      </mc:AlternateContent>
    </comment>
    <comment ref="C11" authorId="0">
      <text>
        <r>
          <rPr>
            <sz val="10"/>
            <rFont val="Arial"/>
            <family val="2"/>
          </rPr>
          <t xml:space="preserve">Source: stock-data get_price_history ^GSPC monthly close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23</xdr:colOff>
                <xdr:row>4</xdr:row>
                <xdr:rowOff>1</xdr:rowOff>
              </xdr:to>
            </anchor>
          </commentPr>
        </mc:Choice>
        <mc:Fallback/>
      </mc:AlternateContent>
    </comment>
    <comment ref="C12" authorId="0">
      <text>
        <r>
          <rPr>
            <sz val="10"/>
            <rFont val="Arial"/>
            <family val="2"/>
          </rPr>
          <t xml:space="preserve">Source: stock-data get_price_history ^GSPC monthly close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23</xdr:colOff>
                <xdr:row>4</xdr:row>
                <xdr:rowOff>1</xdr:rowOff>
              </xdr:to>
            </anchor>
          </commentPr>
        </mc:Choice>
        <mc:Fallback/>
      </mc:AlternateContent>
    </comment>
    <comment ref="C13" authorId="0">
      <text>
        <r>
          <rPr>
            <sz val="10"/>
            <rFont val="Arial"/>
            <family val="2"/>
          </rPr>
          <t xml:space="preserve">Source: stock-data get_price_history ^GSPC monthly close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23</xdr:colOff>
                <xdr:row>4</xdr:row>
                <xdr:rowOff>1</xdr:rowOff>
              </xdr:to>
            </anchor>
          </commentPr>
        </mc:Choice>
        <mc:Fallback/>
      </mc:AlternateContent>
    </comment>
    <comment ref="C14" authorId="0">
      <text>
        <r>
          <rPr>
            <sz val="10"/>
            <rFont val="Arial"/>
            <family val="2"/>
          </rPr>
          <t xml:space="preserve">Source: stock-data get_price_history ^GSPC monthly close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23</xdr:colOff>
                <xdr:row>4</xdr:row>
                <xdr:rowOff>1</xdr:rowOff>
              </xdr:to>
            </anchor>
          </commentPr>
        </mc:Choice>
        <mc:Fallback/>
      </mc:AlternateContent>
    </comment>
    <comment ref="C15" authorId="0">
      <text>
        <r>
          <rPr>
            <sz val="10"/>
            <rFont val="Arial"/>
            <family val="2"/>
          </rPr>
          <t xml:space="preserve">Source: stock-data get_price_history ^GSPC monthly close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23</xdr:colOff>
                <xdr:row>4</xdr:row>
                <xdr:rowOff>1</xdr:rowOff>
              </xdr:to>
            </anchor>
          </commentPr>
        </mc:Choice>
        <mc:Fallback/>
      </mc:AlternateContent>
    </comment>
    <comment ref="C16" authorId="0">
      <text>
        <r>
          <rPr>
            <sz val="10"/>
            <rFont val="Arial"/>
            <family val="2"/>
          </rPr>
          <t xml:space="preserve">Source: stock-data get_price_history ^GSPC monthly close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23</xdr:colOff>
                <xdr:row>4</xdr:row>
                <xdr:rowOff>1</xdr:rowOff>
              </xdr:to>
            </anchor>
          </commentPr>
        </mc:Choice>
        <mc:Fallback/>
      </mc:AlternateContent>
    </comment>
    <comment ref="C17" authorId="0">
      <text>
        <r>
          <rPr>
            <sz val="10"/>
            <rFont val="Arial"/>
            <family val="2"/>
          </rPr>
          <t xml:space="preserve">Source: stock-data get_price_history ^GSPC monthly close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23</xdr:colOff>
                <xdr:row>4</xdr:row>
                <xdr:rowOff>1</xdr:rowOff>
              </xdr:to>
            </anchor>
          </commentPr>
        </mc:Choice>
        <mc:Fallback/>
      </mc:AlternateContent>
    </comment>
    <comment ref="C18" authorId="0">
      <text>
        <r>
          <rPr>
            <sz val="10"/>
            <rFont val="Arial"/>
            <family val="2"/>
          </rPr>
          <t xml:space="preserve">Source: stock-data get_price_history ^GSPC monthly close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23</xdr:colOff>
                <xdr:row>4</xdr:row>
                <xdr:rowOff>1</xdr:rowOff>
              </xdr:to>
            </anchor>
          </commentPr>
        </mc:Choice>
        <mc:Fallback/>
      </mc:AlternateContent>
    </comment>
    <comment ref="C19" authorId="0">
      <text>
        <r>
          <rPr>
            <sz val="10"/>
            <rFont val="Arial"/>
            <family val="2"/>
          </rPr>
          <t xml:space="preserve">Source: stock-data get_price_history ^GSPC monthly close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23</xdr:colOff>
                <xdr:row>4</xdr:row>
                <xdr:rowOff>1</xdr:rowOff>
              </xdr:to>
            </anchor>
          </commentPr>
        </mc:Choice>
        <mc:Fallback/>
      </mc:AlternateContent>
    </comment>
    <comment ref="C20" authorId="0">
      <text>
        <r>
          <rPr>
            <sz val="10"/>
            <rFont val="Arial"/>
            <family val="2"/>
          </rPr>
          <t xml:space="preserve">Source: stock-data get_price_history ^GSPC monthly close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23</xdr:colOff>
                <xdr:row>4</xdr:row>
                <xdr:rowOff>1</xdr:rowOff>
              </xdr:to>
            </anchor>
          </commentPr>
        </mc:Choice>
        <mc:Fallback/>
      </mc:AlternateContent>
    </comment>
    <comment ref="C21" authorId="0">
      <text>
        <r>
          <rPr>
            <sz val="10"/>
            <rFont val="Arial"/>
            <family val="2"/>
          </rPr>
          <t xml:space="preserve">Source: stock-data get_price_history ^GSPC monthly close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23</xdr:colOff>
                <xdr:row>4</xdr:row>
                <xdr:rowOff>1</xdr:rowOff>
              </xdr:to>
            </anchor>
          </commentPr>
        </mc:Choice>
        <mc:Fallback/>
      </mc:AlternateContent>
    </comment>
    <comment ref="C22" authorId="0">
      <text>
        <r>
          <rPr>
            <sz val="10"/>
            <rFont val="Arial"/>
            <family val="2"/>
          </rPr>
          <t xml:space="preserve">Source: stock-data get_price_history ^GSPC monthly close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23</xdr:colOff>
                <xdr:row>4</xdr:row>
                <xdr:rowOff>1</xdr:rowOff>
              </xdr:to>
            </anchor>
          </commentPr>
        </mc:Choice>
        <mc:Fallback/>
      </mc:AlternateContent>
    </comment>
    <comment ref="C23" authorId="0">
      <text>
        <r>
          <rPr>
            <sz val="10"/>
            <rFont val="Arial"/>
            <family val="2"/>
          </rPr>
          <t xml:space="preserve">Source: stock-data get_price_history ^GSPC monthly close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23</xdr:colOff>
                <xdr:row>4</xdr:row>
                <xdr:rowOff>1</xdr:rowOff>
              </xdr:to>
            </anchor>
          </commentPr>
        </mc:Choice>
        <mc:Fallback/>
      </mc:AlternateContent>
    </comment>
    <comment ref="C24" authorId="0">
      <text>
        <r>
          <rPr>
            <sz val="10"/>
            <rFont val="Arial"/>
            <family val="2"/>
          </rPr>
          <t xml:space="preserve">Source: stock-data get_price_history ^GSPC monthly close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23</xdr:colOff>
                <xdr:row>4</xdr:row>
                <xdr:rowOff>1</xdr:rowOff>
              </xdr:to>
            </anchor>
          </commentPr>
        </mc:Choice>
        <mc:Fallback/>
      </mc:AlternateContent>
    </comment>
    <comment ref="C25" authorId="0">
      <text>
        <r>
          <rPr>
            <sz val="10"/>
            <rFont val="Arial"/>
            <family val="2"/>
          </rPr>
          <t xml:space="preserve">Source: stock-data get_price_history ^GSPC monthly close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23</xdr:colOff>
                <xdr:row>4</xdr:row>
                <xdr:rowOff>1</xdr:rowOff>
              </xdr:to>
            </anchor>
          </commentPr>
        </mc:Choice>
        <mc:Fallback/>
      </mc:AlternateContent>
    </comment>
    <comment ref="C26" authorId="0">
      <text>
        <r>
          <rPr>
            <sz val="10"/>
            <rFont val="Arial"/>
            <family val="2"/>
          </rPr>
          <t xml:space="preserve">Source: stock-data get_price_history ^GSPC monthly close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23</xdr:colOff>
                <xdr:row>4</xdr:row>
                <xdr:rowOff>1</xdr:rowOff>
              </xdr:to>
            </anchor>
          </commentPr>
        </mc:Choice>
        <mc:Fallback/>
      </mc:AlternateContent>
    </comment>
    <comment ref="C27" authorId="0">
      <text>
        <r>
          <rPr>
            <sz val="10"/>
            <rFont val="Arial"/>
            <family val="2"/>
          </rPr>
          <t xml:space="preserve">Source: stock-data get_price_history ^GSPC monthly close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23</xdr:colOff>
                <xdr:row>4</xdr:row>
                <xdr:rowOff>1</xdr:rowOff>
              </xdr:to>
            </anchor>
          </commentPr>
        </mc:Choice>
        <mc:Fallback/>
      </mc:AlternateContent>
    </comment>
    <comment ref="C28" authorId="0">
      <text>
        <r>
          <rPr>
            <sz val="10"/>
            <rFont val="Arial"/>
            <family val="2"/>
          </rPr>
          <t xml:space="preserve">Source: stock-data get_price_history ^GSPC monthly close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23</xdr:colOff>
                <xdr:row>4</xdr:row>
                <xdr:rowOff>1</xdr:rowOff>
              </xdr:to>
            </anchor>
          </commentPr>
        </mc:Choice>
        <mc:Fallback/>
      </mc:AlternateContent>
    </comment>
    <comment ref="C29" authorId="0">
      <text>
        <r>
          <rPr>
            <sz val="10"/>
            <rFont val="Arial"/>
            <family val="2"/>
          </rPr>
          <t xml:space="preserve">Source: stock-data get_price_history ^GSPC monthly close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23</xdr:colOff>
                <xdr:row>4</xdr:row>
                <xdr:rowOff>1</xdr:rowOff>
              </xdr:to>
            </anchor>
          </commentPr>
        </mc:Choice>
        <mc:Fallback/>
      </mc:AlternateContent>
    </comment>
    <comment ref="C30" authorId="0">
      <text>
        <r>
          <rPr>
            <sz val="10"/>
            <rFont val="Arial"/>
            <family val="2"/>
          </rPr>
          <t xml:space="preserve">Source: stock-data get_price_history ^GSPC monthly close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23</xdr:colOff>
                <xdr:row>4</xdr:row>
                <xdr:rowOff>1</xdr:rowOff>
              </xdr:to>
            </anchor>
          </commentPr>
        </mc:Choice>
        <mc:Fallback/>
      </mc:AlternateContent>
    </comment>
    <comment ref="C31" authorId="0">
      <text>
        <r>
          <rPr>
            <sz val="10"/>
            <rFont val="Arial"/>
            <family val="2"/>
          </rPr>
          <t xml:space="preserve">Source: stock-data get_price_history ^GSPC monthly close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23</xdr:colOff>
                <xdr:row>4</xdr:row>
                <xdr:rowOff>1</xdr:rowOff>
              </xdr:to>
            </anchor>
          </commentPr>
        </mc:Choice>
        <mc:Fallback/>
      </mc:AlternateContent>
    </comment>
    <comment ref="C32" authorId="0">
      <text>
        <r>
          <rPr>
            <sz val="10"/>
            <rFont val="Arial"/>
            <family val="2"/>
          </rPr>
          <t xml:space="preserve">Source: stock-data get_price_history ^GSPC monthly close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23</xdr:colOff>
                <xdr:row>4</xdr:row>
                <xdr:rowOff>1</xdr:rowOff>
              </xdr:to>
            </anchor>
          </commentPr>
        </mc:Choice>
        <mc:Fallback/>
      </mc:AlternateContent>
    </comment>
    <comment ref="C33" authorId="0">
      <text>
        <r>
          <rPr>
            <sz val="10"/>
            <rFont val="Arial"/>
            <family val="2"/>
          </rPr>
          <t xml:space="preserve">Source: stock-data get_price_history ^GSPC monthly close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23</xdr:colOff>
                <xdr:row>4</xdr:row>
                <xdr:rowOff>1</xdr:rowOff>
              </xdr:to>
            </anchor>
          </commentPr>
        </mc:Choice>
        <mc:Fallback/>
      </mc:AlternateContent>
    </comment>
    <comment ref="C34" authorId="0">
      <text>
        <r>
          <rPr>
            <sz val="10"/>
            <rFont val="Arial"/>
            <family val="2"/>
          </rPr>
          <t xml:space="preserve">Source: stock-data get_price_history ^GSPC monthly close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23</xdr:colOff>
                <xdr:row>4</xdr:row>
                <xdr:rowOff>1</xdr:rowOff>
              </xdr:to>
            </anchor>
          </commentPr>
        </mc:Choice>
        <mc:Fallback/>
      </mc:AlternateContent>
    </comment>
    <comment ref="C35" authorId="0">
      <text>
        <r>
          <rPr>
            <sz val="10"/>
            <rFont val="Arial"/>
            <family val="2"/>
          </rPr>
          <t xml:space="preserve">Source: stock-data get_price_history ^GSPC monthly close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23</xdr:colOff>
                <xdr:row>4</xdr:row>
                <xdr:rowOff>1</xdr:rowOff>
              </xdr:to>
            </anchor>
          </commentPr>
        </mc:Choice>
        <mc:Fallback/>
      </mc:AlternateContent>
    </comment>
    <comment ref="C36" authorId="0">
      <text>
        <r>
          <rPr>
            <sz val="10"/>
            <rFont val="Arial"/>
            <family val="2"/>
          </rPr>
          <t xml:space="preserve">Source: stock-data get_price_history ^GSPC monthly close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23</xdr:colOff>
                <xdr:row>4</xdr:row>
                <xdr:rowOff>1</xdr:rowOff>
              </xdr:to>
            </anchor>
          </commentPr>
        </mc:Choice>
        <mc:Fallback/>
      </mc:AlternateContent>
    </comment>
    <comment ref="C37" authorId="0">
      <text>
        <r>
          <rPr>
            <sz val="10"/>
            <rFont val="Arial"/>
            <family val="2"/>
          </rPr>
          <t xml:space="preserve">Source: stock-data get_price_history ^GSPC monthly close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23</xdr:colOff>
                <xdr:row>4</xdr:row>
                <xdr:rowOff>1</xdr:rowOff>
              </xdr:to>
            </anchor>
          </commentPr>
        </mc:Choice>
        <mc:Fallback/>
      </mc:AlternateContent>
    </comment>
    <comment ref="C38" authorId="0">
      <text>
        <r>
          <rPr>
            <sz val="10"/>
            <rFont val="Arial"/>
            <family val="2"/>
          </rPr>
          <t xml:space="preserve">Source: stock-data get_price_history ^GSPC monthly close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23</xdr:colOff>
                <xdr:row>4</xdr:row>
                <xdr:rowOff>1</xdr:rowOff>
              </xdr:to>
            </anchor>
          </commentPr>
        </mc:Choice>
        <mc:Fallback/>
      </mc:AlternateContent>
    </comment>
    <comment ref="C39" authorId="0">
      <text>
        <r>
          <rPr>
            <sz val="10"/>
            <rFont val="Arial"/>
            <family val="2"/>
          </rPr>
          <t xml:space="preserve">Source: stock-data get_price_history ^GSPC monthly close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23</xdr:colOff>
                <xdr:row>4</xdr:row>
                <xdr:rowOff>1</xdr:rowOff>
              </xdr:to>
            </anchor>
          </commentPr>
        </mc:Choice>
        <mc:Fallback/>
      </mc:AlternateContent>
    </comment>
    <comment ref="C40" authorId="0">
      <text>
        <r>
          <rPr>
            <sz val="10"/>
            <rFont val="Arial"/>
            <family val="2"/>
          </rPr>
          <t xml:space="preserve">Source: stock-data get_price_history ^GSPC monthly close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23</xdr:colOff>
                <xdr:row>4</xdr:row>
                <xdr:rowOff>1</xdr:rowOff>
              </xdr:to>
            </anchor>
          </commentPr>
        </mc:Choice>
        <mc:Fallback/>
      </mc:AlternateContent>
    </comment>
    <comment ref="C41" authorId="0">
      <text>
        <r>
          <rPr>
            <sz val="10"/>
            <rFont val="Arial"/>
            <family val="2"/>
          </rPr>
          <t xml:space="preserve">Source: stock-data get_price_history ^GSPC monthly close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23</xdr:colOff>
                <xdr:row>4</xdr:row>
                <xdr:rowOff>1</xdr:rowOff>
              </xdr:to>
            </anchor>
          </commentPr>
        </mc:Choice>
        <mc:Fallback/>
      </mc:AlternateContent>
    </comment>
    <comment ref="C42" authorId="0">
      <text>
        <r>
          <rPr>
            <sz val="10"/>
            <rFont val="Arial"/>
            <family val="2"/>
          </rPr>
          <t xml:space="preserve">Source: stock-data get_price_history ^GSPC monthly close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23</xdr:colOff>
                <xdr:row>4</xdr:row>
                <xdr:rowOff>1</xdr:rowOff>
              </xdr:to>
            </anchor>
          </commentPr>
        </mc:Choice>
        <mc:Fallback/>
      </mc:AlternateContent>
    </comment>
    <comment ref="C43" authorId="0">
      <text>
        <r>
          <rPr>
            <sz val="10"/>
            <rFont val="Arial"/>
            <family val="2"/>
          </rPr>
          <t xml:space="preserve">Source: stock-data get_price_history ^GSPC monthly close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23</xdr:colOff>
                <xdr:row>4</xdr:row>
                <xdr:rowOff>1</xdr:rowOff>
              </xdr:to>
            </anchor>
          </commentPr>
        </mc:Choice>
        <mc:Fallback/>
      </mc:AlternateContent>
    </comment>
    <comment ref="C44" authorId="0">
      <text>
        <r>
          <rPr>
            <sz val="10"/>
            <rFont val="Arial"/>
            <family val="2"/>
          </rPr>
          <t xml:space="preserve">Source: stock-data get_price_history ^GSPC monthly close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23</xdr:colOff>
                <xdr:row>4</xdr:row>
                <xdr:rowOff>1</xdr:rowOff>
              </xdr:to>
            </anchor>
          </commentPr>
        </mc:Choice>
        <mc:Fallback/>
      </mc:AlternateContent>
    </comment>
    <comment ref="C45" authorId="0">
      <text>
        <r>
          <rPr>
            <sz val="10"/>
            <rFont val="Arial"/>
            <family val="2"/>
          </rPr>
          <t xml:space="preserve">Source: stock-data get_price_history ^GSPC monthly close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23</xdr:colOff>
                <xdr:row>4</xdr:row>
                <xdr:rowOff>1</xdr:rowOff>
              </xdr:to>
            </anchor>
          </commentPr>
        </mc:Choice>
        <mc:Fallback/>
      </mc:AlternateContent>
    </comment>
    <comment ref="C46" authorId="0">
      <text>
        <r>
          <rPr>
            <sz val="10"/>
            <rFont val="Arial"/>
            <family val="2"/>
          </rPr>
          <t xml:space="preserve">Source: stock-data get_price_history ^GSPC monthly close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23</xdr:colOff>
                <xdr:row>4</xdr:row>
                <xdr:rowOff>1</xdr:rowOff>
              </xdr:to>
            </anchor>
          </commentPr>
        </mc:Choice>
        <mc:Fallback/>
      </mc:AlternateContent>
    </comment>
    <comment ref="C47" authorId="0">
      <text>
        <r>
          <rPr>
            <sz val="10"/>
            <rFont val="Arial"/>
            <family val="2"/>
          </rPr>
          <t xml:space="preserve">Source: stock-data get_price_history ^GSPC monthly close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23</xdr:colOff>
                <xdr:row>4</xdr:row>
                <xdr:rowOff>1</xdr:rowOff>
              </xdr:to>
            </anchor>
          </commentPr>
        </mc:Choice>
        <mc:Fallback/>
      </mc:AlternateContent>
    </comment>
    <comment ref="C48" authorId="0">
      <text>
        <r>
          <rPr>
            <sz val="10"/>
            <rFont val="Arial"/>
            <family val="2"/>
          </rPr>
          <t xml:space="preserve">Source: stock-data get_price_history ^GSPC monthly close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23</xdr:colOff>
                <xdr:row>4</xdr:row>
                <xdr:rowOff>1</xdr:rowOff>
              </xdr:to>
            </anchor>
          </commentPr>
        </mc:Choice>
        <mc:Fallback/>
      </mc:AlternateContent>
    </comment>
    <comment ref="C49" authorId="0">
      <text>
        <r>
          <rPr>
            <sz val="10"/>
            <rFont val="Arial"/>
            <family val="2"/>
          </rPr>
          <t xml:space="preserve">Source: stock-data get_price_history ^GSPC monthly close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23</xdr:colOff>
                <xdr:row>4</xdr:row>
                <xdr:rowOff>1</xdr:rowOff>
              </xdr:to>
            </anchor>
          </commentPr>
        </mc:Choice>
        <mc:Fallback/>
      </mc:AlternateContent>
    </comment>
    <comment ref="C50" authorId="0">
      <text>
        <r>
          <rPr>
            <sz val="10"/>
            <rFont val="Arial"/>
            <family val="2"/>
          </rPr>
          <t xml:space="preserve">Source: stock-data get_price_history ^GSPC monthly close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23</xdr:colOff>
                <xdr:row>4</xdr:row>
                <xdr:rowOff>1</xdr:rowOff>
              </xdr:to>
            </anchor>
          </commentPr>
        </mc:Choice>
        <mc:Fallback/>
      </mc:AlternateContent>
    </comment>
    <comment ref="C51" authorId="0">
      <text>
        <r>
          <rPr>
            <sz val="10"/>
            <rFont val="Arial"/>
            <family val="2"/>
          </rPr>
          <t xml:space="preserve">Source: stock-data get_price_history ^GSPC monthly close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23</xdr:colOff>
                <xdr:row>4</xdr:row>
                <xdr:rowOff>1</xdr:rowOff>
              </xdr:to>
            </anchor>
          </commentPr>
        </mc:Choice>
        <mc:Fallback/>
      </mc:AlternateContent>
    </comment>
    <comment ref="C52" authorId="0">
      <text>
        <r>
          <rPr>
            <sz val="10"/>
            <rFont val="Arial"/>
            <family val="2"/>
          </rPr>
          <t xml:space="preserve">Source: stock-data get_price_history ^GSPC monthly close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23</xdr:colOff>
                <xdr:row>4</xdr:row>
                <xdr:rowOff>1</xdr:rowOff>
              </xdr:to>
            </anchor>
          </commentPr>
        </mc:Choice>
        <mc:Fallback/>
      </mc:AlternateContent>
    </comment>
    <comment ref="C53" authorId="0">
      <text>
        <r>
          <rPr>
            <sz val="10"/>
            <rFont val="Arial"/>
            <family val="2"/>
          </rPr>
          <t xml:space="preserve">Source: stock-data get_price_history ^GSPC monthly close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23</xdr:colOff>
                <xdr:row>4</xdr:row>
                <xdr:rowOff>1</xdr:rowOff>
              </xdr:to>
            </anchor>
          </commentPr>
        </mc:Choice>
        <mc:Fallback/>
      </mc:AlternateContent>
    </comment>
    <comment ref="C54" authorId="0">
      <text>
        <r>
          <rPr>
            <sz val="10"/>
            <rFont val="Arial"/>
            <family val="2"/>
          </rPr>
          <t xml:space="preserve">Source: stock-data get_price_history ^GSPC monthly close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23</xdr:colOff>
                <xdr:row>4</xdr:row>
                <xdr:rowOff>1</xdr:rowOff>
              </xdr:to>
            </anchor>
          </commentPr>
        </mc:Choice>
        <mc:Fallback/>
      </mc:AlternateContent>
    </comment>
    <comment ref="C55" authorId="0">
      <text>
        <r>
          <rPr>
            <sz val="10"/>
            <rFont val="Arial"/>
            <family val="2"/>
          </rPr>
          <t xml:space="preserve">Source: stock-data get_price_history ^GSPC monthly close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23</xdr:colOff>
                <xdr:row>4</xdr:row>
                <xdr:rowOff>1</xdr:rowOff>
              </xdr:to>
            </anchor>
          </commentPr>
        </mc:Choice>
        <mc:Fallback/>
      </mc:AlternateContent>
    </comment>
    <comment ref="C56" authorId="0">
      <text>
        <r>
          <rPr>
            <sz val="10"/>
            <rFont val="Arial"/>
            <family val="2"/>
          </rPr>
          <t xml:space="preserve">Source: stock-data get_price_history ^GSPC monthly close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23</xdr:colOff>
                <xdr:row>4</xdr:row>
                <xdr:rowOff>1</xdr:rowOff>
              </xdr:to>
            </anchor>
          </commentPr>
        </mc:Choice>
        <mc:Fallback/>
      </mc:AlternateContent>
    </comment>
    <comment ref="C57" authorId="0">
      <text>
        <r>
          <rPr>
            <sz val="10"/>
            <rFont val="Arial"/>
            <family val="2"/>
          </rPr>
          <t xml:space="preserve">Source: stock-data get_price_history ^GSPC monthly close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23</xdr:colOff>
                <xdr:row>4</xdr:row>
                <xdr:rowOff>1</xdr:rowOff>
              </xdr:to>
            </anchor>
          </commentPr>
        </mc:Choice>
        <mc:Fallback/>
      </mc:AlternateContent>
    </comment>
    <comment ref="C58" authorId="0">
      <text>
        <r>
          <rPr>
            <sz val="10"/>
            <rFont val="Arial"/>
            <family val="2"/>
          </rPr>
          <t xml:space="preserve">Source: stock-data get_price_history ^GSPC monthly close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23</xdr:colOff>
                <xdr:row>4</xdr:row>
                <xdr:rowOff>1</xdr:rowOff>
              </xdr:to>
            </anchor>
          </commentPr>
        </mc:Choice>
        <mc:Fallback/>
      </mc:AlternateContent>
    </comment>
    <comment ref="C59" authorId="0">
      <text>
        <r>
          <rPr>
            <sz val="10"/>
            <rFont val="Arial"/>
            <family val="2"/>
          </rPr>
          <t xml:space="preserve">Source: stock-data get_price_history ^GSPC monthly close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23</xdr:colOff>
                <xdr:row>4</xdr:row>
                <xdr:rowOff>1</xdr:rowOff>
              </xdr:to>
            </anchor>
          </commentPr>
        </mc:Choice>
        <mc:Fallback/>
      </mc:AlternateContent>
    </comment>
    <comment ref="C60" authorId="0">
      <text>
        <r>
          <rPr>
            <sz val="10"/>
            <rFont val="Arial"/>
            <family val="2"/>
          </rPr>
          <t xml:space="preserve">Source: stock-data get_price_history ^GSPC monthly close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23</xdr:colOff>
                <xdr:row>4</xdr:row>
                <xdr:rowOff>1</xdr:rowOff>
              </xdr:to>
            </anchor>
          </commentPr>
        </mc:Choice>
        <mc:Fallback/>
      </mc:AlternateContent>
    </comment>
    <comment ref="C61" authorId="0">
      <text>
        <r>
          <rPr>
            <sz val="10"/>
            <rFont val="Arial"/>
            <family val="2"/>
          </rPr>
          <t xml:space="preserve">Source: stock-data get_price_history ^GSPC monthly close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23</xdr:colOff>
                <xdr:row>4</xdr:row>
                <xdr:rowOff>1</xdr:rowOff>
              </xdr:to>
            </anchor>
          </commentPr>
        </mc:Choice>
        <mc:Fallback/>
      </mc:AlternateContent>
    </comment>
    <comment ref="C62" authorId="0">
      <text>
        <r>
          <rPr>
            <sz val="10"/>
            <rFont val="Arial"/>
            <family val="2"/>
          </rPr>
          <t xml:space="preserve">Source: stock-data get_price_history ^GSPC monthly close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23</xdr:colOff>
                <xdr:row>4</xdr:row>
                <xdr:rowOff>1</xdr:rowOff>
              </xdr:to>
            </anchor>
          </commentPr>
        </mc:Choice>
        <mc:Fallback/>
      </mc:AlternateContent>
    </comment>
    <comment ref="C63" authorId="0">
      <text>
        <r>
          <rPr>
            <sz val="10"/>
            <rFont val="Arial"/>
            <family val="2"/>
          </rPr>
          <t xml:space="preserve">Source: stock-data get_price_history ^GSPC monthly close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23</xdr:colOff>
                <xdr:row>4</xdr:row>
                <xdr:rowOff>1</xdr:rowOff>
              </xdr:to>
            </anchor>
          </commentPr>
        </mc:Choice>
        <mc:Fallback/>
      </mc:AlternateContent>
    </comment>
    <comment ref="C64" authorId="0">
      <text>
        <r>
          <rPr>
            <sz val="10"/>
            <rFont val="Arial"/>
            <family val="2"/>
          </rPr>
          <t xml:space="preserve">Source: stock-data get_price_history ^GSPC monthly close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23</xdr:colOff>
                <xdr:row>4</xdr:row>
                <xdr:rowOff>1</xdr:rowOff>
              </xdr:to>
            </anchor>
          </commentPr>
        </mc:Choice>
        <mc:Fallback/>
      </mc:AlternateContent>
    </comment>
  </commentList>
</comments>
</file>

<file path=xl/comments4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C24" authorId="0">
      <text>
        <r>
          <rPr>
            <sz val="10"/>
            <rFont val="Arial"/>
            <family val="2"/>
          </rPr>
          <t xml:space="preserve">Source: stock-data get_quote (Yahoo Finance), fetched 2026-10-15T02:06Z (US close 2026-10-14)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4</xdr:row>
                <xdr:rowOff>4</xdr:rowOff>
              </xdr:to>
            </anchor>
          </commentPr>
        </mc:Choice>
        <mc:Fallback/>
      </mc:AlternateContent>
    </comment>
    <comment ref="C26" authorId="0">
      <text>
        <r>
          <rPr>
            <sz val="10"/>
            <rFont val="Arial"/>
            <family val="2"/>
          </rPr>
          <t xml:space="preserve">Source: stock-data get_quote (Yahoo Finance), fetched 2026-10-15T02:06Z (US close 2026-10-14)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4</xdr:row>
                <xdr:rowOff>4</xdr:rowOff>
              </xdr:to>
            </anchor>
          </commentPr>
        </mc:Choice>
        <mc:Fallback/>
      </mc:AlternateContent>
    </comment>
    <comment ref="C27" authorId="0">
      <text>
        <r>
          <rPr>
            <sz val="10"/>
            <rFont val="Arial"/>
            <family val="2"/>
          </rPr>
          <t xml:space="preserve">Source: stock-data get_quote (Yahoo Finance), fetched 2026-10-15T02:06Z (US close 2026-10-14)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4</xdr:row>
                <xdr:rowOff>4</xdr:rowOff>
              </xdr:to>
            </anchor>
          </commentPr>
        </mc:Choice>
        <mc:Fallback/>
      </mc:AlternateContent>
    </comment>
    <comment ref="C28" authorId="0">
      <text>
        <r>
          <rPr>
            <sz val="10"/>
            <rFont val="Arial"/>
            <family val="2"/>
          </rPr>
          <t xml:space="preserve">Source: stock-data get_quote (Yahoo Finance), fetched 2026-10-15T02:06Z (US close 2026-10-14)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4</xdr:row>
                <xdr:rowOff>4</xdr:rowOff>
              </xdr:to>
            </anchor>
          </commentPr>
        </mc:Choice>
        <mc:Fallback/>
      </mc:AlternateContent>
    </comment>
    <comment ref="C29" authorId="0">
      <text>
        <r>
          <rPr>
            <sz val="10"/>
            <rFont val="Arial"/>
            <family val="2"/>
          </rPr>
          <t xml:space="preserve">Source: stock-data get_quote (Yahoo Finance), fetched 2026-10-15T02:06Z (US close 2026-10-14)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4</xdr:row>
                <xdr:rowOff>4</xdr:rowOff>
              </xdr:to>
            </anchor>
          </commentPr>
        </mc:Choice>
        <mc:Fallback/>
      </mc:AlternateContent>
    </comment>
    <comment ref="C30" authorId="0">
      <text>
        <r>
          <rPr>
            <sz val="10"/>
            <rFont val="Arial"/>
            <family val="2"/>
          </rPr>
          <t xml:space="preserve">Source: stock-data get_quote (Yahoo Finance), fetched 2026-10-15T02:06Z (US close 2026-10-14)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4</xdr:row>
                <xdr:rowOff>4</xdr:rowOff>
              </xdr:to>
            </anchor>
          </commentPr>
        </mc:Choice>
        <mc:Fallback/>
      </mc:AlternateContent>
    </comment>
    <comment ref="D7" authorId="0">
      <text>
        <r>
          <rPr>
            <sz val="10"/>
            <rFont val="Arial"/>
            <family val="2"/>
          </rPr>
          <t xml:space="preserve">Source: stock-data get_financials annual FY2026 (10-K filed 2026-07-29)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4</xdr:row>
                <xdr:rowOff>1</xdr:rowOff>
              </xdr:to>
            </anchor>
          </commentPr>
        </mc:Choice>
        <mc:Fallback/>
      </mc:AlternateContent>
    </comment>
    <comment ref="D9" authorId="0">
      <text>
        <r>
          <rPr>
            <sz val="10"/>
            <rFont val="Arial"/>
            <family val="2"/>
          </rPr>
          <t xml:space="preserve">Source: stock-data get_financials quarterly (SEC XBRL) Q3-25..Q2-26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4</xdr:row>
                <xdr:rowOff>1</xdr:rowOff>
              </xdr:to>
            </anchor>
          </commentPr>
        </mc:Choice>
        <mc:Fallback/>
      </mc:AlternateContent>
    </comment>
    <comment ref="D10" authorId="0">
      <text>
        <r>
          <rPr>
            <sz val="10"/>
            <rFont val="Arial"/>
            <family val="2"/>
          </rPr>
          <t xml:space="preserve">Source: stock-data get_financials quarterly (SEC XBRL) Q3-25..Q2-26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4</xdr:row>
                <xdr:rowOff>1</xdr:rowOff>
              </xdr:to>
            </anchor>
          </commentPr>
        </mc:Choice>
        <mc:Fallback/>
      </mc:AlternateContent>
    </comment>
    <comment ref="D11" authorId="0">
      <text>
        <r>
          <rPr>
            <sz val="10"/>
            <rFont val="Arial"/>
            <family val="2"/>
          </rPr>
          <t xml:space="preserve">Source: stock-data get_financials quarterly (SEC XBRL) Q3-25..Q2-26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4</xdr:row>
                <xdr:rowOff>1</xdr:rowOff>
              </xdr:to>
            </anchor>
          </commentPr>
        </mc:Choice>
        <mc:Fallback/>
      </mc:AlternateContent>
    </comment>
    <comment ref="D12" authorId="0">
      <text>
        <r>
          <rPr>
            <sz val="10"/>
            <rFont val="Arial"/>
            <family val="2"/>
          </rPr>
          <t xml:space="preserve">Source: stock-data get_financials quarterly (SEC XBRL) Q4-FY25..Q3-FY26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4</xdr:row>
                <xdr:rowOff>1</xdr:rowOff>
              </xdr:to>
            </anchor>
          </commentPr>
        </mc:Choice>
        <mc:Fallback/>
      </mc:AlternateContent>
    </comment>
    <comment ref="D13" authorId="0">
      <text>
        <r>
          <rPr>
            <sz val="10"/>
            <rFont val="Arial"/>
            <family val="2"/>
          </rPr>
          <t xml:space="preserve">Source: stock-data get_financials quarterly (SEC XBRL) Q2-FY26..Q1-FY27; debt from 10-Q for 2026-08-31 (orcl-20260831.htm)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5</xdr:row>
                <xdr:rowOff>14</xdr:rowOff>
              </xdr:to>
            </anchor>
          </commentPr>
        </mc:Choice>
        <mc:Fallback/>
      </mc:AlternateContent>
    </comment>
    <comment ref="D24" authorId="0">
      <text>
        <r>
          <rPr>
            <sz val="10"/>
            <rFont val="Arial"/>
            <family val="2"/>
          </rPr>
          <t xml:space="preserve">Source: implied = market_cap / price from stock-data get_quote 2026-10-14 (basic shares basis; quote market cap)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4</xdr:row>
                <xdr:rowOff>19</xdr:rowOff>
              </xdr:to>
            </anchor>
          </commentPr>
        </mc:Choice>
        <mc:Fallback/>
      </mc:AlternateContent>
    </comment>
    <comment ref="D26" authorId="0">
      <text>
        <r>
          <rPr>
            <sz val="10"/>
            <rFont val="Arial"/>
            <family val="2"/>
          </rPr>
          <t xml:space="preserve">Source: implied = market_cap / price from stock-data get_quote 2026-10-14 (basic shares basis; quote market cap)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4</xdr:row>
                <xdr:rowOff>19</xdr:rowOff>
              </xdr:to>
            </anchor>
          </commentPr>
        </mc:Choice>
        <mc:Fallback/>
      </mc:AlternateContent>
    </comment>
    <comment ref="D27" authorId="0">
      <text>
        <r>
          <rPr>
            <sz val="10"/>
            <rFont val="Arial"/>
            <family val="2"/>
          </rPr>
          <t xml:space="preserve">Source: implied = market_cap / price from stock-data get_quote 2026-10-14 (basic shares basis; quote market cap)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4</xdr:row>
                <xdr:rowOff>19</xdr:rowOff>
              </xdr:to>
            </anchor>
          </commentPr>
        </mc:Choice>
        <mc:Fallback/>
      </mc:AlternateContent>
    </comment>
    <comment ref="D28" authorId="0">
      <text>
        <r>
          <rPr>
            <sz val="10"/>
            <rFont val="Arial"/>
            <family val="2"/>
          </rPr>
          <t xml:space="preserve">Source: implied = market_cap / price from stock-data get_quote 2026-10-14 (basic shares basis; quote market cap)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4</xdr:row>
                <xdr:rowOff>19</xdr:rowOff>
              </xdr:to>
            </anchor>
          </commentPr>
        </mc:Choice>
        <mc:Fallback/>
      </mc:AlternateContent>
    </comment>
    <comment ref="D29" authorId="0">
      <text>
        <r>
          <rPr>
            <sz val="10"/>
            <rFont val="Arial"/>
            <family val="2"/>
          </rPr>
          <t xml:space="preserve">Source: implied = market_cap / price from stock-data get_quote 2026-10-14 (basic shares basis; quote market cap)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4</xdr:row>
                <xdr:rowOff>19</xdr:rowOff>
              </xdr:to>
            </anchor>
          </commentPr>
        </mc:Choice>
        <mc:Fallback/>
      </mc:AlternateContent>
    </comment>
    <comment ref="D30" authorId="0">
      <text>
        <r>
          <rPr>
            <sz val="10"/>
            <rFont val="Arial"/>
            <family val="2"/>
          </rPr>
          <t xml:space="preserve">Source: implied = market_cap / price from stock-data get_quote 2026-10-14 (basic shares basis; quote market cap)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4</xdr:row>
                <xdr:rowOff>19</xdr:rowOff>
              </xdr:to>
            </anchor>
          </commentPr>
        </mc:Choice>
        <mc:Fallback/>
      </mc:AlternateContent>
    </comment>
    <comment ref="E7" authorId="0">
      <text>
        <r>
          <rPr>
            <sz val="10"/>
            <rFont val="Arial"/>
            <family val="2"/>
          </rPr>
          <t xml:space="preserve">Source: stock-data get_financials annual FY2026 (10-K filed 2026-07-29)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4</xdr:row>
                <xdr:rowOff>1</xdr:rowOff>
              </xdr:to>
            </anchor>
          </commentPr>
        </mc:Choice>
        <mc:Fallback/>
      </mc:AlternateContent>
    </comment>
    <comment ref="E9" authorId="0">
      <text>
        <r>
          <rPr>
            <sz val="10"/>
            <rFont val="Arial"/>
            <family val="2"/>
          </rPr>
          <t xml:space="preserve">Source: stock-data get_financials quarterly (SEC XBRL) Q3-25..Q2-26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4</xdr:row>
                <xdr:rowOff>1</xdr:rowOff>
              </xdr:to>
            </anchor>
          </commentPr>
        </mc:Choice>
        <mc:Fallback/>
      </mc:AlternateContent>
    </comment>
    <comment ref="E10" authorId="0">
      <text>
        <r>
          <rPr>
            <sz val="10"/>
            <rFont val="Arial"/>
            <family val="2"/>
          </rPr>
          <t xml:space="preserve">Source: stock-data get_financials quarterly (SEC XBRL) Q3-25..Q2-26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4</xdr:row>
                <xdr:rowOff>1</xdr:rowOff>
              </xdr:to>
            </anchor>
          </commentPr>
        </mc:Choice>
        <mc:Fallback/>
      </mc:AlternateContent>
    </comment>
    <comment ref="E11" authorId="0">
      <text>
        <r>
          <rPr>
            <sz val="10"/>
            <rFont val="Arial"/>
            <family val="2"/>
          </rPr>
          <t xml:space="preserve">Source: stock-data get_financials quarterly (SEC XBRL) Q3-25..Q2-26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4</xdr:row>
                <xdr:rowOff>1</xdr:rowOff>
              </xdr:to>
            </anchor>
          </commentPr>
        </mc:Choice>
        <mc:Fallback/>
      </mc:AlternateContent>
    </comment>
    <comment ref="E12" authorId="0">
      <text>
        <r>
          <rPr>
            <sz val="10"/>
            <rFont val="Arial"/>
            <family val="2"/>
          </rPr>
          <t xml:space="preserve">Source: stock-data get_financials quarterly (SEC XBRL) Q4-FY25..Q3-FY26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4</xdr:row>
                <xdr:rowOff>1</xdr:rowOff>
              </xdr:to>
            </anchor>
          </commentPr>
        </mc:Choice>
        <mc:Fallback/>
      </mc:AlternateContent>
    </comment>
    <comment ref="E13" authorId="0">
      <text>
        <r>
          <rPr>
            <sz val="10"/>
            <rFont val="Arial"/>
            <family val="2"/>
          </rPr>
          <t xml:space="preserve">Source: stock-data get_financials quarterly (SEC XBRL) Q2-FY26..Q1-FY27; debt from 10-Q for 2026-08-31 (orcl-20260831.htm)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5</xdr:row>
                <xdr:rowOff>14</xdr:rowOff>
              </xdr:to>
            </anchor>
          </commentPr>
        </mc:Choice>
        <mc:Fallback/>
      </mc:AlternateContent>
    </comment>
    <comment ref="F24" authorId="0">
      <text>
        <r>
          <rPr>
            <sz val="10"/>
            <rFont val="Arial"/>
            <family val="2"/>
          </rPr>
          <t xml:space="preserve">Source: stock-data get_financials annual FY2026 (10-K filed 2026-07-29) - cash &amp; equivalents + current marketable securities (excludes long-term investments)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6</xdr:row>
                <xdr:rowOff>9</xdr:rowOff>
              </xdr:to>
            </anchor>
          </commentPr>
        </mc:Choice>
        <mc:Fallback/>
      </mc:AlternateContent>
    </comment>
    <comment ref="F26" authorId="0">
      <text>
        <r>
          <rPr>
            <sz val="10"/>
            <rFont val="Arial"/>
            <family val="2"/>
          </rPr>
          <t xml:space="preserve">Source: stock-data get_financials quarterly (SEC XBRL) Q3-25..Q2-26 - cash &amp; equivalents + current marketable securities (excludes long-term investments)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6</xdr:row>
                <xdr:rowOff>9</xdr:rowOff>
              </xdr:to>
            </anchor>
          </commentPr>
        </mc:Choice>
        <mc:Fallback/>
      </mc:AlternateContent>
    </comment>
    <comment ref="F27" authorId="0">
      <text>
        <r>
          <rPr>
            <sz val="10"/>
            <rFont val="Arial"/>
            <family val="2"/>
          </rPr>
          <t xml:space="preserve">Source: stock-data get_financials quarterly (SEC XBRL) Q3-25..Q2-26 - cash &amp; equivalents + current marketable securities (excludes long-term investments)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6</xdr:row>
                <xdr:rowOff>9</xdr:rowOff>
              </xdr:to>
            </anchor>
          </commentPr>
        </mc:Choice>
        <mc:Fallback/>
      </mc:AlternateContent>
    </comment>
    <comment ref="F28" authorId="0">
      <text>
        <r>
          <rPr>
            <sz val="10"/>
            <rFont val="Arial"/>
            <family val="2"/>
          </rPr>
          <t xml:space="preserve">Source: stock-data get_financials quarterly (SEC XBRL) Q3-25..Q2-26 - cash &amp; equivalents + current marketable securities (excludes long-term investments)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6</xdr:row>
                <xdr:rowOff>9</xdr:rowOff>
              </xdr:to>
            </anchor>
          </commentPr>
        </mc:Choice>
        <mc:Fallback/>
      </mc:AlternateContent>
    </comment>
    <comment ref="F29" authorId="0">
      <text>
        <r>
          <rPr>
            <sz val="10"/>
            <rFont val="Arial"/>
            <family val="2"/>
          </rPr>
          <t xml:space="preserve">Source: stock-data get_financials quarterly (SEC XBRL) Q4-FY25..Q3-FY26 - cash &amp; equivalents + current marketable securities (excludes long-term investments)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6</xdr:row>
                <xdr:rowOff>9</xdr:rowOff>
              </xdr:to>
            </anchor>
          </commentPr>
        </mc:Choice>
        <mc:Fallback/>
      </mc:AlternateContent>
    </comment>
    <comment ref="F30" authorId="0">
      <text>
        <r>
          <rPr>
            <sz val="10"/>
            <rFont val="Arial"/>
            <family val="2"/>
          </rPr>
          <t xml:space="preserve">Source: stock-data get_financials quarterly (SEC XBRL) Q2-FY26..Q1-FY27; debt from 10-Q for 2026-08-31 (orcl-20260831.htm) - cash &amp; equivalents + current marketable securities (excludes long-term investments)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8</xdr:row>
                <xdr:rowOff>14</xdr:rowOff>
              </xdr:to>
            </anchor>
          </commentPr>
        </mc:Choice>
        <mc:Fallback/>
      </mc:AlternateContent>
    </comment>
    <comment ref="G7" authorId="0">
      <text>
        <r>
          <rPr>
            <sz val="10"/>
            <rFont val="Arial"/>
            <family val="2"/>
          </rPr>
          <t xml:space="preserve">Source: stock-data get_financials annual FY2026 (10-K filed 2026-07-29)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4</xdr:row>
                <xdr:rowOff>1</xdr:rowOff>
              </xdr:to>
            </anchor>
          </commentPr>
        </mc:Choice>
        <mc:Fallback/>
      </mc:AlternateContent>
    </comment>
    <comment ref="G9" authorId="0">
      <text>
        <r>
          <rPr>
            <sz val="10"/>
            <rFont val="Arial"/>
            <family val="2"/>
          </rPr>
          <t xml:space="preserve">Source: stock-data get_financials quarterly (SEC XBRL) Q3-25..Q2-26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4</xdr:row>
                <xdr:rowOff>1</xdr:rowOff>
              </xdr:to>
            </anchor>
          </commentPr>
        </mc:Choice>
        <mc:Fallback/>
      </mc:AlternateContent>
    </comment>
    <comment ref="G10" authorId="0">
      <text>
        <r>
          <rPr>
            <sz val="10"/>
            <rFont val="Arial"/>
            <family val="2"/>
          </rPr>
          <t xml:space="preserve">Source: stock-data get_financials quarterly (SEC XBRL) Q3-25..Q2-26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4</xdr:row>
                <xdr:rowOff>1</xdr:rowOff>
              </xdr:to>
            </anchor>
          </commentPr>
        </mc:Choice>
        <mc:Fallback/>
      </mc:AlternateContent>
    </comment>
    <comment ref="G11" authorId="0">
      <text>
        <r>
          <rPr>
            <sz val="10"/>
            <rFont val="Arial"/>
            <family val="2"/>
          </rPr>
          <t xml:space="preserve">Source: stock-data get_financials quarterly (SEC XBRL) Q3-25..Q2-26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4</xdr:row>
                <xdr:rowOff>1</xdr:rowOff>
              </xdr:to>
            </anchor>
          </commentPr>
        </mc:Choice>
        <mc:Fallback/>
      </mc:AlternateContent>
    </comment>
    <comment ref="G12" authorId="0">
      <text>
        <r>
          <rPr>
            <sz val="10"/>
            <rFont val="Arial"/>
            <family val="2"/>
          </rPr>
          <t xml:space="preserve">Source: stock-data get_financials quarterly (SEC XBRL) Q4-FY25..Q3-FY26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4</xdr:row>
                <xdr:rowOff>1</xdr:rowOff>
              </xdr:to>
            </anchor>
          </commentPr>
        </mc:Choice>
        <mc:Fallback/>
      </mc:AlternateContent>
    </comment>
    <comment ref="G13" authorId="0">
      <text>
        <r>
          <rPr>
            <sz val="10"/>
            <rFont val="Arial"/>
            <family val="2"/>
          </rPr>
          <t xml:space="preserve">Not reported in XBRL standardized data (Oracle does not report cost of revenue/gross profit)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4</xdr:row>
                <xdr:rowOff>4</xdr:rowOff>
              </xdr:to>
            </anchor>
          </commentPr>
        </mc:Choice>
        <mc:Fallback/>
      </mc:AlternateContent>
    </comment>
    <comment ref="G24" authorId="0">
      <text>
        <r>
          <rPr>
            <sz val="10"/>
            <rFont val="Arial"/>
            <family val="2"/>
          </rPr>
          <t xml:space="preserve">Source: stock-data get_financials annual FY2026 (10-K filed 2026-07-29) - current + non-current debt (excludes lease liabilities)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5</xdr:row>
                <xdr:rowOff>14</xdr:rowOff>
              </xdr:to>
            </anchor>
          </commentPr>
        </mc:Choice>
        <mc:Fallback/>
      </mc:AlternateContent>
    </comment>
    <comment ref="G26" authorId="0">
      <text>
        <r>
          <rPr>
            <sz val="10"/>
            <rFont val="Arial"/>
            <family val="2"/>
          </rPr>
          <t xml:space="preserve">Source: stock-data get_financials quarterly (SEC XBRL) Q3-25..Q2-26 - current + non-current debt (excludes lease liabilities)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5</xdr:row>
                <xdr:rowOff>14</xdr:rowOff>
              </xdr:to>
            </anchor>
          </commentPr>
        </mc:Choice>
        <mc:Fallback/>
      </mc:AlternateContent>
    </comment>
    <comment ref="G27" authorId="0">
      <text>
        <r>
          <rPr>
            <sz val="10"/>
            <rFont val="Arial"/>
            <family val="2"/>
          </rPr>
          <t xml:space="preserve">Source: stock-data get_financials quarterly (SEC XBRL) Q3-25..Q2-26 - current + non-current debt (excludes lease liabilities)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5</xdr:row>
                <xdr:rowOff>14</xdr:rowOff>
              </xdr:to>
            </anchor>
          </commentPr>
        </mc:Choice>
        <mc:Fallback/>
      </mc:AlternateContent>
    </comment>
    <comment ref="G28" authorId="0">
      <text>
        <r>
          <rPr>
            <sz val="10"/>
            <rFont val="Arial"/>
            <family val="2"/>
          </rPr>
          <t xml:space="preserve">Source: stock-data get_financials quarterly (SEC XBRL) Q3-25..Q2-26 - current + non-current debt (excludes lease liabilities)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5</xdr:row>
                <xdr:rowOff>14</xdr:rowOff>
              </xdr:to>
            </anchor>
          </commentPr>
        </mc:Choice>
        <mc:Fallback/>
      </mc:AlternateContent>
    </comment>
    <comment ref="G29" authorId="0">
      <text>
        <r>
          <rPr>
            <sz val="10"/>
            <rFont val="Arial"/>
            <family val="2"/>
          </rPr>
          <t xml:space="preserve">Source: stock-data get_financials quarterly (SEC XBRL) Q4-FY25..Q3-FY26 - current + non-current debt (excludes lease liabilities)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5</xdr:row>
                <xdr:rowOff>14</xdr:rowOff>
              </xdr:to>
            </anchor>
          </commentPr>
        </mc:Choice>
        <mc:Fallback/>
      </mc:AlternateContent>
    </comment>
    <comment ref="G30" authorId="0">
      <text>
        <r>
          <rPr>
            <sz val="10"/>
            <rFont val="Arial"/>
            <family val="2"/>
          </rPr>
          <t xml:space="preserve">Source: stock-data get_financials quarterly (SEC XBRL) Q2-FY26..Q1-FY27; debt from 10-Q for 2026-08-31 (orcl-20260831.htm) - current + non-current debt (excludes lease liabilities)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7</xdr:row>
                <xdr:rowOff>19</xdr:rowOff>
              </xdr:to>
            </anchor>
          </commentPr>
        </mc:Choice>
        <mc:Fallback/>
      </mc:AlternateContent>
    </comment>
    <comment ref="I7" authorId="0">
      <text>
        <r>
          <rPr>
            <sz val="10"/>
            <rFont val="Arial"/>
            <family val="2"/>
          </rPr>
          <t xml:space="preserve">Source: stock-data get_financials annual FY2026 (10-K filed 2026-07-29)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4</xdr:row>
                <xdr:rowOff>1</xdr:rowOff>
              </xdr:to>
            </anchor>
          </commentPr>
        </mc:Choice>
        <mc:Fallback/>
      </mc:AlternateContent>
    </comment>
    <comment ref="I9" authorId="0">
      <text>
        <r>
          <rPr>
            <sz val="10"/>
            <rFont val="Arial"/>
            <family val="2"/>
          </rPr>
          <t xml:space="preserve">Source: stock-data get_financials quarterly (SEC XBRL) Q3-25..Q2-26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4</xdr:row>
                <xdr:rowOff>1</xdr:rowOff>
              </xdr:to>
            </anchor>
          </commentPr>
        </mc:Choice>
        <mc:Fallback/>
      </mc:AlternateContent>
    </comment>
    <comment ref="I10" authorId="0">
      <text>
        <r>
          <rPr>
            <sz val="10"/>
            <rFont val="Arial"/>
            <family val="2"/>
          </rPr>
          <t xml:space="preserve">Source: stock-data get_financials quarterly (SEC XBRL) Q3-25..Q2-26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4</xdr:row>
                <xdr:rowOff>1</xdr:rowOff>
              </xdr:to>
            </anchor>
          </commentPr>
        </mc:Choice>
        <mc:Fallback/>
      </mc:AlternateContent>
    </comment>
    <comment ref="I11" authorId="0">
      <text>
        <r>
          <rPr>
            <sz val="10"/>
            <rFont val="Arial"/>
            <family val="2"/>
          </rPr>
          <t xml:space="preserve">Source: stock-data get_financials quarterly (SEC XBRL) Q3-25..Q2-26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4</xdr:row>
                <xdr:rowOff>1</xdr:rowOff>
              </xdr:to>
            </anchor>
          </commentPr>
        </mc:Choice>
        <mc:Fallback/>
      </mc:AlternateContent>
    </comment>
    <comment ref="I12" authorId="0">
      <text>
        <r>
          <rPr>
            <sz val="10"/>
            <rFont val="Arial"/>
            <family val="2"/>
          </rPr>
          <t xml:space="preserve">Source: stock-data get_financials quarterly (SEC XBRL) Q4-FY25..Q3-FY26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4</xdr:row>
                <xdr:rowOff>1</xdr:rowOff>
              </xdr:to>
            </anchor>
          </commentPr>
        </mc:Choice>
        <mc:Fallback/>
      </mc:AlternateContent>
    </comment>
    <comment ref="I13" authorId="0">
      <text>
        <r>
          <rPr>
            <sz val="10"/>
            <rFont val="Arial"/>
            <family val="2"/>
          </rPr>
          <t xml:space="preserve">Source: stock-data get_financials quarterly (SEC XBRL) Q2-FY26..Q1-FY27; debt from 10-Q for 2026-08-31 (orcl-20260831.htm)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5</xdr:row>
                <xdr:rowOff>14</xdr:rowOff>
              </xdr:to>
            </anchor>
          </commentPr>
        </mc:Choice>
        <mc:Fallback/>
      </mc:AlternateContent>
    </comment>
    <comment ref="K7" authorId="0">
      <text>
        <r>
          <rPr>
            <sz val="10"/>
            <rFont val="Arial"/>
            <family val="2"/>
          </rPr>
          <t xml:space="preserve">Source: FY2026 D&amp;A ~39,000: stockanalysis.com / TIKR (rounded, not verified to 10-K)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4</xdr:row>
                <xdr:rowOff>4</xdr:rowOff>
              </xdr:to>
            </anchor>
          </commentPr>
        </mc:Choice>
        <mc:Fallback/>
      </mc:AlternateContent>
    </comment>
    <comment ref="K9" authorId="0">
      <text>
        <r>
          <rPr>
            <sz val="10"/>
            <rFont val="Arial"/>
            <family val="2"/>
          </rPr>
          <t xml:space="preserve">Source: ESTIMATE: H1-26 depreciation 13,586 (10-Q filed 2026-07, goog-20260630.htm) + H2-25 est. 11,500 (H1-25 was 9,485)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5</xdr:row>
                <xdr:rowOff>14</xdr:rowOff>
              </xdr:to>
            </anchor>
          </commentPr>
        </mc:Choice>
        <mc:Fallback/>
      </mc:AlternateContent>
    </comment>
    <comment ref="K10" authorId="0">
      <text>
        <r>
          <rPr>
            <sz val="10"/>
            <rFont val="Arial"/>
            <family val="2"/>
          </rPr>
          <t xml:space="preserve">Source: stock-data get_financials quarterly cashflow, sum Q3-25..Q2-26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4</xdr:row>
                <xdr:rowOff>1</xdr:rowOff>
              </xdr:to>
            </anchor>
          </commentPr>
        </mc:Choice>
        <mc:Fallback/>
      </mc:AlternateContent>
    </comment>
    <comment ref="K11" authorId="0">
      <text>
        <r>
          <rPr>
            <sz val="10"/>
            <rFont val="Arial"/>
            <family val="2"/>
          </rPr>
          <t xml:space="preserve">Source: stock-data get_financials quarterly cashflow, sum Q3-25..Q2-26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4</xdr:row>
                <xdr:rowOff>1</xdr:rowOff>
              </xdr:to>
            </anchor>
          </commentPr>
        </mc:Choice>
        <mc:Fallback/>
      </mc:AlternateContent>
    </comment>
    <comment ref="K12" authorId="0">
      <text>
        <r>
          <rPr>
            <sz val="10"/>
            <rFont val="Arial"/>
            <family val="2"/>
          </rPr>
          <t xml:space="preserve">Source: stock-data get_financials quarterly cashflow, sum Q4-FY25..Q3-FY26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4</xdr:row>
                <xdr:rowOff>4</xdr:rowOff>
              </xdr:to>
            </anchor>
          </commentPr>
        </mc:Choice>
        <mc:Fallback/>
      </mc:AlternateContent>
    </comment>
    <comment ref="K13" authorId="0">
      <text>
        <r>
          <rPr>
            <sz val="10"/>
            <rFont val="Arial"/>
            <family val="2"/>
          </rPr>
          <t xml:space="preserve">Source: FY26 D&amp;A 9,294 (8-K ex99.1, FY26 results) + Q1-FY27 3,358 - Q1-FY26 1,771 (10-Q orcl-20260831.htm)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4</xdr:row>
                <xdr:rowOff>19</xdr:rowOff>
              </xdr:to>
            </anchor>
          </commentPr>
        </mc:Choice>
        <mc:Fallback/>
      </mc:AlternateContent>
    </comment>
    <comment ref="N7" authorId="0">
      <text>
        <r>
          <rPr>
            <sz val="10"/>
            <rFont val="Arial"/>
            <family val="2"/>
          </rPr>
          <t xml:space="preserve">Source: stock-data get_financials annual FY2026 (10-K filed 2026-07-29)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4</xdr:row>
                <xdr:rowOff>1</xdr:rowOff>
              </xdr:to>
            </anchor>
          </commentPr>
        </mc:Choice>
        <mc:Fallback/>
      </mc:AlternateContent>
    </comment>
    <comment ref="N9" authorId="0">
      <text>
        <r>
          <rPr>
            <sz val="10"/>
            <rFont val="Arial"/>
            <family val="2"/>
          </rPr>
          <t xml:space="preserve">Source: stock-data get_financials quarterly (SEC XBRL) Q3-25..Q2-26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4</xdr:row>
                <xdr:rowOff>1</xdr:rowOff>
              </xdr:to>
            </anchor>
          </commentPr>
        </mc:Choice>
        <mc:Fallback/>
      </mc:AlternateContent>
    </comment>
    <comment ref="N10" authorId="0">
      <text>
        <r>
          <rPr>
            <sz val="10"/>
            <rFont val="Arial"/>
            <family val="2"/>
          </rPr>
          <t xml:space="preserve">Source: stock-data get_financials quarterly (SEC XBRL) Q3-25..Q2-26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4</xdr:row>
                <xdr:rowOff>1</xdr:rowOff>
              </xdr:to>
            </anchor>
          </commentPr>
        </mc:Choice>
        <mc:Fallback/>
      </mc:AlternateContent>
    </comment>
    <comment ref="N11" authorId="0">
      <text>
        <r>
          <rPr>
            <sz val="10"/>
            <rFont val="Arial"/>
            <family val="2"/>
          </rPr>
          <t xml:space="preserve">Source: stock-data get_financials quarterly (SEC XBRL) Q3-25..Q2-26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4</xdr:row>
                <xdr:rowOff>1</xdr:rowOff>
              </xdr:to>
            </anchor>
          </commentPr>
        </mc:Choice>
        <mc:Fallback/>
      </mc:AlternateContent>
    </comment>
    <comment ref="N12" authorId="0">
      <text>
        <r>
          <rPr>
            <sz val="10"/>
            <rFont val="Arial"/>
            <family val="2"/>
          </rPr>
          <t xml:space="preserve">Source: stock-data get_financials quarterly (SEC XBRL) Q4-FY25..Q3-FY26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4</xdr:row>
                <xdr:rowOff>1</xdr:rowOff>
              </xdr:to>
            </anchor>
          </commentPr>
        </mc:Choice>
        <mc:Fallback/>
      </mc:AlternateContent>
    </comment>
    <comment ref="N13" authorId="0">
      <text>
        <r>
          <rPr>
            <sz val="10"/>
            <rFont val="Arial"/>
            <family val="2"/>
          </rPr>
          <t xml:space="preserve">Source: stock-data get_financials quarterly (SEC XBRL) Q2-FY26..Q1-FY27; debt from 10-Q for 2026-08-31 (orcl-20260831.htm)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5</xdr:row>
                <xdr:rowOff>14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<sst xmlns="http://schemas.openxmlformats.org/spreadsheetml/2006/main" count="389" uniqueCount="285">
  <si>
    <t xml:space="preserve">Microsoft Corporation (MSFT) - DCF Model</t>
  </si>
  <si>
    <t xml:space="preserve">Ticker: MSFT | Valuation date: 2026-10-14 | Fiscal year end: June 30 | USD millions except per-share</t>
  </si>
  <si>
    <t xml:space="preserve">Case selector (1=Bear, 2=Base, 3=Bull)</t>
  </si>
  <si>
    <t xml:space="preserve">MARKET DATA &amp; KEY INPUTS</t>
  </si>
  <si>
    <t xml:space="preserve">Current share price ($)</t>
  </si>
  <si>
    <t xml:space="preserve">Diluted shares (M)</t>
  </si>
  <si>
    <t xml:space="preserve">Market capitalisation ($M)</t>
  </si>
  <si>
    <t xml:space="preserve">Cash + short-term investments ($M)</t>
  </si>
  <si>
    <t xml:space="preserve">Total debt ($M)</t>
  </si>
  <si>
    <t xml:space="preserve">Net debt / (net cash) ($M)</t>
  </si>
  <si>
    <t xml:space="preserve">Tax rate (cash/operating)</t>
  </si>
  <si>
    <t xml:space="preserve">Change in NWC (% of change in revenue)</t>
  </si>
  <si>
    <t xml:space="preserve">Base WACC (from WACC sheet)</t>
  </si>
  <si>
    <t xml:space="preserve">Peer median EV/LTM EBITDA (from Comps sheet)</t>
  </si>
  <si>
    <t xml:space="preserve">FY2026A diluted EPS ($)</t>
  </si>
  <si>
    <t xml:space="preserve">SCENARIO ASSUMPTIONS</t>
  </si>
  <si>
    <t xml:space="preserve">BEAR CASE ASSUMPTIONS</t>
  </si>
  <si>
    <t xml:space="preserve">Assumption</t>
  </si>
  <si>
    <t xml:space="preserve">FY2027E</t>
  </si>
  <si>
    <t xml:space="preserve">FY2028E</t>
  </si>
  <si>
    <t xml:space="preserve">FY2029E</t>
  </si>
  <si>
    <t xml:space="preserve">FY2030E</t>
  </si>
  <si>
    <t xml:space="preserve">FY2031E</t>
  </si>
  <si>
    <t xml:space="preserve">FY2032E</t>
  </si>
  <si>
    <t xml:space="preserve">FY2033E</t>
  </si>
  <si>
    <t xml:space="preserve">FY2034E</t>
  </si>
  <si>
    <t xml:space="preserve">FY2035E</t>
  </si>
  <si>
    <t xml:space="preserve">FY2036E</t>
  </si>
  <si>
    <t xml:space="preserve">Revenue growth (%)</t>
  </si>
  <si>
    <t xml:space="preserve">EBIT margin (%)</t>
  </si>
  <si>
    <t xml:space="preserve">D&amp;A (% of revenue)</t>
  </si>
  <si>
    <t xml:space="preserve">CapEx (% of revenue)</t>
  </si>
  <si>
    <t xml:space="preserve">WACC adjustment vs. base (pp)</t>
  </si>
  <si>
    <t xml:space="preserve">Terminal growth rate (%)</t>
  </si>
  <si>
    <t xml:space="preserve">BASE CASE ASSUMPTIONS</t>
  </si>
  <si>
    <t xml:space="preserve">BULL CASE ASSUMPTIONS</t>
  </si>
  <si>
    <t xml:space="preserve">SELECTED CASE (feeds model)</t>
  </si>
  <si>
    <t xml:space="preserve">Selected WACC (base + adjustment)</t>
  </si>
  <si>
    <t xml:space="preserve">HISTORICAL &amp; PROJECTED FREE CASH FLOW ($M)</t>
  </si>
  <si>
    <t xml:space="preserve">Fiscal year</t>
  </si>
  <si>
    <t xml:space="preserve">FY2024A</t>
  </si>
  <si>
    <t xml:space="preserve">FY2025A</t>
  </si>
  <si>
    <t xml:space="preserve">FY2026A</t>
  </si>
  <si>
    <t xml:space="preserve">Revenue</t>
  </si>
  <si>
    <t xml:space="preserve">  % growth</t>
  </si>
  <si>
    <t xml:space="preserve">EBIT (operating income)</t>
  </si>
  <si>
    <t xml:space="preserve">  % margin</t>
  </si>
  <si>
    <t xml:space="preserve">(-) Taxes on EBIT</t>
  </si>
  <si>
    <t xml:space="preserve">NOPAT</t>
  </si>
  <si>
    <t xml:space="preserve">(+) D&amp;A</t>
  </si>
  <si>
    <t xml:space="preserve">  % of revenue</t>
  </si>
  <si>
    <t xml:space="preserve">(-) CapEx</t>
  </si>
  <si>
    <t xml:space="preserve">(-) Increase in NWC</t>
  </si>
  <si>
    <t xml:space="preserve">Unlevered free cash flow</t>
  </si>
  <si>
    <t xml:space="preserve">Memo: operating cash flow (reported)</t>
  </si>
  <si>
    <t xml:space="preserve">Memo: reported FCF (OCF - CapEx)</t>
  </si>
  <si>
    <t xml:space="preserve">EBITDA (EBIT + D&amp;A)</t>
  </si>
  <si>
    <t xml:space="preserve">DISCOUNTING (mid-year convention)</t>
  </si>
  <si>
    <t xml:space="preserve"> </t>
  </si>
  <si>
    <t xml:space="preserve">Discount period (years)</t>
  </si>
  <si>
    <t xml:space="preserve">Discount factor</t>
  </si>
  <si>
    <t xml:space="preserve">PV of unlevered FCF</t>
  </si>
  <si>
    <t xml:space="preserve">TERMINAL VALUE</t>
  </si>
  <si>
    <t xml:space="preserve">Terminal-year FCF x (1+g)</t>
  </si>
  <si>
    <t xml:space="preserve">Terminal value - perpetuity growth</t>
  </si>
  <si>
    <t xml:space="preserve">PV of terminal value</t>
  </si>
  <si>
    <t xml:space="preserve">Implied terminal EV / EBITDA (FY2036)</t>
  </si>
  <si>
    <t xml:space="preserve">Cross-check: TV at peer median EV/EBITDA</t>
  </si>
  <si>
    <t xml:space="preserve">Cross-check: PV of exit-multiple TV</t>
  </si>
  <si>
    <t xml:space="preserve">VALUATION SUMMARY</t>
  </si>
  <si>
    <t xml:space="preserve">Sum of PV of FCF (FY2027-FY2036)</t>
  </si>
  <si>
    <t xml:space="preserve">Enterprise value</t>
  </si>
  <si>
    <t xml:space="preserve">Terminal value as % of EV</t>
  </si>
  <si>
    <t xml:space="preserve">(-) Net debt / (+) net cash</t>
  </si>
  <si>
    <t xml:space="preserve">Equity value</t>
  </si>
  <si>
    <t xml:space="preserve">IMPLIED VALUE PER SHARE ($)</t>
  </si>
  <si>
    <t xml:space="preserve">Implied upside / (downside)</t>
  </si>
  <si>
    <t xml:space="preserve">DCF-implied EV / FY2026A EBITDA</t>
  </si>
  <si>
    <t xml:space="preserve">Peer median EV / LTM EBITDA</t>
  </si>
  <si>
    <t xml:space="preserve">DCF multiple premium / (discount) to peers</t>
  </si>
  <si>
    <t xml:space="preserve">DCF-implied P/E on FY2026A EPS</t>
  </si>
  <si>
    <t xml:space="preserve">Cross-check: value/share using exit multiple TV ($)</t>
  </si>
  <si>
    <t xml:space="preserve">Market-implied EV / FY2026A EBITDA</t>
  </si>
  <si>
    <t xml:space="preserve">SCENARIO SUMMARY - all three cases calculated simultaneously</t>
  </si>
  <si>
    <t xml:space="preserve">Line</t>
  </si>
  <si>
    <t xml:space="preserve">Bear: revenue</t>
  </si>
  <si>
    <t xml:space="preserve">Bear: unlevered FCF</t>
  </si>
  <si>
    <t xml:space="preserve">Bear: discount factor</t>
  </si>
  <si>
    <t xml:space="preserve">Base: revenue</t>
  </si>
  <si>
    <t xml:space="preserve">Base: unlevered FCF</t>
  </si>
  <si>
    <t xml:space="preserve">Base: discount factor</t>
  </si>
  <si>
    <t xml:space="preserve">Bull: revenue</t>
  </si>
  <si>
    <t xml:space="preserve">Bull: unlevered FCF</t>
  </si>
  <si>
    <t xml:space="preserve">Bull: discount factor</t>
  </si>
  <si>
    <t xml:space="preserve">Output</t>
  </si>
  <si>
    <t xml:space="preserve">Bear</t>
  </si>
  <si>
    <t xml:space="preserve">Base</t>
  </si>
  <si>
    <t xml:space="preserve">Bull</t>
  </si>
  <si>
    <t xml:space="preserve">Enterprise value ($M)</t>
  </si>
  <si>
    <t xml:space="preserve">PV of terminal value ($M)</t>
  </si>
  <si>
    <t xml:space="preserve">TV % of EV</t>
  </si>
  <si>
    <t xml:space="preserve">Equity value ($M)</t>
  </si>
  <si>
    <t xml:space="preserve">Value per share ($)</t>
  </si>
  <si>
    <t xml:space="preserve">Upside / (downside)</t>
  </si>
  <si>
    <t xml:space="preserve">WACC</t>
  </si>
  <si>
    <t xml:space="preserve">Terminal growth</t>
  </si>
  <si>
    <t xml:space="preserve">Implied EV / FY2026A EBITDA</t>
  </si>
  <si>
    <t xml:space="preserve">Check: selected-case value = scenario engine value (should be 0)</t>
  </si>
  <si>
    <t xml:space="preserve">SENSITIVITY 1: IMPLIED VALUE PER SHARE ($) - WACC (rows) x TERMINAL GROWTH (columns), selected case</t>
  </si>
  <si>
    <t xml:space="preserve">WACC \ Terminal g</t>
  </si>
  <si>
    <t xml:space="preserve">Check: centre cell - model value (should be 0)</t>
  </si>
  <si>
    <t xml:space="preserve">SENSITIVITY 2: IMPLIED VALUE PER SHARE ($) - REVENUE GROWTH SHIFT (rows, pp every year) x EBIT MARGIN SHIFT (columns, pp every year)</t>
  </si>
  <si>
    <t xml:space="preserve">Growth shift \ Margin shift</t>
  </si>
  <si>
    <t xml:space="preserve">SENSITIVITY 3: IMPLIED VALUE PER SHARE ($) - BETA (rows) x RISK-FREE RATE (columns), selected case</t>
  </si>
  <si>
    <t xml:space="preserve">Beta \ Risk-free</t>
  </si>
  <si>
    <t xml:space="preserve">Sensitivity 2 helper engine: revenue path and FCF (at selected-case margins) for each growth shift</t>
  </si>
  <si>
    <t xml:space="preserve">Revenue, growth shift row 1</t>
  </si>
  <si>
    <t xml:space="preserve">FCF at base margin, growth shift row 1</t>
  </si>
  <si>
    <t xml:space="preserve">Revenue, growth shift row 2</t>
  </si>
  <si>
    <t xml:space="preserve">FCF at base margin, growth shift row 2</t>
  </si>
  <si>
    <t xml:space="preserve">Revenue, growth shift row 3</t>
  </si>
  <si>
    <t xml:space="preserve">FCF at base margin, growth shift row 3</t>
  </si>
  <si>
    <t xml:space="preserve">Revenue, growth shift row 4</t>
  </si>
  <si>
    <t xml:space="preserve">FCF at base margin, growth shift row 4</t>
  </si>
  <si>
    <t xml:space="preserve">Revenue, growth shift row 5</t>
  </si>
  <si>
    <t xml:space="preserve">FCF at base margin, growth shift row 5</t>
  </si>
  <si>
    <t xml:space="preserve">MSFT - Weighted Average Cost of Capital</t>
  </si>
  <si>
    <t xml:space="preserve">COST OF EQUITY (CAPM)</t>
  </si>
  <si>
    <t xml:space="preserve">Risk-free rate (10Y UST, 2026-10-13)</t>
  </si>
  <si>
    <t xml:space="preserve">Beta (5Y monthly vs S&amp;P 500, raw)</t>
  </si>
  <si>
    <t xml:space="preserve">Equity risk premium</t>
  </si>
  <si>
    <t xml:space="preserve">Cost of equity</t>
  </si>
  <si>
    <t xml:space="preserve">COST OF DEBT</t>
  </si>
  <si>
    <t xml:space="preserve">Credit rating</t>
  </si>
  <si>
    <t xml:space="preserve">AAA</t>
  </si>
  <si>
    <t xml:space="preserve">Spread over 10Y UST</t>
  </si>
  <si>
    <t xml:space="preserve">Pre-tax cost of debt</t>
  </si>
  <si>
    <t xml:space="preserve">Tax rate</t>
  </si>
  <si>
    <t xml:space="preserve">After-tax cost of debt</t>
  </si>
  <si>
    <t xml:space="preserve">Memo: FY2026 interest expense / avg. debt</t>
  </si>
  <si>
    <t xml:space="preserve">CAPITAL STRUCTURE (market values)</t>
  </si>
  <si>
    <t xml:space="preserve">Share price ($)</t>
  </si>
  <si>
    <t xml:space="preserve">Cash + ST investments ($M)</t>
  </si>
  <si>
    <t xml:space="preserve">Total capital (E + D) ($M)</t>
  </si>
  <si>
    <t xml:space="preserve">Weight</t>
  </si>
  <si>
    <t xml:space="preserve">Cost</t>
  </si>
  <si>
    <t xml:space="preserve">Contribution</t>
  </si>
  <si>
    <t xml:space="preserve">Equity</t>
  </si>
  <si>
    <t xml:space="preserve">Debt (gross)</t>
  </si>
  <si>
    <t xml:space="preserve">WEIGHTED AVERAGE COST OF CAPITAL</t>
  </si>
  <si>
    <t xml:space="preserve">Gross debt weights used (MSFT is net cash); lease liabilities excluded from debt and from the equity bridge for consistency.</t>
  </si>
  <si>
    <t xml:space="preserve">MSFT 5-year beta vs. S&amp;P 500 - monthly total-return (MSFT adj. close) vs. index price returns</t>
  </si>
  <si>
    <t xml:space="preserve">Month-end</t>
  </si>
  <si>
    <t xml:space="preserve">MSFT adj. close</t>
  </si>
  <si>
    <t xml:space="preserve">S&amp;P 500 close</t>
  </si>
  <si>
    <t xml:space="preserve">MSFT return</t>
  </si>
  <si>
    <t xml:space="preserve">S&amp;P 500 return</t>
  </si>
  <si>
    <t xml:space="preserve">2021-09</t>
  </si>
  <si>
    <t xml:space="preserve">Beta (SLOPE, raw)</t>
  </si>
  <si>
    <t xml:space="preserve">2021-10</t>
  </si>
  <si>
    <t xml:space="preserve">Observations (monthly returns)</t>
  </si>
  <si>
    <t xml:space="preserve">2021-11</t>
  </si>
  <si>
    <t xml:space="preserve">R-squared</t>
  </si>
  <si>
    <t xml:space="preserve">2021-12</t>
  </si>
  <si>
    <t xml:space="preserve">Blume-adjusted beta (memo)</t>
  </si>
  <si>
    <t xml:space="preserve">2022-01</t>
  </si>
  <si>
    <t xml:space="preserve">Window: 2021-09 to 2026-09 month-end closes (60 complete months; partial Oct-2026 excluded)</t>
  </si>
  <si>
    <t xml:space="preserve">2022-02</t>
  </si>
  <si>
    <t xml:space="preserve">2022-03</t>
  </si>
  <si>
    <t xml:space="preserve">2022-04</t>
  </si>
  <si>
    <t xml:space="preserve">2022-05</t>
  </si>
  <si>
    <t xml:space="preserve">2022-06</t>
  </si>
  <si>
    <t xml:space="preserve">2022-07</t>
  </si>
  <si>
    <t xml:space="preserve">2022-08</t>
  </si>
  <si>
    <t xml:space="preserve">2022-09</t>
  </si>
  <si>
    <t xml:space="preserve">2022-10</t>
  </si>
  <si>
    <t xml:space="preserve">2022-11</t>
  </si>
  <si>
    <t xml:space="preserve">2022-12</t>
  </si>
  <si>
    <t xml:space="preserve">2023-01</t>
  </si>
  <si>
    <t xml:space="preserve">2023-02</t>
  </si>
  <si>
    <t xml:space="preserve">2023-03</t>
  </si>
  <si>
    <t xml:space="preserve">2023-04</t>
  </si>
  <si>
    <t xml:space="preserve">2023-05</t>
  </si>
  <si>
    <t xml:space="preserve">2023-06</t>
  </si>
  <si>
    <t xml:space="preserve">2023-07</t>
  </si>
  <si>
    <t xml:space="preserve">2023-08</t>
  </si>
  <si>
    <t xml:space="preserve">2023-09</t>
  </si>
  <si>
    <t xml:space="preserve">2023-10</t>
  </si>
  <si>
    <t xml:space="preserve">2023-11</t>
  </si>
  <si>
    <t xml:space="preserve">2023-12</t>
  </si>
  <si>
    <t xml:space="preserve">2024-01</t>
  </si>
  <si>
    <t xml:space="preserve">2024-02</t>
  </si>
  <si>
    <t xml:space="preserve">2024-03</t>
  </si>
  <si>
    <t xml:space="preserve">2024-04</t>
  </si>
  <si>
    <t xml:space="preserve">2024-05</t>
  </si>
  <si>
    <t xml:space="preserve">2024-06</t>
  </si>
  <si>
    <t xml:space="preserve">2024-07</t>
  </si>
  <si>
    <t xml:space="preserve">2024-08</t>
  </si>
  <si>
    <t xml:space="preserve">2024-09</t>
  </si>
  <si>
    <t xml:space="preserve">2024-10</t>
  </si>
  <si>
    <t xml:space="preserve">2024-11</t>
  </si>
  <si>
    <t xml:space="preserve">2024-12</t>
  </si>
  <si>
    <t xml:space="preserve">2025-01</t>
  </si>
  <si>
    <t xml:space="preserve">2025-02</t>
  </si>
  <si>
    <t xml:space="preserve">2025-03</t>
  </si>
  <si>
    <t xml:space="preserve">2025-04</t>
  </si>
  <si>
    <t xml:space="preserve">2025-05</t>
  </si>
  <si>
    <t xml:space="preserve">2025-06</t>
  </si>
  <si>
    <t xml:space="preserve">2025-07</t>
  </si>
  <si>
    <t xml:space="preserve">2025-08</t>
  </si>
  <si>
    <t xml:space="preserve">2025-09</t>
  </si>
  <si>
    <t xml:space="preserve">2025-10</t>
  </si>
  <si>
    <t xml:space="preserve">2025-11</t>
  </si>
  <si>
    <t xml:space="preserve">2025-12</t>
  </si>
  <si>
    <t xml:space="preserve">2026-01</t>
  </si>
  <si>
    <t xml:space="preserve">2026-02</t>
  </si>
  <si>
    <t xml:space="preserve">2026-03</t>
  </si>
  <si>
    <t xml:space="preserve">2026-04</t>
  </si>
  <si>
    <t xml:space="preserve">2026-05</t>
  </si>
  <si>
    <t xml:space="preserve">2026-06</t>
  </si>
  <si>
    <t xml:space="preserve">2026-07</t>
  </si>
  <si>
    <t xml:space="preserve">2026-08</t>
  </si>
  <si>
    <t xml:space="preserve">2026-09</t>
  </si>
  <si>
    <t xml:space="preserve">TECHNOLOGY MEGA-CAP - COMPARABLE COMPANY ANALYSIS</t>
  </si>
  <si>
    <t xml:space="preserve">Microsoft (MSFT) vs. Alphabet (GOOGL) • Amazon (AMZN) • Meta (META) • Apple (AAPL) • Oracle (ORCL)</t>
  </si>
  <si>
    <t xml:space="preserve">As of 2026-10-14 (prices) | LTM to latest reported quarter | USD millions except per-share and ratios</t>
  </si>
  <si>
    <t xml:space="preserve">OPERATING METRICS (LTM)</t>
  </si>
  <si>
    <t xml:space="preserve">Company</t>
  </si>
  <si>
    <t xml:space="preserve">Ticker</t>
  </si>
  <si>
    <t xml:space="preserve">LTM end</t>
  </si>
  <si>
    <t xml:space="preserve">Revenue prior LTM</t>
  </si>
  <si>
    <t xml:space="preserve">Rev growth</t>
  </si>
  <si>
    <t xml:space="preserve">Gross profit</t>
  </si>
  <si>
    <t xml:space="preserve">Gross margin</t>
  </si>
  <si>
    <t xml:space="preserve">EBIT</t>
  </si>
  <si>
    <t xml:space="preserve">EBIT margin</t>
  </si>
  <si>
    <t xml:space="preserve">D&amp;A</t>
  </si>
  <si>
    <t xml:space="preserve">EBITDA</t>
  </si>
  <si>
    <t xml:space="preserve">EBITDA margin</t>
  </si>
  <si>
    <t xml:space="preserve">Net income</t>
  </si>
  <si>
    <t xml:space="preserve">Microsoft (target)</t>
  </si>
  <si>
    <t xml:space="preserve">MSFT</t>
  </si>
  <si>
    <t xml:space="preserve">2026-06-30</t>
  </si>
  <si>
    <t xml:space="preserve">Alphabet</t>
  </si>
  <si>
    <t xml:space="preserve">GOOGL</t>
  </si>
  <si>
    <t xml:space="preserve">Amazon</t>
  </si>
  <si>
    <t xml:space="preserve">AMZN</t>
  </si>
  <si>
    <t xml:space="preserve">Meta Platforms</t>
  </si>
  <si>
    <t xml:space="preserve">META</t>
  </si>
  <si>
    <t xml:space="preserve">Apple</t>
  </si>
  <si>
    <t xml:space="preserve">AAPL</t>
  </si>
  <si>
    <t xml:space="preserve">2026-06-27</t>
  </si>
  <si>
    <t xml:space="preserve">Oracle</t>
  </si>
  <si>
    <t xml:space="preserve">ORCL</t>
  </si>
  <si>
    <t xml:space="preserve">2026-08-31</t>
  </si>
  <si>
    <t xml:space="preserve">n/a</t>
  </si>
  <si>
    <t xml:space="preserve">Peer Maximum</t>
  </si>
  <si>
    <t xml:space="preserve">Peer 75th Percentile</t>
  </si>
  <si>
    <t xml:space="preserve">Peer Median</t>
  </si>
  <si>
    <t xml:space="preserve">Peer 25th Percentile</t>
  </si>
  <si>
    <t xml:space="preserve">Peer Minimum</t>
  </si>
  <si>
    <t xml:space="preserve">VALUATION MULTIPLES</t>
  </si>
  <si>
    <t xml:space="preserve">Share price</t>
  </si>
  <si>
    <t xml:space="preserve">Market cap</t>
  </si>
  <si>
    <t xml:space="preserve">Cash + ST inv.</t>
  </si>
  <si>
    <t xml:space="preserve">Total debt</t>
  </si>
  <si>
    <t xml:space="preserve">EV / Revenue</t>
  </si>
  <si>
    <t xml:space="preserve">EV / EBITDA</t>
  </si>
  <si>
    <t xml:space="preserve">EV / EBIT</t>
  </si>
  <si>
    <t xml:space="preserve">P / E</t>
  </si>
  <si>
    <t xml:space="preserve">FCF note</t>
  </si>
  <si>
    <t xml:space="preserve">P/E distorted by investment gains</t>
  </si>
  <si>
    <t xml:space="preserve">P/E depressed by equity-investment gains</t>
  </si>
  <si>
    <t xml:space="preserve">Q3-25 one-off tax charge</t>
  </si>
  <si>
    <t xml:space="preserve">MSFT EV/EBITDA premium/(discount) to peer median</t>
  </si>
  <si>
    <t xml:space="preserve">MSFT P/E premium/(discount) to peer median</t>
  </si>
  <si>
    <t xml:space="preserve">Peer median LTM revenue growth</t>
  </si>
  <si>
    <t xml:space="preserve">Peer median EBITDA margin</t>
  </si>
  <si>
    <t xml:space="preserve">NOTES &amp; METHODOLOGY</t>
  </si>
  <si>
    <t xml:space="preserve">Data: SEC XBRL standardized financials via stock-data MCP (get_financials); prices/market caps via stock-data get_quote (Yahoo, close 2026-10-14).</t>
  </si>
  <si>
    <t xml:space="preserve">LTM = sum of last four reported quarters; prior LTM = the four quarters before. Fiscal year ends differ (AAPL Sep, ORCL May, MSFT Jun, others Dec).</t>
  </si>
  <si>
    <t xml:space="preserve">EBITDA = Operating income (EBIT) + D&amp;A from the cash flow statement. GOOGL LTM D&amp;A is an estimate (see cell comment).</t>
  </si>
  <si>
    <t xml:space="preserve">EV = market cap - cash &amp; current marketable securities + total debt (operating and finance lease liabilities excluded for all companies).</t>
  </si>
  <si>
    <t xml:space="preserve">P/E for GOOGL, AMZN is depressed by large unrealized equity-investment gains in 2026; META LTM includes a one-off tax charge. Use EV/EBITDA and EV/EBIT as the primary multiples.</t>
  </si>
  <si>
    <t xml:space="preserve">Statistics are calculated over the five peers only (MSFT excluded).</t>
  </si>
</sst>
</file>

<file path=xl/styles.xml><?xml version="1.0" encoding="utf-8"?>
<styleSheet xmlns="http://schemas.openxmlformats.org/spreadsheetml/2006/main">
  <numFmts count="16">
    <numFmt numFmtId="164" formatCode="General"/>
    <numFmt numFmtId="165" formatCode="\$#,##0.00"/>
    <numFmt numFmtId="166" formatCode="#,##0"/>
    <numFmt numFmtId="167" formatCode="#,##0;\(#,##0\);\-"/>
    <numFmt numFmtId="168" formatCode="0.0%"/>
    <numFmt numFmtId="169" formatCode="0.0\x"/>
    <numFmt numFmtId="170" formatCode="0.0"/>
    <numFmt numFmtId="171" formatCode="0.0000"/>
    <numFmt numFmtId="172" formatCode="0.000000"/>
    <numFmt numFmtId="173" formatCode="\+0.0%;\-0.0%;0.0%"/>
    <numFmt numFmtId="174" formatCode="0.00"/>
    <numFmt numFmtId="175" formatCode="0.00%"/>
    <numFmt numFmtId="176" formatCode="#,##0.00"/>
    <numFmt numFmtId="177" formatCode="0.000"/>
    <numFmt numFmtId="178" formatCode="0"/>
    <numFmt numFmtId="179" formatCode="#,##0.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sz val="10"/>
      <name val="Arial"/>
      <family val="2"/>
    </font>
    <font>
      <b val="true"/>
      <sz val="12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2F2F2"/>
        <bgColor rgb="FFFFFFFF"/>
      </patternFill>
    </fill>
    <fill>
      <patternFill patternType="solid">
        <fgColor rgb="FF1F4E79"/>
        <bgColor rgb="FF003366"/>
      </patternFill>
    </fill>
    <fill>
      <patternFill patternType="solid">
        <fgColor rgb="FFD9E1F2"/>
        <bgColor rgb="FFBDD7EE"/>
      </patternFill>
    </fill>
    <fill>
      <patternFill patternType="solid">
        <fgColor rgb="FFBDD7EE"/>
        <bgColor rgb="FFD9E1F2"/>
      </patternFill>
    </fill>
  </fills>
  <borders count="25">
    <border diagonalUp="false" diagonalDown="false">
      <left/>
      <right/>
      <top/>
      <bottom/>
      <diagonal/>
    </border>
    <border diagonalUp="false" diagonalDown="false">
      <left style="thick"/>
      <right/>
      <top style="thick"/>
      <bottom/>
      <diagonal/>
    </border>
    <border diagonalUp="false" diagonalDown="false">
      <left/>
      <right/>
      <top style="thick"/>
      <bottom/>
      <diagonal/>
    </border>
    <border diagonalUp="false" diagonalDown="false">
      <left/>
      <right style="thick"/>
      <top style="thick"/>
      <bottom/>
      <diagonal/>
    </border>
    <border diagonalUp="false" diagonalDown="false">
      <left style="thick"/>
      <right/>
      <top/>
      <bottom/>
      <diagonal/>
    </border>
    <border diagonalUp="false" diagonalDown="false">
      <left/>
      <right style="thick"/>
      <top/>
      <bottom/>
      <diagonal/>
    </border>
    <border diagonalUp="false" diagonalDown="false">
      <left style="thick"/>
      <right/>
      <top/>
      <bottom style="thick"/>
      <diagonal/>
    </border>
    <border diagonalUp="false" diagonalDown="false">
      <left/>
      <right/>
      <top/>
      <bottom style="thick"/>
      <diagonal/>
    </border>
    <border diagonalUp="false" diagonalDown="false">
      <left/>
      <right style="thick"/>
      <top/>
      <bottom style="thick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2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2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4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4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6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6" fillId="4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6" fillId="4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9" fillId="4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9" fillId="4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2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8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5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2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2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2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2" borderId="2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2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2" borderId="2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D9E1F2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6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14" min="2" style="0" width="13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4" customFormat="false" ht="15" hidden="false" customHeight="false" outlineLevel="0" collapsed="false">
      <c r="A4" s="2" t="s">
        <v>2</v>
      </c>
      <c r="B4" s="3" t="n">
        <v>2</v>
      </c>
      <c r="C4" s="2" t="str">
        <f aca="false">CHOOSE(B4,"Bear case","Base case","Bull case")</f>
        <v>Base case</v>
      </c>
    </row>
    <row r="6" customFormat="false" ht="15" hidden="false" customHeight="false" outlineLevel="0" collapsed="false">
      <c r="A6" s="4" t="s">
        <v>3</v>
      </c>
      <c r="B6" s="5"/>
      <c r="C6" s="5"/>
      <c r="D6" s="6"/>
      <c r="E6" s="7"/>
      <c r="F6" s="7"/>
      <c r="G6" s="7"/>
      <c r="H6" s="7"/>
      <c r="I6" s="7"/>
      <c r="J6" s="7"/>
      <c r="K6" s="7"/>
      <c r="L6" s="7"/>
      <c r="M6" s="7"/>
      <c r="N6" s="7"/>
    </row>
    <row r="7" customFormat="false" ht="15" hidden="false" customHeight="false" outlineLevel="0" collapsed="false">
      <c r="A7" s="8" t="s">
        <v>4</v>
      </c>
      <c r="B7" s="9" t="n">
        <v>533.69</v>
      </c>
      <c r="C7" s="10"/>
      <c r="D7" s="11"/>
    </row>
    <row r="8" customFormat="false" ht="15" hidden="false" customHeight="false" outlineLevel="0" collapsed="false">
      <c r="A8" s="8" t="s">
        <v>5</v>
      </c>
      <c r="B8" s="12" t="n">
        <v>7453</v>
      </c>
      <c r="C8" s="10"/>
      <c r="D8" s="11"/>
    </row>
    <row r="9" customFormat="false" ht="15" hidden="false" customHeight="false" outlineLevel="0" collapsed="false">
      <c r="A9" s="8" t="s">
        <v>6</v>
      </c>
      <c r="B9" s="13" t="n">
        <f aca="false">B7*B8</f>
        <v>3977591.57</v>
      </c>
      <c r="C9" s="10"/>
      <c r="D9" s="11"/>
    </row>
    <row r="10" customFormat="false" ht="15" hidden="false" customHeight="false" outlineLevel="0" collapsed="false">
      <c r="A10" s="8" t="s">
        <v>7</v>
      </c>
      <c r="B10" s="14" t="n">
        <v>76843</v>
      </c>
      <c r="C10" s="10"/>
      <c r="D10" s="11"/>
    </row>
    <row r="11" customFormat="false" ht="15" hidden="false" customHeight="false" outlineLevel="0" collapsed="false">
      <c r="A11" s="8" t="s">
        <v>8</v>
      </c>
      <c r="B11" s="14" t="n">
        <v>40294</v>
      </c>
      <c r="C11" s="10"/>
      <c r="D11" s="11"/>
    </row>
    <row r="12" customFormat="false" ht="15" hidden="false" customHeight="false" outlineLevel="0" collapsed="false">
      <c r="A12" s="8" t="s">
        <v>9</v>
      </c>
      <c r="B12" s="13" t="n">
        <f aca="false">B11-B10</f>
        <v>-36549</v>
      </c>
      <c r="C12" s="10"/>
      <c r="D12" s="11"/>
    </row>
    <row r="13" customFormat="false" ht="15" hidden="false" customHeight="false" outlineLevel="0" collapsed="false">
      <c r="A13" s="8" t="s">
        <v>10</v>
      </c>
      <c r="B13" s="15" t="n">
        <v>0.19</v>
      </c>
      <c r="C13" s="10"/>
      <c r="D13" s="11"/>
    </row>
    <row r="14" customFormat="false" ht="15" hidden="false" customHeight="false" outlineLevel="0" collapsed="false">
      <c r="A14" s="8" t="s">
        <v>11</v>
      </c>
      <c r="B14" s="15" t="n">
        <v>0.05</v>
      </c>
      <c r="C14" s="10"/>
      <c r="D14" s="11"/>
    </row>
    <row r="15" customFormat="false" ht="15" hidden="false" customHeight="false" outlineLevel="0" collapsed="false">
      <c r="A15" s="8" t="s">
        <v>12</v>
      </c>
      <c r="B15" s="16" t="n">
        <f aca="false">WACC!B29</f>
        <v>0.106585488251198</v>
      </c>
      <c r="C15" s="10"/>
      <c r="D15" s="11"/>
    </row>
    <row r="16" customFormat="false" ht="15" hidden="false" customHeight="false" outlineLevel="0" collapsed="false">
      <c r="A16" s="8" t="s">
        <v>13</v>
      </c>
      <c r="B16" s="17" t="n">
        <f aca="false">Comps!J34</f>
        <v>17.074187914934</v>
      </c>
      <c r="C16" s="10"/>
      <c r="D16" s="11"/>
    </row>
    <row r="17" customFormat="false" ht="15" hidden="false" customHeight="false" outlineLevel="0" collapsed="false">
      <c r="A17" s="18" t="s">
        <v>14</v>
      </c>
      <c r="B17" s="19" t="n">
        <v>17.95</v>
      </c>
      <c r="C17" s="20"/>
      <c r="D17" s="21"/>
    </row>
    <row r="19" customFormat="false" ht="15" hidden="false" customHeight="false" outlineLevel="0" collapsed="false">
      <c r="A19" s="7" t="s">
        <v>15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</row>
    <row r="20" customFormat="false" ht="15" hidden="false" customHeight="false" outlineLevel="0" collapsed="false">
      <c r="A20" s="22" t="s">
        <v>16</v>
      </c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4"/>
    </row>
    <row r="21" customFormat="false" ht="15" hidden="false" customHeight="false" outlineLevel="0" collapsed="false">
      <c r="A21" s="25" t="s">
        <v>17</v>
      </c>
      <c r="B21" s="26"/>
      <c r="C21" s="26"/>
      <c r="D21" s="26"/>
      <c r="E21" s="26" t="s">
        <v>18</v>
      </c>
      <c r="F21" s="26" t="s">
        <v>19</v>
      </c>
      <c r="G21" s="26" t="s">
        <v>20</v>
      </c>
      <c r="H21" s="26" t="s">
        <v>21</v>
      </c>
      <c r="I21" s="26" t="s">
        <v>22</v>
      </c>
      <c r="J21" s="26" t="s">
        <v>23</v>
      </c>
      <c r="K21" s="26" t="s">
        <v>24</v>
      </c>
      <c r="L21" s="26" t="s">
        <v>25</v>
      </c>
      <c r="M21" s="26" t="s">
        <v>26</v>
      </c>
      <c r="N21" s="27" t="s">
        <v>27</v>
      </c>
    </row>
    <row r="22" customFormat="false" ht="15" hidden="false" customHeight="false" outlineLevel="0" collapsed="false">
      <c r="A22" s="28" t="s">
        <v>28</v>
      </c>
      <c r="B22" s="10"/>
      <c r="C22" s="10"/>
      <c r="D22" s="10"/>
      <c r="E22" s="15" t="n">
        <v>0.12</v>
      </c>
      <c r="F22" s="15" t="n">
        <v>0.1</v>
      </c>
      <c r="G22" s="15" t="n">
        <v>0.09</v>
      </c>
      <c r="H22" s="15" t="n">
        <v>0.08</v>
      </c>
      <c r="I22" s="15" t="n">
        <v>0.07</v>
      </c>
      <c r="J22" s="15" t="n">
        <v>0.06</v>
      </c>
      <c r="K22" s="15" t="n">
        <v>0.05</v>
      </c>
      <c r="L22" s="15" t="n">
        <v>0.045</v>
      </c>
      <c r="M22" s="15" t="n">
        <v>0.04</v>
      </c>
      <c r="N22" s="29" t="n">
        <v>0.035</v>
      </c>
    </row>
    <row r="23" customFormat="false" ht="15" hidden="false" customHeight="false" outlineLevel="0" collapsed="false">
      <c r="A23" s="28" t="s">
        <v>29</v>
      </c>
      <c r="B23" s="10"/>
      <c r="C23" s="10"/>
      <c r="D23" s="10"/>
      <c r="E23" s="15" t="n">
        <v>0.44</v>
      </c>
      <c r="F23" s="15" t="n">
        <v>0.435</v>
      </c>
      <c r="G23" s="15" t="n">
        <v>0.43</v>
      </c>
      <c r="H23" s="15" t="n">
        <v>0.425</v>
      </c>
      <c r="I23" s="15" t="n">
        <v>0.42</v>
      </c>
      <c r="J23" s="15" t="n">
        <v>0.415</v>
      </c>
      <c r="K23" s="15" t="n">
        <v>0.41</v>
      </c>
      <c r="L23" s="15" t="n">
        <v>0.41</v>
      </c>
      <c r="M23" s="15" t="n">
        <v>0.41</v>
      </c>
      <c r="N23" s="29" t="n">
        <v>0.41</v>
      </c>
    </row>
    <row r="24" customFormat="false" ht="15" hidden="false" customHeight="false" outlineLevel="0" collapsed="false">
      <c r="A24" s="28" t="s">
        <v>30</v>
      </c>
      <c r="B24" s="10"/>
      <c r="C24" s="10"/>
      <c r="D24" s="10"/>
      <c r="E24" s="15" t="n">
        <v>0.14</v>
      </c>
      <c r="F24" s="15" t="n">
        <v>0.15</v>
      </c>
      <c r="G24" s="15" t="n">
        <v>0.155</v>
      </c>
      <c r="H24" s="15" t="n">
        <v>0.16</v>
      </c>
      <c r="I24" s="15" t="n">
        <v>0.16</v>
      </c>
      <c r="J24" s="15" t="n">
        <v>0.16</v>
      </c>
      <c r="K24" s="15" t="n">
        <v>0.155</v>
      </c>
      <c r="L24" s="15" t="n">
        <v>0.15</v>
      </c>
      <c r="M24" s="15" t="n">
        <v>0.145</v>
      </c>
      <c r="N24" s="29" t="n">
        <v>0.14</v>
      </c>
    </row>
    <row r="25" customFormat="false" ht="15" hidden="false" customHeight="false" outlineLevel="0" collapsed="false">
      <c r="A25" s="28" t="s">
        <v>31</v>
      </c>
      <c r="B25" s="10"/>
      <c r="C25" s="10"/>
      <c r="D25" s="10"/>
      <c r="E25" s="15" t="n">
        <v>0.38</v>
      </c>
      <c r="F25" s="15" t="n">
        <v>0.34</v>
      </c>
      <c r="G25" s="15" t="n">
        <v>0.29</v>
      </c>
      <c r="H25" s="15" t="n">
        <v>0.26</v>
      </c>
      <c r="I25" s="15" t="n">
        <v>0.23</v>
      </c>
      <c r="J25" s="15" t="n">
        <v>0.21</v>
      </c>
      <c r="K25" s="15" t="n">
        <v>0.195</v>
      </c>
      <c r="L25" s="15" t="n">
        <v>0.18</v>
      </c>
      <c r="M25" s="15" t="n">
        <v>0.17</v>
      </c>
      <c r="N25" s="29" t="n">
        <v>0.165</v>
      </c>
    </row>
    <row r="26" customFormat="false" ht="15" hidden="false" customHeight="false" outlineLevel="0" collapsed="false">
      <c r="A26" s="28" t="s">
        <v>32</v>
      </c>
      <c r="B26" s="10"/>
      <c r="C26" s="10"/>
      <c r="D26" s="10"/>
      <c r="E26" s="15" t="n">
        <v>0.005</v>
      </c>
      <c r="F26" s="10"/>
      <c r="G26" s="10"/>
      <c r="H26" s="10"/>
      <c r="I26" s="10"/>
      <c r="J26" s="10"/>
      <c r="K26" s="10"/>
      <c r="L26" s="10"/>
      <c r="M26" s="10"/>
      <c r="N26" s="30"/>
    </row>
    <row r="27" customFormat="false" ht="15" hidden="false" customHeight="false" outlineLevel="0" collapsed="false">
      <c r="A27" s="31" t="s">
        <v>33</v>
      </c>
      <c r="B27" s="32"/>
      <c r="C27" s="32"/>
      <c r="D27" s="32"/>
      <c r="E27" s="33" t="n">
        <v>0.025</v>
      </c>
      <c r="F27" s="32"/>
      <c r="G27" s="32"/>
      <c r="H27" s="32"/>
      <c r="I27" s="32"/>
      <c r="J27" s="32"/>
      <c r="K27" s="32"/>
      <c r="L27" s="32"/>
      <c r="M27" s="32"/>
      <c r="N27" s="34"/>
    </row>
    <row r="29" customFormat="false" ht="15" hidden="false" customHeight="false" outlineLevel="0" collapsed="false">
      <c r="A29" s="22" t="s">
        <v>34</v>
      </c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4"/>
    </row>
    <row r="30" customFormat="false" ht="15" hidden="false" customHeight="false" outlineLevel="0" collapsed="false">
      <c r="A30" s="25" t="s">
        <v>17</v>
      </c>
      <c r="B30" s="26"/>
      <c r="C30" s="26"/>
      <c r="D30" s="26"/>
      <c r="E30" s="26" t="s">
        <v>18</v>
      </c>
      <c r="F30" s="26" t="s">
        <v>19</v>
      </c>
      <c r="G30" s="26" t="s">
        <v>20</v>
      </c>
      <c r="H30" s="26" t="s">
        <v>21</v>
      </c>
      <c r="I30" s="26" t="s">
        <v>22</v>
      </c>
      <c r="J30" s="26" t="s">
        <v>23</v>
      </c>
      <c r="K30" s="26" t="s">
        <v>24</v>
      </c>
      <c r="L30" s="26" t="s">
        <v>25</v>
      </c>
      <c r="M30" s="26" t="s">
        <v>26</v>
      </c>
      <c r="N30" s="27" t="s">
        <v>27</v>
      </c>
    </row>
    <row r="31" customFormat="false" ht="15" hidden="false" customHeight="false" outlineLevel="0" collapsed="false">
      <c r="A31" s="28" t="s">
        <v>28</v>
      </c>
      <c r="B31" s="10"/>
      <c r="C31" s="10"/>
      <c r="D31" s="10"/>
      <c r="E31" s="15" t="n">
        <v>0.16</v>
      </c>
      <c r="F31" s="15" t="n">
        <v>0.15</v>
      </c>
      <c r="G31" s="15" t="n">
        <v>0.13</v>
      </c>
      <c r="H31" s="15" t="n">
        <v>0.12</v>
      </c>
      <c r="I31" s="15" t="n">
        <v>0.11</v>
      </c>
      <c r="J31" s="15" t="n">
        <v>0.1</v>
      </c>
      <c r="K31" s="15" t="n">
        <v>0.08</v>
      </c>
      <c r="L31" s="15" t="n">
        <v>0.07</v>
      </c>
      <c r="M31" s="15" t="n">
        <v>0.06</v>
      </c>
      <c r="N31" s="29" t="n">
        <v>0.05</v>
      </c>
    </row>
    <row r="32" customFormat="false" ht="15" hidden="false" customHeight="false" outlineLevel="0" collapsed="false">
      <c r="A32" s="28" t="s">
        <v>29</v>
      </c>
      <c r="B32" s="10"/>
      <c r="C32" s="10"/>
      <c r="D32" s="10"/>
      <c r="E32" s="15" t="n">
        <v>0.46</v>
      </c>
      <c r="F32" s="15" t="n">
        <v>0.465</v>
      </c>
      <c r="G32" s="15" t="n">
        <v>0.47</v>
      </c>
      <c r="H32" s="15" t="n">
        <v>0.47</v>
      </c>
      <c r="I32" s="15" t="n">
        <v>0.47</v>
      </c>
      <c r="J32" s="15" t="n">
        <v>0.47</v>
      </c>
      <c r="K32" s="15" t="n">
        <v>0.465</v>
      </c>
      <c r="L32" s="15" t="n">
        <v>0.46</v>
      </c>
      <c r="M32" s="15" t="n">
        <v>0.46</v>
      </c>
      <c r="N32" s="29" t="n">
        <v>0.46</v>
      </c>
    </row>
    <row r="33" customFormat="false" ht="15" hidden="false" customHeight="false" outlineLevel="0" collapsed="false">
      <c r="A33" s="28" t="s">
        <v>30</v>
      </c>
      <c r="B33" s="10"/>
      <c r="C33" s="10"/>
      <c r="D33" s="10"/>
      <c r="E33" s="15" t="n">
        <v>0.14</v>
      </c>
      <c r="F33" s="15" t="n">
        <v>0.15</v>
      </c>
      <c r="G33" s="15" t="n">
        <v>0.155</v>
      </c>
      <c r="H33" s="15" t="n">
        <v>0.16</v>
      </c>
      <c r="I33" s="15" t="n">
        <v>0.16</v>
      </c>
      <c r="J33" s="15" t="n">
        <v>0.16</v>
      </c>
      <c r="K33" s="15" t="n">
        <v>0.155</v>
      </c>
      <c r="L33" s="15" t="n">
        <v>0.15</v>
      </c>
      <c r="M33" s="15" t="n">
        <v>0.145</v>
      </c>
      <c r="N33" s="29" t="n">
        <v>0.14</v>
      </c>
    </row>
    <row r="34" customFormat="false" ht="15" hidden="false" customHeight="false" outlineLevel="0" collapsed="false">
      <c r="A34" s="28" t="s">
        <v>31</v>
      </c>
      <c r="B34" s="10"/>
      <c r="C34" s="10"/>
      <c r="D34" s="10"/>
      <c r="E34" s="15" t="n">
        <v>0.36</v>
      </c>
      <c r="F34" s="15" t="n">
        <v>0.32</v>
      </c>
      <c r="G34" s="15" t="n">
        <v>0.27</v>
      </c>
      <c r="H34" s="15" t="n">
        <v>0.24</v>
      </c>
      <c r="I34" s="15" t="n">
        <v>0.22</v>
      </c>
      <c r="J34" s="15" t="n">
        <v>0.2</v>
      </c>
      <c r="K34" s="15" t="n">
        <v>0.185</v>
      </c>
      <c r="L34" s="15" t="n">
        <v>0.17</v>
      </c>
      <c r="M34" s="15" t="n">
        <v>0.16</v>
      </c>
      <c r="N34" s="29" t="n">
        <v>0.155</v>
      </c>
    </row>
    <row r="35" customFormat="false" ht="15" hidden="false" customHeight="false" outlineLevel="0" collapsed="false">
      <c r="A35" s="28" t="s">
        <v>32</v>
      </c>
      <c r="B35" s="10"/>
      <c r="C35" s="10"/>
      <c r="D35" s="10"/>
      <c r="E35" s="15" t="n">
        <v>0</v>
      </c>
      <c r="F35" s="10"/>
      <c r="G35" s="10"/>
      <c r="H35" s="10"/>
      <c r="I35" s="10"/>
      <c r="J35" s="10"/>
      <c r="K35" s="10"/>
      <c r="L35" s="10"/>
      <c r="M35" s="10"/>
      <c r="N35" s="30"/>
    </row>
    <row r="36" customFormat="false" ht="15" hidden="false" customHeight="false" outlineLevel="0" collapsed="false">
      <c r="A36" s="31" t="s">
        <v>33</v>
      </c>
      <c r="B36" s="32"/>
      <c r="C36" s="32"/>
      <c r="D36" s="32"/>
      <c r="E36" s="33" t="n">
        <v>0.03</v>
      </c>
      <c r="F36" s="32"/>
      <c r="G36" s="32"/>
      <c r="H36" s="32"/>
      <c r="I36" s="32"/>
      <c r="J36" s="32"/>
      <c r="K36" s="32"/>
      <c r="L36" s="32"/>
      <c r="M36" s="32"/>
      <c r="N36" s="34"/>
    </row>
    <row r="38" customFormat="false" ht="15" hidden="false" customHeight="false" outlineLevel="0" collapsed="false">
      <c r="A38" s="22" t="s">
        <v>35</v>
      </c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4"/>
    </row>
    <row r="39" customFormat="false" ht="15" hidden="false" customHeight="false" outlineLevel="0" collapsed="false">
      <c r="A39" s="25" t="s">
        <v>17</v>
      </c>
      <c r="B39" s="26"/>
      <c r="C39" s="26"/>
      <c r="D39" s="26"/>
      <c r="E39" s="26" t="s">
        <v>18</v>
      </c>
      <c r="F39" s="26" t="s">
        <v>19</v>
      </c>
      <c r="G39" s="26" t="s">
        <v>20</v>
      </c>
      <c r="H39" s="26" t="s">
        <v>21</v>
      </c>
      <c r="I39" s="26" t="s">
        <v>22</v>
      </c>
      <c r="J39" s="26" t="s">
        <v>23</v>
      </c>
      <c r="K39" s="26" t="s">
        <v>24</v>
      </c>
      <c r="L39" s="26" t="s">
        <v>25</v>
      </c>
      <c r="M39" s="26" t="s">
        <v>26</v>
      </c>
      <c r="N39" s="27" t="s">
        <v>27</v>
      </c>
    </row>
    <row r="40" customFormat="false" ht="15" hidden="false" customHeight="false" outlineLevel="0" collapsed="false">
      <c r="A40" s="28" t="s">
        <v>28</v>
      </c>
      <c r="B40" s="10"/>
      <c r="C40" s="10"/>
      <c r="D40" s="10"/>
      <c r="E40" s="15" t="n">
        <v>0.19</v>
      </c>
      <c r="F40" s="15" t="n">
        <v>0.18</v>
      </c>
      <c r="G40" s="15" t="n">
        <v>0.16</v>
      </c>
      <c r="H40" s="15" t="n">
        <v>0.15</v>
      </c>
      <c r="I40" s="15" t="n">
        <v>0.13</v>
      </c>
      <c r="J40" s="15" t="n">
        <v>0.12</v>
      </c>
      <c r="K40" s="15" t="n">
        <v>0.1</v>
      </c>
      <c r="L40" s="15" t="n">
        <v>0.09</v>
      </c>
      <c r="M40" s="15" t="n">
        <v>0.07</v>
      </c>
      <c r="N40" s="29" t="n">
        <v>0.06</v>
      </c>
    </row>
    <row r="41" customFormat="false" ht="15" hidden="false" customHeight="false" outlineLevel="0" collapsed="false">
      <c r="A41" s="28" t="s">
        <v>29</v>
      </c>
      <c r="B41" s="10"/>
      <c r="C41" s="10"/>
      <c r="D41" s="10"/>
      <c r="E41" s="15" t="n">
        <v>0.47</v>
      </c>
      <c r="F41" s="15" t="n">
        <v>0.475</v>
      </c>
      <c r="G41" s="15" t="n">
        <v>0.48</v>
      </c>
      <c r="H41" s="15" t="n">
        <v>0.485</v>
      </c>
      <c r="I41" s="15" t="n">
        <v>0.49</v>
      </c>
      <c r="J41" s="15" t="n">
        <v>0.49</v>
      </c>
      <c r="K41" s="15" t="n">
        <v>0.49</v>
      </c>
      <c r="L41" s="15" t="n">
        <v>0.49</v>
      </c>
      <c r="M41" s="15" t="n">
        <v>0.49</v>
      </c>
      <c r="N41" s="29" t="n">
        <v>0.49</v>
      </c>
    </row>
    <row r="42" customFormat="false" ht="15" hidden="false" customHeight="false" outlineLevel="0" collapsed="false">
      <c r="A42" s="28" t="s">
        <v>30</v>
      </c>
      <c r="B42" s="10"/>
      <c r="C42" s="10"/>
      <c r="D42" s="10"/>
      <c r="E42" s="15" t="n">
        <v>0.14</v>
      </c>
      <c r="F42" s="15" t="n">
        <v>0.15</v>
      </c>
      <c r="G42" s="15" t="n">
        <v>0.155</v>
      </c>
      <c r="H42" s="15" t="n">
        <v>0.16</v>
      </c>
      <c r="I42" s="15" t="n">
        <v>0.16</v>
      </c>
      <c r="J42" s="15" t="n">
        <v>0.16</v>
      </c>
      <c r="K42" s="15" t="n">
        <v>0.155</v>
      </c>
      <c r="L42" s="15" t="n">
        <v>0.15</v>
      </c>
      <c r="M42" s="15" t="n">
        <v>0.145</v>
      </c>
      <c r="N42" s="29" t="n">
        <v>0.14</v>
      </c>
    </row>
    <row r="43" customFormat="false" ht="15" hidden="false" customHeight="false" outlineLevel="0" collapsed="false">
      <c r="A43" s="28" t="s">
        <v>31</v>
      </c>
      <c r="B43" s="10"/>
      <c r="C43" s="10"/>
      <c r="D43" s="10"/>
      <c r="E43" s="15" t="n">
        <v>0.34</v>
      </c>
      <c r="F43" s="15" t="n">
        <v>0.29</v>
      </c>
      <c r="G43" s="15" t="n">
        <v>0.24</v>
      </c>
      <c r="H43" s="15" t="n">
        <v>0.21</v>
      </c>
      <c r="I43" s="15" t="n">
        <v>0.19</v>
      </c>
      <c r="J43" s="15" t="n">
        <v>0.175</v>
      </c>
      <c r="K43" s="15" t="n">
        <v>0.16</v>
      </c>
      <c r="L43" s="15" t="n">
        <v>0.15</v>
      </c>
      <c r="M43" s="15" t="n">
        <v>0.145</v>
      </c>
      <c r="N43" s="29" t="n">
        <v>0.14</v>
      </c>
    </row>
    <row r="44" customFormat="false" ht="15" hidden="false" customHeight="false" outlineLevel="0" collapsed="false">
      <c r="A44" s="28" t="s">
        <v>32</v>
      </c>
      <c r="B44" s="10"/>
      <c r="C44" s="10"/>
      <c r="D44" s="10"/>
      <c r="E44" s="15" t="n">
        <v>-0.005</v>
      </c>
      <c r="F44" s="10"/>
      <c r="G44" s="10"/>
      <c r="H44" s="10"/>
      <c r="I44" s="10"/>
      <c r="J44" s="10"/>
      <c r="K44" s="10"/>
      <c r="L44" s="10"/>
      <c r="M44" s="10"/>
      <c r="N44" s="30"/>
    </row>
    <row r="45" customFormat="false" ht="15" hidden="false" customHeight="false" outlineLevel="0" collapsed="false">
      <c r="A45" s="31" t="s">
        <v>33</v>
      </c>
      <c r="B45" s="32"/>
      <c r="C45" s="32"/>
      <c r="D45" s="32"/>
      <c r="E45" s="33" t="n">
        <v>0.035</v>
      </c>
      <c r="F45" s="32"/>
      <c r="G45" s="32"/>
      <c r="H45" s="32"/>
      <c r="I45" s="32"/>
      <c r="J45" s="32"/>
      <c r="K45" s="32"/>
      <c r="L45" s="32"/>
      <c r="M45" s="32"/>
      <c r="N45" s="34"/>
    </row>
    <row r="47" customFormat="false" ht="15" hidden="false" customHeight="false" outlineLevel="0" collapsed="false">
      <c r="A47" s="4" t="s">
        <v>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6"/>
    </row>
    <row r="48" customFormat="false" ht="15" hidden="false" customHeight="false" outlineLevel="0" collapsed="false">
      <c r="A48" s="35" t="s">
        <v>17</v>
      </c>
      <c r="B48" s="26"/>
      <c r="C48" s="26"/>
      <c r="D48" s="26"/>
      <c r="E48" s="26" t="s">
        <v>18</v>
      </c>
      <c r="F48" s="26" t="s">
        <v>19</v>
      </c>
      <c r="G48" s="26" t="s">
        <v>20</v>
      </c>
      <c r="H48" s="26" t="s">
        <v>21</v>
      </c>
      <c r="I48" s="26" t="s">
        <v>22</v>
      </c>
      <c r="J48" s="26" t="s">
        <v>23</v>
      </c>
      <c r="K48" s="26" t="s">
        <v>24</v>
      </c>
      <c r="L48" s="26" t="s">
        <v>25</v>
      </c>
      <c r="M48" s="26" t="s">
        <v>26</v>
      </c>
      <c r="N48" s="36" t="s">
        <v>27</v>
      </c>
    </row>
    <row r="49" customFormat="false" ht="15" hidden="false" customHeight="false" outlineLevel="0" collapsed="false">
      <c r="A49" s="8" t="s">
        <v>28</v>
      </c>
      <c r="B49" s="10"/>
      <c r="C49" s="10"/>
      <c r="D49" s="10"/>
      <c r="E49" s="37" t="n">
        <f aca="false">CHOOSE($B$4,E22,E31,E40)</f>
        <v>0.16</v>
      </c>
      <c r="F49" s="37" t="n">
        <f aca="false">CHOOSE($B$4,F22,F31,F40)</f>
        <v>0.15</v>
      </c>
      <c r="G49" s="37" t="n">
        <f aca="false">CHOOSE($B$4,G22,G31,G40)</f>
        <v>0.13</v>
      </c>
      <c r="H49" s="37" t="n">
        <f aca="false">CHOOSE($B$4,H22,H31,H40)</f>
        <v>0.12</v>
      </c>
      <c r="I49" s="37" t="n">
        <f aca="false">CHOOSE($B$4,I22,I31,I40)</f>
        <v>0.11</v>
      </c>
      <c r="J49" s="37" t="n">
        <f aca="false">CHOOSE($B$4,J22,J31,J40)</f>
        <v>0.1</v>
      </c>
      <c r="K49" s="37" t="n">
        <f aca="false">CHOOSE($B$4,K22,K31,K40)</f>
        <v>0.08</v>
      </c>
      <c r="L49" s="37" t="n">
        <f aca="false">CHOOSE($B$4,L22,L31,L40)</f>
        <v>0.07</v>
      </c>
      <c r="M49" s="37" t="n">
        <f aca="false">CHOOSE($B$4,M22,M31,M40)</f>
        <v>0.06</v>
      </c>
      <c r="N49" s="38" t="n">
        <f aca="false">CHOOSE($B$4,N22,N31,N40)</f>
        <v>0.05</v>
      </c>
    </row>
    <row r="50" customFormat="false" ht="15" hidden="false" customHeight="false" outlineLevel="0" collapsed="false">
      <c r="A50" s="8" t="s">
        <v>29</v>
      </c>
      <c r="B50" s="10"/>
      <c r="C50" s="10"/>
      <c r="D50" s="10"/>
      <c r="E50" s="37" t="n">
        <f aca="false">CHOOSE($B$4,E23,E32,E41)</f>
        <v>0.46</v>
      </c>
      <c r="F50" s="37" t="n">
        <f aca="false">CHOOSE($B$4,F23,F32,F41)</f>
        <v>0.465</v>
      </c>
      <c r="G50" s="37" t="n">
        <f aca="false">CHOOSE($B$4,G23,G32,G41)</f>
        <v>0.47</v>
      </c>
      <c r="H50" s="37" t="n">
        <f aca="false">CHOOSE($B$4,H23,H32,H41)</f>
        <v>0.47</v>
      </c>
      <c r="I50" s="37" t="n">
        <f aca="false">CHOOSE($B$4,I23,I32,I41)</f>
        <v>0.47</v>
      </c>
      <c r="J50" s="37" t="n">
        <f aca="false">CHOOSE($B$4,J23,J32,J41)</f>
        <v>0.47</v>
      </c>
      <c r="K50" s="37" t="n">
        <f aca="false">CHOOSE($B$4,K23,K32,K41)</f>
        <v>0.465</v>
      </c>
      <c r="L50" s="37" t="n">
        <f aca="false">CHOOSE($B$4,L23,L32,L41)</f>
        <v>0.46</v>
      </c>
      <c r="M50" s="37" t="n">
        <f aca="false">CHOOSE($B$4,M23,M32,M41)</f>
        <v>0.46</v>
      </c>
      <c r="N50" s="38" t="n">
        <f aca="false">CHOOSE($B$4,N23,N32,N41)</f>
        <v>0.46</v>
      </c>
    </row>
    <row r="51" customFormat="false" ht="15" hidden="false" customHeight="false" outlineLevel="0" collapsed="false">
      <c r="A51" s="8" t="s">
        <v>30</v>
      </c>
      <c r="B51" s="10"/>
      <c r="C51" s="10"/>
      <c r="D51" s="10"/>
      <c r="E51" s="37" t="n">
        <f aca="false">CHOOSE($B$4,E24,E33,E42)</f>
        <v>0.14</v>
      </c>
      <c r="F51" s="37" t="n">
        <f aca="false">CHOOSE($B$4,F24,F33,F42)</f>
        <v>0.15</v>
      </c>
      <c r="G51" s="37" t="n">
        <f aca="false">CHOOSE($B$4,G24,G33,G42)</f>
        <v>0.155</v>
      </c>
      <c r="H51" s="37" t="n">
        <f aca="false">CHOOSE($B$4,H24,H33,H42)</f>
        <v>0.16</v>
      </c>
      <c r="I51" s="37" t="n">
        <f aca="false">CHOOSE($B$4,I24,I33,I42)</f>
        <v>0.16</v>
      </c>
      <c r="J51" s="37" t="n">
        <f aca="false">CHOOSE($B$4,J24,J33,J42)</f>
        <v>0.16</v>
      </c>
      <c r="K51" s="37" t="n">
        <f aca="false">CHOOSE($B$4,K24,K33,K42)</f>
        <v>0.155</v>
      </c>
      <c r="L51" s="37" t="n">
        <f aca="false">CHOOSE($B$4,L24,L33,L42)</f>
        <v>0.15</v>
      </c>
      <c r="M51" s="37" t="n">
        <f aca="false">CHOOSE($B$4,M24,M33,M42)</f>
        <v>0.145</v>
      </c>
      <c r="N51" s="38" t="n">
        <f aca="false">CHOOSE($B$4,N24,N33,N42)</f>
        <v>0.14</v>
      </c>
    </row>
    <row r="52" customFormat="false" ht="15" hidden="false" customHeight="false" outlineLevel="0" collapsed="false">
      <c r="A52" s="8" t="s">
        <v>31</v>
      </c>
      <c r="B52" s="10"/>
      <c r="C52" s="10"/>
      <c r="D52" s="10"/>
      <c r="E52" s="37" t="n">
        <f aca="false">CHOOSE($B$4,E25,E34,E43)</f>
        <v>0.36</v>
      </c>
      <c r="F52" s="37" t="n">
        <f aca="false">CHOOSE($B$4,F25,F34,F43)</f>
        <v>0.32</v>
      </c>
      <c r="G52" s="37" t="n">
        <f aca="false">CHOOSE($B$4,G25,G34,G43)</f>
        <v>0.27</v>
      </c>
      <c r="H52" s="37" t="n">
        <f aca="false">CHOOSE($B$4,H25,H34,H43)</f>
        <v>0.24</v>
      </c>
      <c r="I52" s="37" t="n">
        <f aca="false">CHOOSE($B$4,I25,I34,I43)</f>
        <v>0.22</v>
      </c>
      <c r="J52" s="37" t="n">
        <f aca="false">CHOOSE($B$4,J25,J34,J43)</f>
        <v>0.2</v>
      </c>
      <c r="K52" s="37" t="n">
        <f aca="false">CHOOSE($B$4,K25,K34,K43)</f>
        <v>0.185</v>
      </c>
      <c r="L52" s="37" t="n">
        <f aca="false">CHOOSE($B$4,L25,L34,L43)</f>
        <v>0.17</v>
      </c>
      <c r="M52" s="37" t="n">
        <f aca="false">CHOOSE($B$4,M25,M34,M43)</f>
        <v>0.16</v>
      </c>
      <c r="N52" s="38" t="n">
        <f aca="false">CHOOSE($B$4,N25,N34,N43)</f>
        <v>0.155</v>
      </c>
    </row>
    <row r="53" customFormat="false" ht="15" hidden="false" customHeight="false" outlineLevel="0" collapsed="false">
      <c r="A53" s="8" t="s">
        <v>37</v>
      </c>
      <c r="B53" s="10"/>
      <c r="C53" s="10"/>
      <c r="D53" s="10"/>
      <c r="E53" s="37" t="n">
        <f aca="false">$B$15+CHOOSE($B$4,E26,E35,E44)</f>
        <v>0.106585488251198</v>
      </c>
      <c r="F53" s="10"/>
      <c r="G53" s="10"/>
      <c r="H53" s="10"/>
      <c r="I53" s="10"/>
      <c r="J53" s="10"/>
      <c r="K53" s="10"/>
      <c r="L53" s="10"/>
      <c r="M53" s="10"/>
      <c r="N53" s="11"/>
    </row>
    <row r="54" customFormat="false" ht="15" hidden="false" customHeight="false" outlineLevel="0" collapsed="false">
      <c r="A54" s="18" t="s">
        <v>33</v>
      </c>
      <c r="B54" s="20"/>
      <c r="C54" s="20"/>
      <c r="D54" s="20"/>
      <c r="E54" s="39" t="n">
        <f aca="false">CHOOSE($B$4,E27,E36,E45)</f>
        <v>0.03</v>
      </c>
      <c r="F54" s="20"/>
      <c r="G54" s="20"/>
      <c r="H54" s="20"/>
      <c r="I54" s="20"/>
      <c r="J54" s="20"/>
      <c r="K54" s="20"/>
      <c r="L54" s="20"/>
      <c r="M54" s="20"/>
      <c r="N54" s="21"/>
    </row>
    <row r="56" customFormat="false" ht="15" hidden="false" customHeight="false" outlineLevel="0" collapsed="false">
      <c r="A56" s="4" t="s">
        <v>38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6"/>
    </row>
    <row r="57" customFormat="false" ht="15" hidden="false" customHeight="false" outlineLevel="0" collapsed="false">
      <c r="A57" s="35" t="s">
        <v>39</v>
      </c>
      <c r="B57" s="26" t="s">
        <v>40</v>
      </c>
      <c r="C57" s="26" t="s">
        <v>41</v>
      </c>
      <c r="D57" s="26" t="s">
        <v>42</v>
      </c>
      <c r="E57" s="26" t="s">
        <v>18</v>
      </c>
      <c r="F57" s="26" t="s">
        <v>19</v>
      </c>
      <c r="G57" s="26" t="s">
        <v>20</v>
      </c>
      <c r="H57" s="26" t="s">
        <v>21</v>
      </c>
      <c r="I57" s="26" t="s">
        <v>22</v>
      </c>
      <c r="J57" s="26" t="s">
        <v>23</v>
      </c>
      <c r="K57" s="26" t="s">
        <v>24</v>
      </c>
      <c r="L57" s="26" t="s">
        <v>25</v>
      </c>
      <c r="M57" s="26" t="s">
        <v>26</v>
      </c>
      <c r="N57" s="36" t="s">
        <v>27</v>
      </c>
    </row>
    <row r="58" customFormat="false" ht="15" hidden="false" customHeight="false" outlineLevel="0" collapsed="false">
      <c r="A58" s="8" t="s">
        <v>43</v>
      </c>
      <c r="B58" s="14" t="n">
        <v>245122</v>
      </c>
      <c r="C58" s="14" t="n">
        <v>281724</v>
      </c>
      <c r="D58" s="14" t="n">
        <v>331839</v>
      </c>
      <c r="E58" s="13" t="n">
        <f aca="false">D58*(1+E49)</f>
        <v>384933.24</v>
      </c>
      <c r="F58" s="13" t="n">
        <f aca="false">E58*(1+F49)</f>
        <v>442673.226</v>
      </c>
      <c r="G58" s="13" t="n">
        <f aca="false">F58*(1+G49)</f>
        <v>500220.74538</v>
      </c>
      <c r="H58" s="13" t="n">
        <f aca="false">G58*(1+H49)</f>
        <v>560247.2348256</v>
      </c>
      <c r="I58" s="13" t="n">
        <f aca="false">H58*(1+I49)</f>
        <v>621874.430656416</v>
      </c>
      <c r="J58" s="13" t="n">
        <f aca="false">I58*(1+J49)</f>
        <v>684061.873722058</v>
      </c>
      <c r="K58" s="13" t="n">
        <f aca="false">J58*(1+K49)</f>
        <v>738786.823619822</v>
      </c>
      <c r="L58" s="13" t="n">
        <f aca="false">K58*(1+L49)</f>
        <v>790501.90127321</v>
      </c>
      <c r="M58" s="13" t="n">
        <f aca="false">L58*(1+M49)</f>
        <v>837932.015349603</v>
      </c>
      <c r="N58" s="40" t="n">
        <f aca="false">M58*(1+N49)</f>
        <v>879828.616117083</v>
      </c>
    </row>
    <row r="59" customFormat="false" ht="15" hidden="false" customHeight="false" outlineLevel="0" collapsed="false">
      <c r="A59" s="8" t="s">
        <v>44</v>
      </c>
      <c r="B59" s="37" t="n">
        <f aca="false">B58/211915-1</f>
        <v>0.156699620130713</v>
      </c>
      <c r="C59" s="37" t="n">
        <f aca="false">C58/B58-1</f>
        <v>0.149321562324067</v>
      </c>
      <c r="D59" s="37" t="n">
        <f aca="false">D58/C58-1</f>
        <v>0.177886867998467</v>
      </c>
      <c r="E59" s="37" t="n">
        <f aca="false">E58/D58-1</f>
        <v>0.16</v>
      </c>
      <c r="F59" s="37" t="n">
        <f aca="false">F58/E58-1</f>
        <v>0.15</v>
      </c>
      <c r="G59" s="37" t="n">
        <f aca="false">G58/F58-1</f>
        <v>0.13</v>
      </c>
      <c r="H59" s="37" t="n">
        <f aca="false">H58/G58-1</f>
        <v>0.12</v>
      </c>
      <c r="I59" s="37" t="n">
        <f aca="false">I58/H58-1</f>
        <v>0.11</v>
      </c>
      <c r="J59" s="37" t="n">
        <f aca="false">J58/I58-1</f>
        <v>0.1</v>
      </c>
      <c r="K59" s="37" t="n">
        <f aca="false">K58/J58-1</f>
        <v>0.0800000000000001</v>
      </c>
      <c r="L59" s="37" t="n">
        <f aca="false">L58/K58-1</f>
        <v>0.0700000000000001</v>
      </c>
      <c r="M59" s="37" t="n">
        <f aca="false">M58/L58-1</f>
        <v>0.0600000000000001</v>
      </c>
      <c r="N59" s="38" t="n">
        <f aca="false">N58/M58-1</f>
        <v>0.05</v>
      </c>
    </row>
    <row r="60" customFormat="false" ht="15" hidden="false" customHeight="false" outlineLevel="0" collapsed="false">
      <c r="A60" s="8" t="s">
        <v>45</v>
      </c>
      <c r="B60" s="14" t="n">
        <v>109433</v>
      </c>
      <c r="C60" s="14" t="n">
        <v>128528</v>
      </c>
      <c r="D60" s="14" t="n">
        <v>155237</v>
      </c>
      <c r="E60" s="13" t="n">
        <f aca="false">E58*E50</f>
        <v>177069.2904</v>
      </c>
      <c r="F60" s="13" t="n">
        <f aca="false">F58*F50</f>
        <v>205843.05009</v>
      </c>
      <c r="G60" s="13" t="n">
        <f aca="false">G58*G50</f>
        <v>235103.7503286</v>
      </c>
      <c r="H60" s="13" t="n">
        <f aca="false">H58*H50</f>
        <v>263316.200368032</v>
      </c>
      <c r="I60" s="13" t="n">
        <f aca="false">I58*I50</f>
        <v>292280.982408516</v>
      </c>
      <c r="J60" s="13" t="n">
        <f aca="false">J58*J50</f>
        <v>321509.080649367</v>
      </c>
      <c r="K60" s="13" t="n">
        <f aca="false">K58*K50</f>
        <v>343535.872983217</v>
      </c>
      <c r="L60" s="13" t="n">
        <f aca="false">L58*L50</f>
        <v>363630.874585677</v>
      </c>
      <c r="M60" s="13" t="n">
        <f aca="false">M58*M50</f>
        <v>385448.727060817</v>
      </c>
      <c r="N60" s="40" t="n">
        <f aca="false">N58*N50</f>
        <v>404721.163413858</v>
      </c>
    </row>
    <row r="61" customFormat="false" ht="15" hidden="false" customHeight="false" outlineLevel="0" collapsed="false">
      <c r="A61" s="8" t="s">
        <v>46</v>
      </c>
      <c r="B61" s="37" t="n">
        <f aca="false">B60/B58</f>
        <v>0.446442995732737</v>
      </c>
      <c r="C61" s="37" t="n">
        <f aca="false">C60/C58</f>
        <v>0.456219562408599</v>
      </c>
      <c r="D61" s="37" t="n">
        <f aca="false">D60/D58</f>
        <v>0.467808184089272</v>
      </c>
      <c r="E61" s="37" t="n">
        <f aca="false">E60/E58</f>
        <v>0.46</v>
      </c>
      <c r="F61" s="37" t="n">
        <f aca="false">F60/F58</f>
        <v>0.465</v>
      </c>
      <c r="G61" s="37" t="n">
        <f aca="false">G60/G58</f>
        <v>0.47</v>
      </c>
      <c r="H61" s="37" t="n">
        <f aca="false">H60/H58</f>
        <v>0.47</v>
      </c>
      <c r="I61" s="37" t="n">
        <f aca="false">I60/I58</f>
        <v>0.47</v>
      </c>
      <c r="J61" s="37" t="n">
        <f aca="false">J60/J58</f>
        <v>0.47</v>
      </c>
      <c r="K61" s="37" t="n">
        <f aca="false">K60/K58</f>
        <v>0.465</v>
      </c>
      <c r="L61" s="37" t="n">
        <f aca="false">L60/L58</f>
        <v>0.46</v>
      </c>
      <c r="M61" s="37" t="n">
        <f aca="false">M60/M58</f>
        <v>0.46</v>
      </c>
      <c r="N61" s="38" t="n">
        <f aca="false">N60/N58</f>
        <v>0.46</v>
      </c>
    </row>
    <row r="62" customFormat="false" ht="15" hidden="false" customHeight="false" outlineLevel="0" collapsed="false">
      <c r="A62" s="8" t="s">
        <v>47</v>
      </c>
      <c r="B62" s="10"/>
      <c r="C62" s="10"/>
      <c r="D62" s="10"/>
      <c r="E62" s="13" t="n">
        <f aca="false">E60*$B$13</f>
        <v>33643.165176</v>
      </c>
      <c r="F62" s="13" t="n">
        <f aca="false">F60*$B$13</f>
        <v>39110.1795171</v>
      </c>
      <c r="G62" s="13" t="n">
        <f aca="false">G60*$B$13</f>
        <v>44669.712562434</v>
      </c>
      <c r="H62" s="13" t="n">
        <f aca="false">H60*$B$13</f>
        <v>50030.0780699261</v>
      </c>
      <c r="I62" s="13" t="n">
        <f aca="false">I60*$B$13</f>
        <v>55533.386657618</v>
      </c>
      <c r="J62" s="13" t="n">
        <f aca="false">J60*$B$13</f>
        <v>61086.7253233797</v>
      </c>
      <c r="K62" s="13" t="n">
        <f aca="false">K60*$B$13</f>
        <v>65271.8158668113</v>
      </c>
      <c r="L62" s="13" t="n">
        <f aca="false">L60*$B$13</f>
        <v>69089.8661712786</v>
      </c>
      <c r="M62" s="13" t="n">
        <f aca="false">M60*$B$13</f>
        <v>73235.2581415553</v>
      </c>
      <c r="N62" s="40" t="n">
        <f aca="false">N60*$B$13</f>
        <v>76897.0210486331</v>
      </c>
    </row>
    <row r="63" customFormat="false" ht="15" hidden="false" customHeight="false" outlineLevel="0" collapsed="false">
      <c r="A63" s="8" t="s">
        <v>48</v>
      </c>
      <c r="B63" s="10"/>
      <c r="C63" s="10"/>
      <c r="D63" s="10"/>
      <c r="E63" s="13" t="n">
        <f aca="false">E60-E62</f>
        <v>143426.125224</v>
      </c>
      <c r="F63" s="13" t="n">
        <f aca="false">F60-F62</f>
        <v>166732.8705729</v>
      </c>
      <c r="G63" s="13" t="n">
        <f aca="false">G60-G62</f>
        <v>190434.037766166</v>
      </c>
      <c r="H63" s="13" t="n">
        <f aca="false">H60-H62</f>
        <v>213286.122298106</v>
      </c>
      <c r="I63" s="13" t="n">
        <f aca="false">I60-I62</f>
        <v>236747.595750898</v>
      </c>
      <c r="J63" s="13" t="n">
        <f aca="false">J60-J62</f>
        <v>260422.355325987</v>
      </c>
      <c r="K63" s="13" t="n">
        <f aca="false">K60-K62</f>
        <v>278264.057116406</v>
      </c>
      <c r="L63" s="13" t="n">
        <f aca="false">L60-L62</f>
        <v>294541.008414398</v>
      </c>
      <c r="M63" s="13" t="n">
        <f aca="false">M60-M62</f>
        <v>312213.468919262</v>
      </c>
      <c r="N63" s="40" t="n">
        <f aca="false">N60-N62</f>
        <v>327824.142365225</v>
      </c>
    </row>
    <row r="64" customFormat="false" ht="15" hidden="false" customHeight="false" outlineLevel="0" collapsed="false">
      <c r="A64" s="8" t="s">
        <v>49</v>
      </c>
      <c r="B64" s="14" t="n">
        <v>22287</v>
      </c>
      <c r="C64" s="14" t="n">
        <v>34153</v>
      </c>
      <c r="D64" s="14" t="n">
        <v>39000</v>
      </c>
      <c r="E64" s="13" t="n">
        <f aca="false">E58*E51</f>
        <v>53890.6536</v>
      </c>
      <c r="F64" s="13" t="n">
        <f aca="false">F58*F51</f>
        <v>66400.9839</v>
      </c>
      <c r="G64" s="13" t="n">
        <f aca="false">G58*G51</f>
        <v>77534.2155339</v>
      </c>
      <c r="H64" s="13" t="n">
        <f aca="false">H58*H51</f>
        <v>89639.557572096</v>
      </c>
      <c r="I64" s="13" t="n">
        <f aca="false">I58*I51</f>
        <v>99499.9089050266</v>
      </c>
      <c r="J64" s="13" t="n">
        <f aca="false">J58*J51</f>
        <v>109449.899795529</v>
      </c>
      <c r="K64" s="13" t="n">
        <f aca="false">K58*K51</f>
        <v>114511.957661072</v>
      </c>
      <c r="L64" s="13" t="n">
        <f aca="false">L58*L51</f>
        <v>118575.285190981</v>
      </c>
      <c r="M64" s="13" t="n">
        <f aca="false">M58*M51</f>
        <v>121500.142225692</v>
      </c>
      <c r="N64" s="40" t="n">
        <f aca="false">N58*N51</f>
        <v>123176.006256392</v>
      </c>
    </row>
    <row r="65" customFormat="false" ht="15" hidden="false" customHeight="false" outlineLevel="0" collapsed="false">
      <c r="A65" s="8" t="s">
        <v>50</v>
      </c>
      <c r="B65" s="37" t="n">
        <f aca="false">B64/B58</f>
        <v>0.0909220714582942</v>
      </c>
      <c r="C65" s="37" t="n">
        <f aca="false">C64/C58</f>
        <v>0.121228578324885</v>
      </c>
      <c r="D65" s="37" t="n">
        <f aca="false">D64/D58</f>
        <v>0.117526872971531</v>
      </c>
      <c r="E65" s="37" t="n">
        <f aca="false">E64/E58</f>
        <v>0.14</v>
      </c>
      <c r="F65" s="37" t="n">
        <f aca="false">F64/F58</f>
        <v>0.15</v>
      </c>
      <c r="G65" s="37" t="n">
        <f aca="false">G64/G58</f>
        <v>0.155</v>
      </c>
      <c r="H65" s="37" t="n">
        <f aca="false">H64/H58</f>
        <v>0.16</v>
      </c>
      <c r="I65" s="37" t="n">
        <f aca="false">I64/I58</f>
        <v>0.16</v>
      </c>
      <c r="J65" s="37" t="n">
        <f aca="false">J64/J58</f>
        <v>0.16</v>
      </c>
      <c r="K65" s="37" t="n">
        <f aca="false">K64/K58</f>
        <v>0.155</v>
      </c>
      <c r="L65" s="37" t="n">
        <f aca="false">L64/L58</f>
        <v>0.15</v>
      </c>
      <c r="M65" s="37" t="n">
        <f aca="false">M64/M58</f>
        <v>0.145</v>
      </c>
      <c r="N65" s="38" t="n">
        <f aca="false">N64/N58</f>
        <v>0.14</v>
      </c>
    </row>
    <row r="66" customFormat="false" ht="15" hidden="false" customHeight="false" outlineLevel="0" collapsed="false">
      <c r="A66" s="8" t="s">
        <v>51</v>
      </c>
      <c r="B66" s="14" t="n">
        <v>44477</v>
      </c>
      <c r="C66" s="14" t="n">
        <v>64551</v>
      </c>
      <c r="D66" s="14" t="n">
        <v>115948</v>
      </c>
      <c r="E66" s="13" t="n">
        <f aca="false">E58*E52</f>
        <v>138575.9664</v>
      </c>
      <c r="F66" s="13" t="n">
        <f aca="false">F58*F52</f>
        <v>141655.43232</v>
      </c>
      <c r="G66" s="13" t="n">
        <f aca="false">G58*G52</f>
        <v>135059.6012526</v>
      </c>
      <c r="H66" s="13" t="n">
        <f aca="false">H58*H52</f>
        <v>134459.336358144</v>
      </c>
      <c r="I66" s="13" t="n">
        <f aca="false">I58*I52</f>
        <v>136812.374744412</v>
      </c>
      <c r="J66" s="13" t="n">
        <f aca="false">J58*J52</f>
        <v>136812.374744412</v>
      </c>
      <c r="K66" s="13" t="n">
        <f aca="false">K58*K52</f>
        <v>136675.562369667</v>
      </c>
      <c r="L66" s="13" t="n">
        <f aca="false">L58*L52</f>
        <v>134385.323216446</v>
      </c>
      <c r="M66" s="13" t="n">
        <f aca="false">M58*M52</f>
        <v>134069.122455936</v>
      </c>
      <c r="N66" s="40" t="n">
        <f aca="false">N58*N52</f>
        <v>136373.435498148</v>
      </c>
    </row>
    <row r="67" customFormat="false" ht="15" hidden="false" customHeight="false" outlineLevel="0" collapsed="false">
      <c r="A67" s="8" t="s">
        <v>50</v>
      </c>
      <c r="B67" s="37" t="n">
        <f aca="false">B66/B58</f>
        <v>0.181448421602304</v>
      </c>
      <c r="C67" s="37" t="n">
        <f aca="false">C66/C58</f>
        <v>0.229128508753248</v>
      </c>
      <c r="D67" s="37" t="n">
        <f aca="false">D66/D58</f>
        <v>0.349410406853926</v>
      </c>
      <c r="E67" s="37" t="n">
        <f aca="false">E66/E58</f>
        <v>0.36</v>
      </c>
      <c r="F67" s="37" t="n">
        <f aca="false">F66/F58</f>
        <v>0.32</v>
      </c>
      <c r="G67" s="37" t="n">
        <f aca="false">G66/G58</f>
        <v>0.27</v>
      </c>
      <c r="H67" s="37" t="n">
        <f aca="false">H66/H58</f>
        <v>0.24</v>
      </c>
      <c r="I67" s="37" t="n">
        <f aca="false">I66/I58</f>
        <v>0.22</v>
      </c>
      <c r="J67" s="37" t="n">
        <f aca="false">J66/J58</f>
        <v>0.2</v>
      </c>
      <c r="K67" s="37" t="n">
        <f aca="false">K66/K58</f>
        <v>0.185</v>
      </c>
      <c r="L67" s="37" t="n">
        <f aca="false">L66/L58</f>
        <v>0.17</v>
      </c>
      <c r="M67" s="37" t="n">
        <f aca="false">M66/M58</f>
        <v>0.16</v>
      </c>
      <c r="N67" s="38" t="n">
        <f aca="false">N66/N58</f>
        <v>0.155</v>
      </c>
    </row>
    <row r="68" customFormat="false" ht="15" hidden="false" customHeight="false" outlineLevel="0" collapsed="false">
      <c r="A68" s="8" t="s">
        <v>52</v>
      </c>
      <c r="B68" s="10"/>
      <c r="C68" s="10"/>
      <c r="D68" s="10"/>
      <c r="E68" s="13" t="n">
        <f aca="false">(E58-D58)*$B$14</f>
        <v>2654.712</v>
      </c>
      <c r="F68" s="13" t="n">
        <f aca="false">(F58-E58)*$B$14</f>
        <v>2886.9993</v>
      </c>
      <c r="G68" s="13" t="n">
        <f aca="false">(G58-F58)*$B$14</f>
        <v>2877.375969</v>
      </c>
      <c r="H68" s="13" t="n">
        <f aca="false">(H58-G58)*$B$14</f>
        <v>3001.32447228</v>
      </c>
      <c r="I68" s="13" t="n">
        <f aca="false">(I58-H58)*$B$14</f>
        <v>3081.3597915408</v>
      </c>
      <c r="J68" s="13" t="n">
        <f aca="false">(J58-I58)*$B$14</f>
        <v>3109.37215328208</v>
      </c>
      <c r="K68" s="13" t="n">
        <f aca="false">(K58-J58)*$B$14</f>
        <v>2736.24749488824</v>
      </c>
      <c r="L68" s="13" t="n">
        <f aca="false">(L58-K58)*$B$14</f>
        <v>2585.75388266938</v>
      </c>
      <c r="M68" s="13" t="n">
        <f aca="false">(M58-L58)*$B$14</f>
        <v>2371.50570381963</v>
      </c>
      <c r="N68" s="40" t="n">
        <f aca="false">(N58-M58)*$B$14</f>
        <v>2094.83003837401</v>
      </c>
    </row>
    <row r="69" customFormat="false" ht="15" hidden="false" customHeight="false" outlineLevel="0" collapsed="false">
      <c r="A69" s="8" t="s">
        <v>53</v>
      </c>
      <c r="B69" s="10"/>
      <c r="C69" s="10"/>
      <c r="D69" s="10"/>
      <c r="E69" s="41" t="n">
        <f aca="false">E63+E64-E66-E68</f>
        <v>56086.100424</v>
      </c>
      <c r="F69" s="41" t="n">
        <f aca="false">F63+F64-F66-F68</f>
        <v>88591.4228529</v>
      </c>
      <c r="G69" s="41" t="n">
        <f aca="false">G63+G64-G66-G68</f>
        <v>130031.276078466</v>
      </c>
      <c r="H69" s="41" t="n">
        <f aca="false">H63+H64-H66-H68</f>
        <v>165465.019039778</v>
      </c>
      <c r="I69" s="41" t="n">
        <f aca="false">I63+I64-I66-I68</f>
        <v>196353.770119972</v>
      </c>
      <c r="J69" s="41" t="n">
        <f aca="false">J63+J64-J66-J68</f>
        <v>229950.508223823</v>
      </c>
      <c r="K69" s="41" t="n">
        <f aca="false">K63+K64-K66-K68</f>
        <v>253364.204912923</v>
      </c>
      <c r="L69" s="41" t="n">
        <f aca="false">L63+L64-L66-L68</f>
        <v>276145.216506264</v>
      </c>
      <c r="M69" s="41" t="n">
        <f aca="false">M63+M64-M66-M68</f>
        <v>297272.982985198</v>
      </c>
      <c r="N69" s="42" t="n">
        <f aca="false">N63+N64-N66-N68</f>
        <v>312531.883085095</v>
      </c>
    </row>
    <row r="70" customFormat="false" ht="15" hidden="false" customHeight="false" outlineLevel="0" collapsed="false">
      <c r="A70" s="8" t="s">
        <v>54</v>
      </c>
      <c r="B70" s="14" t="n">
        <v>118548</v>
      </c>
      <c r="C70" s="14" t="n">
        <v>136162</v>
      </c>
      <c r="D70" s="14" t="n">
        <v>182935</v>
      </c>
      <c r="E70" s="10"/>
      <c r="F70" s="10"/>
      <c r="G70" s="10"/>
      <c r="H70" s="10"/>
      <c r="I70" s="10"/>
      <c r="J70" s="10"/>
      <c r="K70" s="10"/>
      <c r="L70" s="10"/>
      <c r="M70" s="10"/>
      <c r="N70" s="11"/>
    </row>
    <row r="71" customFormat="false" ht="15" hidden="false" customHeight="false" outlineLevel="0" collapsed="false">
      <c r="A71" s="8" t="s">
        <v>55</v>
      </c>
      <c r="B71" s="13" t="n">
        <f aca="false">B70-B66</f>
        <v>74071</v>
      </c>
      <c r="C71" s="13" t="n">
        <f aca="false">C70-C66</f>
        <v>71611</v>
      </c>
      <c r="D71" s="13" t="n">
        <f aca="false">D70-D66</f>
        <v>66987</v>
      </c>
      <c r="E71" s="10"/>
      <c r="F71" s="10"/>
      <c r="G71" s="10"/>
      <c r="H71" s="10"/>
      <c r="I71" s="10"/>
      <c r="J71" s="10"/>
      <c r="K71" s="10"/>
      <c r="L71" s="10"/>
      <c r="M71" s="10"/>
      <c r="N71" s="11"/>
    </row>
    <row r="72" customFormat="false" ht="15" hidden="false" customHeight="false" outlineLevel="0" collapsed="false">
      <c r="A72" s="18" t="s">
        <v>56</v>
      </c>
      <c r="B72" s="43" t="n">
        <f aca="false">B60+B64</f>
        <v>131720</v>
      </c>
      <c r="C72" s="43" t="n">
        <f aca="false">C60+C64</f>
        <v>162681</v>
      </c>
      <c r="D72" s="43" t="n">
        <f aca="false">D60+D64</f>
        <v>194237</v>
      </c>
      <c r="E72" s="43" t="n">
        <f aca="false">E60+E64</f>
        <v>230959.944</v>
      </c>
      <c r="F72" s="43" t="n">
        <f aca="false">F60+F64</f>
        <v>272244.03399</v>
      </c>
      <c r="G72" s="43" t="n">
        <f aca="false">G60+G64</f>
        <v>312637.9658625</v>
      </c>
      <c r="H72" s="43" t="n">
        <f aca="false">H60+H64</f>
        <v>352955.757940128</v>
      </c>
      <c r="I72" s="43" t="n">
        <f aca="false">I60+I64</f>
        <v>391780.891313542</v>
      </c>
      <c r="J72" s="43" t="n">
        <f aca="false">J60+J64</f>
        <v>430958.980444896</v>
      </c>
      <c r="K72" s="43" t="n">
        <f aca="false">K60+K64</f>
        <v>458047.83064429</v>
      </c>
      <c r="L72" s="43" t="n">
        <f aca="false">L60+L64</f>
        <v>482206.159776658</v>
      </c>
      <c r="M72" s="43" t="n">
        <f aca="false">M60+M64</f>
        <v>506948.86928651</v>
      </c>
      <c r="N72" s="44" t="n">
        <f aca="false">N60+N64</f>
        <v>527897.16967025</v>
      </c>
    </row>
    <row r="74" customFormat="false" ht="15" hidden="false" customHeight="false" outlineLevel="0" collapsed="false">
      <c r="A74" s="4" t="s">
        <v>57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6"/>
    </row>
    <row r="75" customFormat="false" ht="15" hidden="false" customHeight="false" outlineLevel="0" collapsed="false">
      <c r="A75" s="35"/>
      <c r="B75" s="26"/>
      <c r="C75" s="26" t="s">
        <v>58</v>
      </c>
      <c r="D75" s="26"/>
      <c r="E75" s="26" t="s">
        <v>18</v>
      </c>
      <c r="F75" s="26" t="s">
        <v>19</v>
      </c>
      <c r="G75" s="26" t="s">
        <v>20</v>
      </c>
      <c r="H75" s="26" t="s">
        <v>21</v>
      </c>
      <c r="I75" s="26" t="s">
        <v>22</v>
      </c>
      <c r="J75" s="26" t="s">
        <v>23</v>
      </c>
      <c r="K75" s="26" t="s">
        <v>24</v>
      </c>
      <c r="L75" s="26" t="s">
        <v>25</v>
      </c>
      <c r="M75" s="26" t="s">
        <v>26</v>
      </c>
      <c r="N75" s="36" t="s">
        <v>27</v>
      </c>
    </row>
    <row r="76" customFormat="false" ht="15" hidden="false" customHeight="false" outlineLevel="0" collapsed="false">
      <c r="A76" s="8" t="s">
        <v>59</v>
      </c>
      <c r="B76" s="10"/>
      <c r="C76" s="10"/>
      <c r="D76" s="10"/>
      <c r="E76" s="45" t="n">
        <f aca="false">0.5</f>
        <v>0.5</v>
      </c>
      <c r="F76" s="46" t="n">
        <f aca="false">E76+1</f>
        <v>1.5</v>
      </c>
      <c r="G76" s="46" t="n">
        <f aca="false">F76+1</f>
        <v>2.5</v>
      </c>
      <c r="H76" s="46" t="n">
        <f aca="false">G76+1</f>
        <v>3.5</v>
      </c>
      <c r="I76" s="46" t="n">
        <f aca="false">H76+1</f>
        <v>4.5</v>
      </c>
      <c r="J76" s="46" t="n">
        <f aca="false">I76+1</f>
        <v>5.5</v>
      </c>
      <c r="K76" s="46" t="n">
        <f aca="false">J76+1</f>
        <v>6.5</v>
      </c>
      <c r="L76" s="46" t="n">
        <f aca="false">K76+1</f>
        <v>7.5</v>
      </c>
      <c r="M76" s="46" t="n">
        <f aca="false">L76+1</f>
        <v>8.5</v>
      </c>
      <c r="N76" s="47" t="n">
        <f aca="false">M76+1</f>
        <v>9.5</v>
      </c>
    </row>
    <row r="77" customFormat="false" ht="15" hidden="false" customHeight="false" outlineLevel="0" collapsed="false">
      <c r="A77" s="8" t="s">
        <v>60</v>
      </c>
      <c r="B77" s="10"/>
      <c r="C77" s="10"/>
      <c r="D77" s="10"/>
      <c r="E77" s="48" t="n">
        <f aca="false">1/(1+$E$53)^E76</f>
        <v>0.950621242356626</v>
      </c>
      <c r="F77" s="48" t="n">
        <f aca="false">1/(1+$E$53)^F76</f>
        <v>0.859058113855214</v>
      </c>
      <c r="G77" s="48" t="n">
        <f aca="false">1/(1+$E$53)^G76</f>
        <v>0.77631427754654</v>
      </c>
      <c r="H77" s="48" t="n">
        <f aca="false">1/(1+$E$53)^H76</f>
        <v>0.701540265789492</v>
      </c>
      <c r="I77" s="48" t="n">
        <f aca="false">1/(1+$E$53)^I76</f>
        <v>0.63396843103209</v>
      </c>
      <c r="J77" s="48" t="n">
        <f aca="false">1/(1+$E$53)^J76</f>
        <v>0.572905064961577</v>
      </c>
      <c r="K77" s="48" t="n">
        <f aca="false">1/(1+$E$53)^K76</f>
        <v>0.517723276732078</v>
      </c>
      <c r="L77" s="48" t="n">
        <f aca="false">1/(1+$E$53)^L76</f>
        <v>0.467856557156073</v>
      </c>
      <c r="M77" s="48" t="n">
        <f aca="false">1/(1+$E$53)^M76</f>
        <v>0.42279296278813</v>
      </c>
      <c r="N77" s="49" t="n">
        <f aca="false">1/(1+$E$53)^N76</f>
        <v>0.382069860193354</v>
      </c>
    </row>
    <row r="78" customFormat="false" ht="15" hidden="false" customHeight="false" outlineLevel="0" collapsed="false">
      <c r="A78" s="18" t="s">
        <v>61</v>
      </c>
      <c r="B78" s="20"/>
      <c r="C78" s="20"/>
      <c r="D78" s="20"/>
      <c r="E78" s="43" t="n">
        <f aca="false">E69*E77</f>
        <v>53316.6384640013</v>
      </c>
      <c r="F78" s="43" t="n">
        <f aca="false">F69*F77</f>
        <v>76105.180619762</v>
      </c>
      <c r="G78" s="43" t="n">
        <f aca="false">G69*G77</f>
        <v>100945.136147309</v>
      </c>
      <c r="H78" s="43" t="n">
        <f aca="false">H69*H77</f>
        <v>116080.373436029</v>
      </c>
      <c r="I78" s="43" t="n">
        <f aca="false">I69*I77</f>
        <v>124482.091570194</v>
      </c>
      <c r="J78" s="43" t="n">
        <f aca="false">J69*J77</f>
        <v>131739.810851917</v>
      </c>
      <c r="K78" s="43" t="n">
        <f aca="false">K69*K77</f>
        <v>131172.546374136</v>
      </c>
      <c r="L78" s="43" t="n">
        <f aca="false">L69*L77</f>
        <v>129196.350269739</v>
      </c>
      <c r="M78" s="43" t="n">
        <f aca="false">M69*M77</f>
        <v>125684.925233177</v>
      </c>
      <c r="N78" s="44" t="n">
        <f aca="false">N69*N77</f>
        <v>119409.012876288</v>
      </c>
    </row>
    <row r="80" customFormat="false" ht="15" hidden="false" customHeight="false" outlineLevel="0" collapsed="false">
      <c r="A80" s="4" t="s">
        <v>62</v>
      </c>
      <c r="B80" s="5"/>
      <c r="C80" s="5"/>
      <c r="D80" s="6"/>
    </row>
    <row r="81" customFormat="false" ht="15" hidden="false" customHeight="false" outlineLevel="0" collapsed="false">
      <c r="A81" s="8" t="s">
        <v>63</v>
      </c>
      <c r="B81" s="13" t="n">
        <f aca="false">N69*(1+E54)</f>
        <v>321907.839577648</v>
      </c>
      <c r="C81" s="10"/>
      <c r="D81" s="11"/>
    </row>
    <row r="82" customFormat="false" ht="15" hidden="false" customHeight="false" outlineLevel="0" collapsed="false">
      <c r="A82" s="8" t="s">
        <v>64</v>
      </c>
      <c r="B82" s="13" t="n">
        <f aca="false">B81/(E53-E54)</f>
        <v>4203248.51258766</v>
      </c>
      <c r="C82" s="10"/>
      <c r="D82" s="11"/>
    </row>
    <row r="83" customFormat="false" ht="15" hidden="false" customHeight="false" outlineLevel="0" collapsed="false">
      <c r="A83" s="8" t="s">
        <v>65</v>
      </c>
      <c r="B83" s="13" t="n">
        <f aca="false">B82*N77</f>
        <v>1605934.57156229</v>
      </c>
      <c r="C83" s="10"/>
      <c r="D83" s="11"/>
    </row>
    <row r="84" customFormat="false" ht="15" hidden="false" customHeight="false" outlineLevel="0" collapsed="false">
      <c r="A84" s="8" t="s">
        <v>66</v>
      </c>
      <c r="B84" s="50" t="n">
        <f aca="false">B82/N72</f>
        <v>7.96224862355904</v>
      </c>
      <c r="C84" s="10"/>
      <c r="D84" s="11"/>
    </row>
    <row r="85" customFormat="false" ht="15" hidden="false" customHeight="false" outlineLevel="0" collapsed="false">
      <c r="A85" s="8" t="s">
        <v>67</v>
      </c>
      <c r="B85" s="13" t="n">
        <f aca="false">N72*B16</f>
        <v>9013415.47471163</v>
      </c>
      <c r="C85" s="10"/>
      <c r="D85" s="11"/>
    </row>
    <row r="86" customFormat="false" ht="15" hidden="false" customHeight="false" outlineLevel="0" collapsed="false">
      <c r="A86" s="18" t="s">
        <v>68</v>
      </c>
      <c r="B86" s="43" t="n">
        <f aca="false">B85*N77</f>
        <v>3443754.39028769</v>
      </c>
      <c r="C86" s="20"/>
      <c r="D86" s="21"/>
    </row>
    <row r="88" customFormat="false" ht="15" hidden="false" customHeight="false" outlineLevel="0" collapsed="false">
      <c r="A88" s="4" t="s">
        <v>69</v>
      </c>
      <c r="B88" s="5"/>
      <c r="C88" s="5"/>
      <c r="D88" s="6"/>
    </row>
    <row r="89" customFormat="false" ht="15" hidden="false" customHeight="false" outlineLevel="0" collapsed="false">
      <c r="A89" s="8" t="s">
        <v>70</v>
      </c>
      <c r="B89" s="13" t="n">
        <f aca="false">SUM(E78:N78)</f>
        <v>1108132.06584255</v>
      </c>
      <c r="C89" s="10"/>
      <c r="D89" s="11"/>
    </row>
    <row r="90" customFormat="false" ht="15" hidden="false" customHeight="false" outlineLevel="0" collapsed="false">
      <c r="A90" s="8" t="s">
        <v>65</v>
      </c>
      <c r="B90" s="13" t="n">
        <f aca="false">B83</f>
        <v>1605934.57156229</v>
      </c>
      <c r="C90" s="10"/>
      <c r="D90" s="11"/>
    </row>
    <row r="91" customFormat="false" ht="15" hidden="false" customHeight="false" outlineLevel="0" collapsed="false">
      <c r="A91" s="51" t="s">
        <v>71</v>
      </c>
      <c r="B91" s="52" t="n">
        <f aca="false">B89+B90</f>
        <v>2714066.63740484</v>
      </c>
      <c r="C91" s="10"/>
      <c r="D91" s="11"/>
    </row>
    <row r="92" customFormat="false" ht="15" hidden="false" customHeight="false" outlineLevel="0" collapsed="false">
      <c r="A92" s="8" t="s">
        <v>72</v>
      </c>
      <c r="B92" s="37" t="n">
        <f aca="false">B90/B91</f>
        <v>0.591707863554104</v>
      </c>
      <c r="C92" s="10"/>
      <c r="D92" s="11"/>
    </row>
    <row r="93" customFormat="false" ht="15" hidden="false" customHeight="false" outlineLevel="0" collapsed="false">
      <c r="A93" s="8" t="s">
        <v>73</v>
      </c>
      <c r="B93" s="13" t="n">
        <f aca="false">-B12</f>
        <v>36549</v>
      </c>
      <c r="C93" s="10"/>
      <c r="D93" s="11"/>
    </row>
    <row r="94" customFormat="false" ht="15" hidden="false" customHeight="false" outlineLevel="0" collapsed="false">
      <c r="A94" s="51" t="s">
        <v>74</v>
      </c>
      <c r="B94" s="52" t="n">
        <f aca="false">B91+B93</f>
        <v>2750615.63740484</v>
      </c>
      <c r="C94" s="10"/>
      <c r="D94" s="11"/>
    </row>
    <row r="95" customFormat="false" ht="15" hidden="false" customHeight="false" outlineLevel="0" collapsed="false">
      <c r="A95" s="8" t="s">
        <v>5</v>
      </c>
      <c r="B95" s="53" t="n">
        <f aca="false">B8</f>
        <v>7453</v>
      </c>
      <c r="C95" s="10"/>
      <c r="D95" s="11"/>
    </row>
    <row r="96" customFormat="false" ht="15" hidden="false" customHeight="false" outlineLevel="0" collapsed="false">
      <c r="A96" s="51" t="s">
        <v>75</v>
      </c>
      <c r="B96" s="54" t="n">
        <f aca="false">B94/B95</f>
        <v>369.061537287649</v>
      </c>
      <c r="C96" s="10"/>
      <c r="D96" s="11"/>
    </row>
    <row r="97" customFormat="false" ht="15" hidden="false" customHeight="false" outlineLevel="0" collapsed="false">
      <c r="A97" s="8" t="s">
        <v>4</v>
      </c>
      <c r="B97" s="55" t="n">
        <f aca="false">B7</f>
        <v>533.69</v>
      </c>
      <c r="C97" s="10"/>
      <c r="D97" s="11"/>
    </row>
    <row r="98" customFormat="false" ht="15" hidden="false" customHeight="false" outlineLevel="0" collapsed="false">
      <c r="A98" s="51" t="s">
        <v>76</v>
      </c>
      <c r="B98" s="56" t="n">
        <f aca="false">B96/B97-1</f>
        <v>-0.308472076884243</v>
      </c>
      <c r="C98" s="10"/>
      <c r="D98" s="11"/>
    </row>
    <row r="99" customFormat="false" ht="15" hidden="false" customHeight="false" outlineLevel="0" collapsed="false">
      <c r="A99" s="8" t="s">
        <v>77</v>
      </c>
      <c r="B99" s="50" t="n">
        <f aca="false">B91/D72</f>
        <v>13.972964148977</v>
      </c>
      <c r="C99" s="10"/>
      <c r="D99" s="11"/>
    </row>
    <row r="100" customFormat="false" ht="15" hidden="false" customHeight="false" outlineLevel="0" collapsed="false">
      <c r="A100" s="8" t="s">
        <v>78</v>
      </c>
      <c r="B100" s="50" t="n">
        <f aca="false">B16</f>
        <v>17.074187914934</v>
      </c>
      <c r="C100" s="10"/>
      <c r="D100" s="11"/>
    </row>
    <row r="101" customFormat="false" ht="15" hidden="false" customHeight="false" outlineLevel="0" collapsed="false">
      <c r="A101" s="8" t="s">
        <v>79</v>
      </c>
      <c r="B101" s="37" t="n">
        <f aca="false">B99/B100-1</f>
        <v>-0.181632285026247</v>
      </c>
      <c r="C101" s="10"/>
      <c r="D101" s="11"/>
    </row>
    <row r="102" customFormat="false" ht="15" hidden="false" customHeight="false" outlineLevel="0" collapsed="false">
      <c r="A102" s="8" t="s">
        <v>80</v>
      </c>
      <c r="B102" s="50" t="n">
        <f aca="false">B96/B17</f>
        <v>20.5605313252172</v>
      </c>
      <c r="C102" s="10"/>
      <c r="D102" s="11"/>
    </row>
    <row r="103" customFormat="false" ht="15" hidden="false" customHeight="false" outlineLevel="0" collapsed="false">
      <c r="A103" s="8" t="s">
        <v>81</v>
      </c>
      <c r="B103" s="55" t="n">
        <f aca="false">(B89+B86-B12)/B8</f>
        <v>615.649464125888</v>
      </c>
      <c r="C103" s="10"/>
      <c r="D103" s="11"/>
    </row>
    <row r="104" customFormat="false" ht="15" hidden="false" customHeight="false" outlineLevel="0" collapsed="false">
      <c r="A104" s="18" t="s">
        <v>82</v>
      </c>
      <c r="B104" s="57" t="n">
        <f aca="false">(B9+B12)/D72</f>
        <v>20.2898653191719</v>
      </c>
      <c r="C104" s="20"/>
      <c r="D104" s="21"/>
    </row>
    <row r="106" customFormat="false" ht="15" hidden="false" customHeight="false" outlineLevel="0" collapsed="false">
      <c r="A106" s="4" t="s">
        <v>83</v>
      </c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6"/>
    </row>
    <row r="107" customFormat="false" ht="15" hidden="false" customHeight="false" outlineLevel="0" collapsed="false">
      <c r="A107" s="35" t="s">
        <v>84</v>
      </c>
      <c r="B107" s="26"/>
      <c r="C107" s="26"/>
      <c r="D107" s="26"/>
      <c r="E107" s="26" t="s">
        <v>18</v>
      </c>
      <c r="F107" s="26" t="s">
        <v>19</v>
      </c>
      <c r="G107" s="26" t="s">
        <v>20</v>
      </c>
      <c r="H107" s="26" t="s">
        <v>21</v>
      </c>
      <c r="I107" s="26" t="s">
        <v>22</v>
      </c>
      <c r="J107" s="26" t="s">
        <v>23</v>
      </c>
      <c r="K107" s="26" t="s">
        <v>24</v>
      </c>
      <c r="L107" s="26" t="s">
        <v>25</v>
      </c>
      <c r="M107" s="26" t="s">
        <v>26</v>
      </c>
      <c r="N107" s="36" t="s">
        <v>27</v>
      </c>
    </row>
    <row r="108" customFormat="false" ht="15" hidden="false" customHeight="false" outlineLevel="0" collapsed="false">
      <c r="A108" s="8" t="s">
        <v>85</v>
      </c>
      <c r="B108" s="10"/>
      <c r="C108" s="10"/>
      <c r="D108" s="10"/>
      <c r="E108" s="13" t="n">
        <f aca="false">$D$58*(1+E22)</f>
        <v>371659.68</v>
      </c>
      <c r="F108" s="13" t="n">
        <f aca="false">E108*(1+F22)</f>
        <v>408825.648</v>
      </c>
      <c r="G108" s="13" t="n">
        <f aca="false">F108*(1+G22)</f>
        <v>445619.95632</v>
      </c>
      <c r="H108" s="13" t="n">
        <f aca="false">G108*(1+H22)</f>
        <v>481269.5528256</v>
      </c>
      <c r="I108" s="13" t="n">
        <f aca="false">H108*(1+I22)</f>
        <v>514958.421523392</v>
      </c>
      <c r="J108" s="13" t="n">
        <f aca="false">I108*(1+J22)</f>
        <v>545855.926814796</v>
      </c>
      <c r="K108" s="13" t="n">
        <f aca="false">J108*(1+K22)</f>
        <v>573148.723155536</v>
      </c>
      <c r="L108" s="13" t="n">
        <f aca="false">K108*(1+L22)</f>
        <v>598940.415697535</v>
      </c>
      <c r="M108" s="13" t="n">
        <f aca="false">L108*(1+M22)</f>
        <v>622898.032325436</v>
      </c>
      <c r="N108" s="40" t="n">
        <f aca="false">M108*(1+N22)</f>
        <v>644699.463456826</v>
      </c>
    </row>
    <row r="109" customFormat="false" ht="15" hidden="false" customHeight="false" outlineLevel="0" collapsed="false">
      <c r="A109" s="8" t="s">
        <v>86</v>
      </c>
      <c r="B109" s="10"/>
      <c r="C109" s="10"/>
      <c r="D109" s="10"/>
      <c r="E109" s="13" t="n">
        <f aca="false">E108*E23*(1-$B$13)+E108*E24-E108*E25-(E108-$D$58)*$B$14</f>
        <v>41270.152752</v>
      </c>
      <c r="F109" s="13" t="n">
        <f aca="false">F108*F23*(1-$B$13)+F108*F24-F108*F25-(F108-E108)*$B$14</f>
        <v>64514.5455528</v>
      </c>
      <c r="G109" s="13" t="n">
        <f aca="false">G108*G23*(1-$B$13)+G108*G24-G108*G25-(G108-F108)*$B$14</f>
        <v>93211.021267056</v>
      </c>
      <c r="H109" s="13" t="n">
        <f aca="false">H108*H23*(1-$B$13)+H108*H24-H108*H25-(H108-G108)*$B$14</f>
        <v>115767.608452373</v>
      </c>
      <c r="I109" s="13" t="n">
        <f aca="false">I108*I23*(1-$B$13)+I108*I24-I108*I25-(I108-H108)*$B$14</f>
        <v>137457.322060731</v>
      </c>
      <c r="J109" s="13" t="n">
        <f aca="false">J108*J23*(1-$B$13)+J108*J24-J108*J25-(J108-I108)*$B$14</f>
        <v>154651.798193484</v>
      </c>
      <c r="K109" s="13" t="n">
        <f aca="false">K108*K23*(1-$B$13)+K108*K24-K108*K25-(K108-J108)*$B$14</f>
        <v>166052.102216695</v>
      </c>
      <c r="L109" s="13" t="n">
        <f aca="false">L108*L23*(1-$B$13)+L108*L24-L108*L25-(L108-K108)*$B$14</f>
        <v>179650.314955125</v>
      </c>
      <c r="M109" s="13" t="n">
        <f aca="false">M108*M23*(1-$B$13)+M108*M24-M108*M25-(M108-L108)*$B$14</f>
        <v>190094.104895746</v>
      </c>
      <c r="N109" s="40" t="n">
        <f aca="false">N108*N23*(1-$B$13)+N108*N24-N108*N25-(N108-M108)*$B$14</f>
        <v>196897.133671022</v>
      </c>
    </row>
    <row r="110" customFormat="false" ht="15" hidden="false" customHeight="false" outlineLevel="0" collapsed="false">
      <c r="A110" s="8" t="s">
        <v>87</v>
      </c>
      <c r="B110" s="10"/>
      <c r="C110" s="10"/>
      <c r="D110" s="10"/>
      <c r="E110" s="48" t="n">
        <f aca="false">1/(1+$B$15+$E$26)^E$76</f>
        <v>0.948480847722328</v>
      </c>
      <c r="F110" s="48" t="n">
        <f aca="false">1/(1+$B$15+$E$26)^F$76</f>
        <v>0.85326846899965</v>
      </c>
      <c r="G110" s="48" t="n">
        <f aca="false">1/(1+$B$15+$E$26)^G$76</f>
        <v>0.767613897462853</v>
      </c>
      <c r="H110" s="48" t="n">
        <f aca="false">1/(1+$B$15+$E$26)^H$76</f>
        <v>0.69055768141639</v>
      </c>
      <c r="I110" s="48" t="n">
        <f aca="false">1/(1+$B$15+$E$26)^I$76</f>
        <v>0.62123668284192</v>
      </c>
      <c r="J110" s="48" t="n">
        <f aca="false">1/(1+$B$15+$E$26)^J$76</f>
        <v>0.558874409038283</v>
      </c>
      <c r="K110" s="48" t="n">
        <f aca="false">1/(1+$B$15+$E$26)^K$76</f>
        <v>0.502772314810921</v>
      </c>
      <c r="L110" s="48" t="n">
        <f aca="false">1/(1+$B$15+$E$26)^L$76</f>
        <v>0.45230197778302</v>
      </c>
      <c r="M110" s="48" t="n">
        <f aca="false">1/(1+$B$15+$E$26)^M$76</f>
        <v>0.406898059180859</v>
      </c>
      <c r="N110" s="49" t="n">
        <f aca="false">1/(1+$B$15+$E$26)^N$76</f>
        <v>0.366051971244256</v>
      </c>
    </row>
    <row r="111" customFormat="false" ht="15" hidden="false" customHeight="false" outlineLevel="0" collapsed="false">
      <c r="A111" s="8" t="s">
        <v>88</v>
      </c>
      <c r="B111" s="10"/>
      <c r="C111" s="10"/>
      <c r="D111" s="10"/>
      <c r="E111" s="13" t="n">
        <f aca="false">$D$58*(1+E31)</f>
        <v>384933.24</v>
      </c>
      <c r="F111" s="13" t="n">
        <f aca="false">E111*(1+F31)</f>
        <v>442673.226</v>
      </c>
      <c r="G111" s="13" t="n">
        <f aca="false">F111*(1+G31)</f>
        <v>500220.74538</v>
      </c>
      <c r="H111" s="13" t="n">
        <f aca="false">G111*(1+H31)</f>
        <v>560247.2348256</v>
      </c>
      <c r="I111" s="13" t="n">
        <f aca="false">H111*(1+I31)</f>
        <v>621874.430656416</v>
      </c>
      <c r="J111" s="13" t="n">
        <f aca="false">I111*(1+J31)</f>
        <v>684061.873722058</v>
      </c>
      <c r="K111" s="13" t="n">
        <f aca="false">J111*(1+K31)</f>
        <v>738786.823619822</v>
      </c>
      <c r="L111" s="13" t="n">
        <f aca="false">K111*(1+L31)</f>
        <v>790501.90127321</v>
      </c>
      <c r="M111" s="13" t="n">
        <f aca="false">L111*(1+M31)</f>
        <v>837932.015349603</v>
      </c>
      <c r="N111" s="40" t="n">
        <f aca="false">M111*(1+N31)</f>
        <v>879828.616117083</v>
      </c>
    </row>
    <row r="112" customFormat="false" ht="15" hidden="false" customHeight="false" outlineLevel="0" collapsed="false">
      <c r="A112" s="8" t="s">
        <v>89</v>
      </c>
      <c r="B112" s="10"/>
      <c r="C112" s="10"/>
      <c r="D112" s="10"/>
      <c r="E112" s="13" t="n">
        <f aca="false">E111*E32*(1-$B$13)+E111*E33-E111*E34-(E111-$D$58)*$B$14</f>
        <v>56086.100424</v>
      </c>
      <c r="F112" s="13" t="n">
        <f aca="false">F111*F32*(1-$B$13)+F111*F33-F111*F34-(F111-E111)*$B$14</f>
        <v>88591.4228529</v>
      </c>
      <c r="G112" s="13" t="n">
        <f aca="false">G111*G32*(1-$B$13)+G111*G33-G111*G34-(G111-F111)*$B$14</f>
        <v>130031.276078466</v>
      </c>
      <c r="H112" s="13" t="n">
        <f aca="false">H111*H32*(1-$B$13)+H111*H33-H111*H34-(H111-G111)*$B$14</f>
        <v>165465.019039778</v>
      </c>
      <c r="I112" s="13" t="n">
        <f aca="false">I111*I32*(1-$B$13)+I111*I33-I111*I34-(I111-H111)*$B$14</f>
        <v>196353.770119972</v>
      </c>
      <c r="J112" s="13" t="n">
        <f aca="false">J111*J32*(1-$B$13)+J111*J33-J111*J34-(J111-I111)*$B$14</f>
        <v>229950.508223823</v>
      </c>
      <c r="K112" s="13" t="n">
        <f aca="false">K111*K32*(1-$B$13)+K111*K33-K111*K34-(K111-J111)*$B$14</f>
        <v>253364.204912923</v>
      </c>
      <c r="L112" s="13" t="n">
        <f aca="false">L111*L32*(1-$B$13)+L111*L33-L111*L34-(L111-K111)*$B$14</f>
        <v>276145.216506264</v>
      </c>
      <c r="M112" s="13" t="n">
        <f aca="false">M111*M32*(1-$B$13)+M111*M33-M111*M34-(M111-L111)*$B$14</f>
        <v>297272.982985198</v>
      </c>
      <c r="N112" s="40" t="n">
        <f aca="false">N111*N32*(1-$B$13)+N111*N33-N111*N34-(N111-M111)*$B$14</f>
        <v>312531.883085095</v>
      </c>
    </row>
    <row r="113" customFormat="false" ht="15" hidden="false" customHeight="false" outlineLevel="0" collapsed="false">
      <c r="A113" s="8" t="s">
        <v>90</v>
      </c>
      <c r="B113" s="10"/>
      <c r="C113" s="10"/>
      <c r="D113" s="10"/>
      <c r="E113" s="48" t="n">
        <f aca="false">1/(1+$B$15+$E$35)^E$76</f>
        <v>0.950621242356626</v>
      </c>
      <c r="F113" s="48" t="n">
        <f aca="false">1/(1+$B$15+$E$35)^F$76</f>
        <v>0.859058113855214</v>
      </c>
      <c r="G113" s="48" t="n">
        <f aca="false">1/(1+$B$15+$E$35)^G$76</f>
        <v>0.77631427754654</v>
      </c>
      <c r="H113" s="48" t="n">
        <f aca="false">1/(1+$B$15+$E$35)^H$76</f>
        <v>0.701540265789492</v>
      </c>
      <c r="I113" s="48" t="n">
        <f aca="false">1/(1+$B$15+$E$35)^I$76</f>
        <v>0.63396843103209</v>
      </c>
      <c r="J113" s="48" t="n">
        <f aca="false">1/(1+$B$15+$E$35)^J$76</f>
        <v>0.572905064961577</v>
      </c>
      <c r="K113" s="48" t="n">
        <f aca="false">1/(1+$B$15+$E$35)^K$76</f>
        <v>0.517723276732078</v>
      </c>
      <c r="L113" s="48" t="n">
        <f aca="false">1/(1+$B$15+$E$35)^L$76</f>
        <v>0.467856557156073</v>
      </c>
      <c r="M113" s="48" t="n">
        <f aca="false">1/(1+$B$15+$E$35)^M$76</f>
        <v>0.42279296278813</v>
      </c>
      <c r="N113" s="49" t="n">
        <f aca="false">1/(1+$B$15+$E$35)^N$76</f>
        <v>0.382069860193354</v>
      </c>
    </row>
    <row r="114" customFormat="false" ht="15" hidden="false" customHeight="false" outlineLevel="0" collapsed="false">
      <c r="A114" s="8" t="s">
        <v>91</v>
      </c>
      <c r="B114" s="10"/>
      <c r="C114" s="10"/>
      <c r="D114" s="10"/>
      <c r="E114" s="13" t="n">
        <f aca="false">$D$58*(1+E40)</f>
        <v>394888.41</v>
      </c>
      <c r="F114" s="13" t="n">
        <f aca="false">E114*(1+F40)</f>
        <v>465968.3238</v>
      </c>
      <c r="G114" s="13" t="n">
        <f aca="false">F114*(1+G40)</f>
        <v>540523.255608</v>
      </c>
      <c r="H114" s="13" t="n">
        <f aca="false">G114*(1+H40)</f>
        <v>621601.7439492</v>
      </c>
      <c r="I114" s="13" t="n">
        <f aca="false">H114*(1+I40)</f>
        <v>702409.970662596</v>
      </c>
      <c r="J114" s="13" t="n">
        <f aca="false">I114*(1+J40)</f>
        <v>786699.167142107</v>
      </c>
      <c r="K114" s="13" t="n">
        <f aca="false">J114*(1+K40)</f>
        <v>865369.083856318</v>
      </c>
      <c r="L114" s="13" t="n">
        <f aca="false">K114*(1+L40)</f>
        <v>943252.301403387</v>
      </c>
      <c r="M114" s="13" t="n">
        <f aca="false">L114*(1+M40)</f>
        <v>1009279.96250162</v>
      </c>
      <c r="N114" s="40" t="n">
        <f aca="false">M114*(1+N40)</f>
        <v>1069836.76025172</v>
      </c>
    </row>
    <row r="115" customFormat="false" ht="15" hidden="false" customHeight="false" outlineLevel="0" collapsed="false">
      <c r="A115" s="8" t="s">
        <v>92</v>
      </c>
      <c r="B115" s="10"/>
      <c r="C115" s="10"/>
      <c r="D115" s="10"/>
      <c r="E115" s="13" t="n">
        <f aca="false">E114*E41*(1-$B$13)+E114*E42-E114*E43-(E114-$D$58)*$B$14</f>
        <v>68203.865187</v>
      </c>
      <c r="F115" s="13" t="n">
        <f aca="false">F114*F41*(1-$B$13)+F114*F42-F114*F43-(F114-E114)*$B$14</f>
        <v>110491.75156005</v>
      </c>
      <c r="G115" s="13" t="n">
        <f aca="false">G114*G41*(1-$B$13)+G114*G42-G114*G43-(G114-F114)*$B$14</f>
        <v>160483.21846331</v>
      </c>
      <c r="H115" s="13" t="n">
        <f aca="false">H114*H41*(1-$B$13)+H114*H42-H114*H43-(H114-G114)*$B$14</f>
        <v>209062.233495923</v>
      </c>
      <c r="I115" s="13" t="n">
        <f aca="false">I114*I41*(1-$B$13)+I114*I42-I114*I43-(I114-H114)*$B$14</f>
        <v>253673.806900437</v>
      </c>
      <c r="J115" s="13" t="n">
        <f aca="false">J114*J41*(1-$B$13)+J114*J42-J114*J43-(J114-I114)*$B$14</f>
        <v>296225.952107595</v>
      </c>
      <c r="K115" s="13" t="n">
        <f aca="false">K114*K41*(1-$B$13)+K114*K42-K114*K43-(K114-J114)*$B$14</f>
        <v>335204.648127581</v>
      </c>
      <c r="L115" s="13" t="n">
        <f aca="false">L114*L41*(1-$B$13)+L114*L42-L114*L43-(L114-K114)*$B$14</f>
        <v>370482.677549651</v>
      </c>
      <c r="M115" s="13" t="n">
        <f aca="false">M114*M41*(1-$B$13)+M114*M42-M114*M43-(M114-L114)*$B$14</f>
        <v>397281.834061983</v>
      </c>
      <c r="N115" s="40" t="n">
        <f aca="false">N114*N41*(1-$B$13)+N114*N42-N114*N43-(N114-M114)*$B$14</f>
        <v>421590.370256403</v>
      </c>
    </row>
    <row r="116" customFormat="false" ht="15" hidden="false" customHeight="false" outlineLevel="0" collapsed="false">
      <c r="A116" s="8" t="s">
        <v>93</v>
      </c>
      <c r="B116" s="10"/>
      <c r="C116" s="10"/>
      <c r="D116" s="10"/>
      <c r="E116" s="48" t="n">
        <f aca="false">1/(1+$B$15+$E$44)^E$76</f>
        <v>0.952776193100319</v>
      </c>
      <c r="F116" s="48" t="n">
        <f aca="false">1/(1+$B$15+$E$44)^F$76</f>
        <v>0.864913529873093</v>
      </c>
      <c r="G116" s="48" t="n">
        <f aca="false">1/(1+$B$15+$E$44)^G$76</f>
        <v>0.785153344064264</v>
      </c>
      <c r="H116" s="48" t="n">
        <f aca="false">1/(1+$B$15+$E$44)^H$76</f>
        <v>0.71274844525296</v>
      </c>
      <c r="I116" s="48" t="n">
        <f aca="false">1/(1+$B$15+$E$44)^I$76</f>
        <v>0.647020547070269</v>
      </c>
      <c r="J116" s="48" t="n">
        <f aca="false">1/(1+$B$15+$E$44)^J$76</f>
        <v>0.587353913038047</v>
      </c>
      <c r="K116" s="48" t="n">
        <f aca="false">1/(1+$B$15+$E$44)^K$76</f>
        <v>0.533189588372746</v>
      </c>
      <c r="L116" s="48" t="n">
        <f aca="false">1/(1+$B$15+$E$44)^L$76</f>
        <v>0.484020163718026</v>
      </c>
      <c r="M116" s="48" t="n">
        <f aca="false">1/(1+$B$15+$E$44)^M$76</f>
        <v>0.439385021752986</v>
      </c>
      <c r="N116" s="49" t="n">
        <f aca="false">1/(1+$B$15+$E$44)^N$76</f>
        <v>0.398866022146427</v>
      </c>
    </row>
    <row r="117" customFormat="false" ht="15" hidden="false" customHeight="false" outlineLevel="0" collapsed="false">
      <c r="A117" s="8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1"/>
    </row>
    <row r="118" customFormat="false" ht="15" hidden="false" customHeight="false" outlineLevel="0" collapsed="false">
      <c r="A118" s="35" t="s">
        <v>94</v>
      </c>
      <c r="B118" s="26" t="s">
        <v>95</v>
      </c>
      <c r="C118" s="26" t="s">
        <v>96</v>
      </c>
      <c r="D118" s="26" t="s">
        <v>97</v>
      </c>
      <c r="E118" s="10"/>
      <c r="F118" s="10"/>
      <c r="G118" s="10"/>
      <c r="H118" s="10"/>
      <c r="I118" s="10"/>
      <c r="J118" s="10"/>
      <c r="K118" s="10"/>
      <c r="L118" s="10"/>
      <c r="M118" s="10"/>
      <c r="N118" s="11"/>
    </row>
    <row r="119" customFormat="false" ht="15" hidden="false" customHeight="false" outlineLevel="0" collapsed="false">
      <c r="A119" s="8" t="s">
        <v>98</v>
      </c>
      <c r="B119" s="13" t="n">
        <f aca="false">SUMPRODUCT(E109:N109,E110:N110)+B120</f>
        <v>1584896.77403084</v>
      </c>
      <c r="C119" s="13" t="n">
        <f aca="false">SUMPRODUCT(E112:N112,E113:N113)+C120</f>
        <v>2714066.63740484</v>
      </c>
      <c r="D119" s="13" t="n">
        <f aca="false">SUMPRODUCT(E115:N115,E116:N116)+D120</f>
        <v>4088286.56600388</v>
      </c>
      <c r="E119" s="10"/>
      <c r="F119" s="10"/>
      <c r="G119" s="10"/>
      <c r="H119" s="10"/>
      <c r="I119" s="10"/>
      <c r="J119" s="10"/>
      <c r="K119" s="10"/>
      <c r="L119" s="10"/>
      <c r="M119" s="10"/>
      <c r="N119" s="11"/>
    </row>
    <row r="120" customFormat="false" ht="15" hidden="false" customHeight="false" outlineLevel="0" collapsed="false">
      <c r="A120" s="8" t="s">
        <v>99</v>
      </c>
      <c r="B120" s="13" t="n">
        <f aca="false">N109*(1+$E$27)/($B$15+$E$26-$E$27)*N110</f>
        <v>853219.748511548</v>
      </c>
      <c r="C120" s="13" t="n">
        <f aca="false">N112*(1+$E$36)/($B$15+$E$35-$E$36)*N113</f>
        <v>1605934.57156229</v>
      </c>
      <c r="D120" s="13" t="n">
        <f aca="false">N115*(1+$E$45)/($B$15+$E$44-$E$45)*N116</f>
        <v>2613836.90529384</v>
      </c>
      <c r="E120" s="10"/>
      <c r="F120" s="10"/>
      <c r="G120" s="10"/>
      <c r="H120" s="10"/>
      <c r="I120" s="10"/>
      <c r="J120" s="10"/>
      <c r="K120" s="10"/>
      <c r="L120" s="10"/>
      <c r="M120" s="10"/>
      <c r="N120" s="11"/>
    </row>
    <row r="121" customFormat="false" ht="15" hidden="false" customHeight="false" outlineLevel="0" collapsed="false">
      <c r="A121" s="8" t="s">
        <v>100</v>
      </c>
      <c r="B121" s="37" t="n">
        <f aca="false">B120/B119</f>
        <v>0.538344050219479</v>
      </c>
      <c r="C121" s="37" t="n">
        <f aca="false">C120/C119</f>
        <v>0.591707863554104</v>
      </c>
      <c r="D121" s="37" t="n">
        <f aca="false">D120/D119</f>
        <v>0.639347771516112</v>
      </c>
      <c r="E121" s="10"/>
      <c r="F121" s="10"/>
      <c r="G121" s="10"/>
      <c r="H121" s="10"/>
      <c r="I121" s="10"/>
      <c r="J121" s="10"/>
      <c r="K121" s="10"/>
      <c r="L121" s="10"/>
      <c r="M121" s="10"/>
      <c r="N121" s="11"/>
    </row>
    <row r="122" customFormat="false" ht="15" hidden="false" customHeight="false" outlineLevel="0" collapsed="false">
      <c r="A122" s="8" t="s">
        <v>101</v>
      </c>
      <c r="B122" s="13" t="n">
        <f aca="false">B119-$B$12</f>
        <v>1621445.77403084</v>
      </c>
      <c r="C122" s="13" t="n">
        <f aca="false">C119-$B$12</f>
        <v>2750615.63740484</v>
      </c>
      <c r="D122" s="13" t="n">
        <f aca="false">D119-$B$12</f>
        <v>4124835.56600388</v>
      </c>
      <c r="E122" s="10"/>
      <c r="F122" s="10"/>
      <c r="G122" s="10"/>
      <c r="H122" s="10"/>
      <c r="I122" s="10"/>
      <c r="J122" s="10"/>
      <c r="K122" s="10"/>
      <c r="L122" s="10"/>
      <c r="M122" s="10"/>
      <c r="N122" s="11"/>
    </row>
    <row r="123" customFormat="false" ht="15" hidden="false" customHeight="false" outlineLevel="0" collapsed="false">
      <c r="A123" s="8" t="s">
        <v>102</v>
      </c>
      <c r="B123" s="54" t="n">
        <f aca="false">B122/$B$8</f>
        <v>217.556121565925</v>
      </c>
      <c r="C123" s="54" t="n">
        <f aca="false">C122/$B$8</f>
        <v>369.061537287649</v>
      </c>
      <c r="D123" s="54" t="n">
        <f aca="false">D122/$B$8</f>
        <v>553.446339192792</v>
      </c>
      <c r="E123" s="10"/>
      <c r="F123" s="10"/>
      <c r="G123" s="10"/>
      <c r="H123" s="10"/>
      <c r="I123" s="10"/>
      <c r="J123" s="10"/>
      <c r="K123" s="10"/>
      <c r="L123" s="10"/>
      <c r="M123" s="10"/>
      <c r="N123" s="11"/>
    </row>
    <row r="124" customFormat="false" ht="15" hidden="false" customHeight="false" outlineLevel="0" collapsed="false">
      <c r="A124" s="8" t="s">
        <v>103</v>
      </c>
      <c r="B124" s="37" t="n">
        <f aca="false">B123/$B$7-1</f>
        <v>-0.592354884734724</v>
      </c>
      <c r="C124" s="37" t="n">
        <f aca="false">C123/$B$7-1</f>
        <v>-0.308472076884243</v>
      </c>
      <c r="D124" s="37" t="n">
        <f aca="false">D123/$B$7-1</f>
        <v>0.0370183799448971</v>
      </c>
      <c r="E124" s="10"/>
      <c r="F124" s="10"/>
      <c r="G124" s="10"/>
      <c r="H124" s="10"/>
      <c r="I124" s="10"/>
      <c r="J124" s="10"/>
      <c r="K124" s="10"/>
      <c r="L124" s="10"/>
      <c r="M124" s="10"/>
      <c r="N124" s="11"/>
    </row>
    <row r="125" customFormat="false" ht="15" hidden="false" customHeight="false" outlineLevel="0" collapsed="false">
      <c r="A125" s="8" t="s">
        <v>104</v>
      </c>
      <c r="B125" s="37" t="n">
        <f aca="false">$B$15+$E$26</f>
        <v>0.111585488251198</v>
      </c>
      <c r="C125" s="37" t="n">
        <f aca="false">$B$15+$E$35</f>
        <v>0.106585488251198</v>
      </c>
      <c r="D125" s="37" t="n">
        <f aca="false">$B$15+$E$44</f>
        <v>0.101585488251198</v>
      </c>
      <c r="E125" s="10"/>
      <c r="F125" s="10"/>
      <c r="G125" s="10"/>
      <c r="H125" s="10"/>
      <c r="I125" s="10"/>
      <c r="J125" s="10"/>
      <c r="K125" s="10"/>
      <c r="L125" s="10"/>
      <c r="M125" s="10"/>
      <c r="N125" s="11"/>
    </row>
    <row r="126" customFormat="false" ht="15" hidden="false" customHeight="false" outlineLevel="0" collapsed="false">
      <c r="A126" s="8" t="s">
        <v>105</v>
      </c>
      <c r="B126" s="37" t="n">
        <f aca="false">$E$27</f>
        <v>0.025</v>
      </c>
      <c r="C126" s="37" t="n">
        <f aca="false">$E$36</f>
        <v>0.03</v>
      </c>
      <c r="D126" s="37" t="n">
        <f aca="false">$E$45</f>
        <v>0.035</v>
      </c>
      <c r="E126" s="10"/>
      <c r="F126" s="10"/>
      <c r="G126" s="10"/>
      <c r="H126" s="10"/>
      <c r="I126" s="10"/>
      <c r="J126" s="10"/>
      <c r="K126" s="10"/>
      <c r="L126" s="10"/>
      <c r="M126" s="10"/>
      <c r="N126" s="11"/>
    </row>
    <row r="127" customFormat="false" ht="15" hidden="false" customHeight="false" outlineLevel="0" collapsed="false">
      <c r="A127" s="8" t="s">
        <v>106</v>
      </c>
      <c r="B127" s="50" t="n">
        <f aca="false">B119/$D$72</f>
        <v>8.15960282557308</v>
      </c>
      <c r="C127" s="50" t="n">
        <f aca="false">C119/$D$72</f>
        <v>13.972964148977</v>
      </c>
      <c r="D127" s="50" t="n">
        <f aca="false">D119/$D$72</f>
        <v>21.0479289013107</v>
      </c>
      <c r="E127" s="10"/>
      <c r="F127" s="10"/>
      <c r="G127" s="10"/>
      <c r="H127" s="10"/>
      <c r="I127" s="10"/>
      <c r="J127" s="10"/>
      <c r="K127" s="10"/>
      <c r="L127" s="10"/>
      <c r="M127" s="10"/>
      <c r="N127" s="11"/>
    </row>
    <row r="128" customFormat="false" ht="15" hidden="false" customHeight="false" outlineLevel="0" collapsed="false">
      <c r="A128" s="18" t="s">
        <v>107</v>
      </c>
      <c r="B128" s="58" t="n">
        <f aca="false">ROUND(B96-INDEX(B123:D123,1,B4),6)</f>
        <v>0</v>
      </c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1"/>
    </row>
    <row r="131" customFormat="false" ht="15" hidden="false" customHeight="false" outlineLevel="0" collapsed="false">
      <c r="A131" s="4" t="s">
        <v>108</v>
      </c>
      <c r="B131" s="5"/>
      <c r="C131" s="5"/>
      <c r="D131" s="5"/>
      <c r="E131" s="5"/>
      <c r="F131" s="5"/>
      <c r="G131" s="6"/>
    </row>
    <row r="132" customFormat="false" ht="15" hidden="false" customHeight="false" outlineLevel="0" collapsed="false">
      <c r="A132" s="51" t="s">
        <v>109</v>
      </c>
      <c r="B132" s="59" t="n">
        <f aca="false">$E$54-0.01</f>
        <v>0.02</v>
      </c>
      <c r="C132" s="59" t="n">
        <f aca="false">$E$54-0.005</f>
        <v>0.025</v>
      </c>
      <c r="D132" s="59" t="n">
        <f aca="false">$E$54</f>
        <v>0.03</v>
      </c>
      <c r="E132" s="59" t="n">
        <f aca="false">$E$54+0.005</f>
        <v>0.035</v>
      </c>
      <c r="F132" s="59" t="n">
        <f aca="false">$E$54+0.01</f>
        <v>0.04</v>
      </c>
      <c r="G132" s="11"/>
    </row>
    <row r="133" customFormat="false" ht="15" hidden="false" customHeight="false" outlineLevel="0" collapsed="false">
      <c r="A133" s="60" t="n">
        <f aca="false">$E$53-0.01</f>
        <v>0.096585488251198</v>
      </c>
      <c r="B133" s="55" t="n">
        <f aca="false">(SUMPRODUCT($E$69:$N$69/(1+$A133)^$E$76:$N$76)+$N$69*(1+B$132)/($A133-B$132)/(1+$A133)^$N$76-$B$12)/$B$8</f>
        <v>393.862968586379</v>
      </c>
      <c r="C133" s="55" t="n">
        <f aca="false">(SUMPRODUCT($E$69:$N$69/(1+$A133)^$E$76:$N$76)+$N$69*(1+C$132)/($A133-C$132)/(1+$A133)^$N$76-$B$12)/$B$8</f>
        <v>411.329253221375</v>
      </c>
      <c r="D133" s="55" t="n">
        <f aca="false">(SUMPRODUCT($E$69:$N$69/(1+$A133)^$E$76:$N$76)+$N$69*(1+D$132)/($A133-D$132)/(1+$A133)^$N$76-$B$12)/$B$8</f>
        <v>431.418674682987</v>
      </c>
      <c r="E133" s="55" t="n">
        <f aca="false">(SUMPRODUCT($E$69:$N$69/(1+$A133)^$E$76:$N$76)+$N$69*(1+E$132)/($A133-E$132)/(1+$A133)^$N$76-$B$12)/$B$8</f>
        <v>454.770134334452</v>
      </c>
      <c r="F133" s="55" t="n">
        <f aca="false">(SUMPRODUCT($E$69:$N$69/(1+$A133)^$E$76:$N$76)+$N$69*(1+F$132)/($A133-F$132)/(1+$A133)^$N$76-$B$12)/$B$8</f>
        <v>482.248351635829</v>
      </c>
      <c r="G133" s="11"/>
    </row>
    <row r="134" customFormat="false" ht="15" hidden="false" customHeight="false" outlineLevel="0" collapsed="false">
      <c r="A134" s="60" t="n">
        <f aca="false">$E$53-0.005</f>
        <v>0.101585488251198</v>
      </c>
      <c r="B134" s="55" t="n">
        <f aca="false">(SUMPRODUCT($E$69:$N$69/(1+$A134)^$E$76:$N$76)+$N$69*(1+B$132)/($A134-B$132)/(1+$A134)^$N$76-$B$12)/$B$8</f>
        <v>366.467232511126</v>
      </c>
      <c r="C134" s="55" t="n">
        <f aca="false">(SUMPRODUCT($E$69:$N$69/(1+$A134)^$E$76:$N$76)+$N$69*(1+C$132)/($A134-C$132)/(1+$A134)^$N$76-$B$12)/$B$8</f>
        <v>381.211359324078</v>
      </c>
      <c r="D134" s="55" t="n">
        <f aca="false">(SUMPRODUCT($E$69:$N$69/(1+$A134)^$E$76:$N$76)+$N$69*(1+D$132)/($A134-D$132)/(1+$A134)^$N$76-$B$12)/$B$8</f>
        <v>398.015139171905</v>
      </c>
      <c r="E134" s="55" t="n">
        <f aca="false">(SUMPRODUCT($E$69:$N$69/(1+$A134)^$E$76:$N$76)+$N$69*(1+E$132)/($A134-E$132)/(1+$A134)^$N$76-$B$12)/$B$8</f>
        <v>417.342558973294</v>
      </c>
      <c r="F134" s="55" t="n">
        <f aca="false">(SUMPRODUCT($E$69:$N$69/(1+$A134)^$E$76:$N$76)+$N$69*(1+F$132)/($A134-F$132)/(1+$A134)^$N$76-$B$12)/$B$8</f>
        <v>439.808286247795</v>
      </c>
      <c r="G134" s="11"/>
    </row>
    <row r="135" customFormat="false" ht="15" hidden="false" customHeight="false" outlineLevel="0" collapsed="false">
      <c r="A135" s="60" t="n">
        <f aca="false">$E$53</f>
        <v>0.106585488251198</v>
      </c>
      <c r="B135" s="55" t="n">
        <f aca="false">(SUMPRODUCT($E$69:$N$69/(1+$A135)^$E$76:$N$76)+$N$69*(1+B$132)/($A135-B$132)/(1+$A135)^$N$76-$B$12)/$B$8</f>
        <v>342.325356955702</v>
      </c>
      <c r="C135" s="55" t="n">
        <f aca="false">(SUMPRODUCT($E$69:$N$69/(1+$A135)^$E$76:$N$76)+$N$69*(1+C$132)/($A135-C$132)/(1+$A135)^$N$76-$B$12)/$B$8</f>
        <v>354.874178250916</v>
      </c>
      <c r="D135" s="54" t="n">
        <f aca="false">(SUMPRODUCT($E$69:$N$69/(1+$A135)^$E$76:$N$76)+$N$69*(1+D$132)/($A135-D$132)/(1+$A135)^$N$76-$B$12)/$B$8</f>
        <v>369.061537287649</v>
      </c>
      <c r="E135" s="55" t="n">
        <f aca="false">(SUMPRODUCT($E$69:$N$69/(1+$A135)^$E$76:$N$76)+$N$69*(1+E$132)/($A135-E$132)/(1+$A135)^$N$76-$B$12)/$B$8</f>
        <v>385.230772733039</v>
      </c>
      <c r="F135" s="55" t="n">
        <f aca="false">(SUMPRODUCT($E$69:$N$69/(1+$A135)^$E$76:$N$76)+$N$69*(1+F$132)/($A135-F$132)/(1+$A135)^$N$76-$B$12)/$B$8</f>
        <v>403.82835042988</v>
      </c>
      <c r="G135" s="11"/>
    </row>
    <row r="136" customFormat="false" ht="15" hidden="false" customHeight="false" outlineLevel="0" collapsed="false">
      <c r="A136" s="60" t="n">
        <f aca="false">$E$53+0.005</f>
        <v>0.111585488251198</v>
      </c>
      <c r="B136" s="55" t="n">
        <f aca="false">(SUMPRODUCT($E$69:$N$69/(1+$A136)^$E$76:$N$76)+$N$69*(1+B$132)/($A136-B$132)/(1+$A136)^$N$76-$B$12)/$B$8</f>
        <v>320.901572684269</v>
      </c>
      <c r="C136" s="55" t="n">
        <f aca="false">(SUMPRODUCT($E$69:$N$69/(1+$A136)^$E$76:$N$76)+$N$69*(1+C$132)/($A136-C$132)/(1+$A136)^$N$76-$B$12)/$B$8</f>
        <v>331.659957014887</v>
      </c>
      <c r="D136" s="55" t="n">
        <f aca="false">(SUMPRODUCT($E$69:$N$69/(1+$A136)^$E$76:$N$76)+$N$69*(1+D$132)/($A136-D$132)/(1+$A136)^$N$76-$B$12)/$B$8</f>
        <v>343.737005309063</v>
      </c>
      <c r="E136" s="55" t="n">
        <f aca="false">(SUMPRODUCT($E$69:$N$69/(1+$A136)^$E$76:$N$76)+$N$69*(1+E$132)/($A136-E$132)/(1+$A136)^$N$76-$B$12)/$B$8</f>
        <v>357.39099050995</v>
      </c>
      <c r="F136" s="55" t="n">
        <f aca="false">(SUMPRODUCT($E$69:$N$69/(1+$A136)^$E$76:$N$76)+$N$69*(1+F$132)/($A136-F$132)/(1+$A136)^$N$76-$B$12)/$B$8</f>
        <v>372.952343465734</v>
      </c>
      <c r="G136" s="11"/>
    </row>
    <row r="137" customFormat="false" ht="15" hidden="false" customHeight="false" outlineLevel="0" collapsed="false">
      <c r="A137" s="61" t="n">
        <f aca="false">$E$53+0.01</f>
        <v>0.116585488251198</v>
      </c>
      <c r="B137" s="62" t="n">
        <f aca="false">(SUMPRODUCT($E$69:$N$69/(1+$A137)^$E$76:$N$76)+$N$69*(1+B$132)/($A137-B$132)/(1+$A137)^$N$76-$B$12)/$B$8</f>
        <v>301.771160613142</v>
      </c>
      <c r="C137" s="62" t="n">
        <f aca="false">(SUMPRODUCT($E$69:$N$69/(1+$A137)^$E$76:$N$76)+$N$69*(1+C$132)/($A137-C$132)/(1+$A137)^$N$76-$B$12)/$B$8</f>
        <v>311.054684170604</v>
      </c>
      <c r="D137" s="62" t="n">
        <f aca="false">(SUMPRODUCT($E$69:$N$69/(1+$A137)^$E$76:$N$76)+$N$69*(1+D$132)/($A137-D$132)/(1+$A137)^$N$76-$B$12)/$B$8</f>
        <v>321.410387806387</v>
      </c>
      <c r="E137" s="62" t="n">
        <f aca="false">(SUMPRODUCT($E$69:$N$69/(1+$A137)^$E$76:$N$76)+$N$69*(1+E$132)/($A137-E$132)/(1+$A137)^$N$76-$B$12)/$B$8</f>
        <v>333.035398503727</v>
      </c>
      <c r="F137" s="62" t="n">
        <f aca="false">(SUMPRODUCT($E$69:$N$69/(1+$A137)^$E$76:$N$76)+$N$69*(1+F$132)/($A137-F$132)/(1+$A137)^$N$76-$B$12)/$B$8</f>
        <v>346.178322184688</v>
      </c>
      <c r="G137" s="21"/>
    </row>
    <row r="138" customFormat="false" ht="15" hidden="false" customHeight="false" outlineLevel="0" collapsed="false">
      <c r="A138" s="0" t="s">
        <v>110</v>
      </c>
      <c r="B138" s="63" t="n">
        <f aca="false">ROUND(D135-B96,6)</f>
        <v>0</v>
      </c>
    </row>
    <row r="140" customFormat="false" ht="15" hidden="false" customHeight="false" outlineLevel="0" collapsed="false">
      <c r="A140" s="4" t="s">
        <v>111</v>
      </c>
      <c r="B140" s="5"/>
      <c r="C140" s="5"/>
      <c r="D140" s="5"/>
      <c r="E140" s="5"/>
      <c r="F140" s="5"/>
      <c r="G140" s="6"/>
    </row>
    <row r="141" customFormat="false" ht="15" hidden="false" customHeight="false" outlineLevel="0" collapsed="false">
      <c r="A141" s="51" t="s">
        <v>112</v>
      </c>
      <c r="B141" s="64" t="n">
        <v>-0.04</v>
      </c>
      <c r="C141" s="64" t="n">
        <v>-0.02</v>
      </c>
      <c r="D141" s="64" t="n">
        <v>0</v>
      </c>
      <c r="E141" s="64" t="n">
        <v>0.02</v>
      </c>
      <c r="F141" s="64" t="n">
        <v>0.04</v>
      </c>
      <c r="G141" s="11"/>
    </row>
    <row r="142" customFormat="false" ht="15" hidden="false" customHeight="false" outlineLevel="0" collapsed="false">
      <c r="A142" s="65" t="n">
        <v>-0.04</v>
      </c>
      <c r="B142" s="55" t="n">
        <f aca="false">(SUMPRODUCT(($E$161:$N$161+$E$160:$N$160*B$141*(1-$B$13))*$E$77:$N$77)+($N$161+$N$160*B$141*(1-$B$13))*(1+$E$54)/($E$53-$E$54)*$N$77-$B$12)/$B$8</f>
        <v>248.261284416643</v>
      </c>
      <c r="C142" s="55" t="n">
        <f aca="false">(SUMPRODUCT(($E$161:$N$161+$E$160:$N$160*C$141*(1-$B$13))*$E$77:$N$77)+($N$161+$N$160*C$141*(1-$B$13))*(1+$E$54)/($E$53-$E$54)*$N$77-$B$12)/$B$8</f>
        <v>261.792652991089</v>
      </c>
      <c r="D142" s="55" t="n">
        <f aca="false">(SUMPRODUCT(($E$161:$N$161+$E$160:$N$160*D$141*(1-$B$13))*$E$77:$N$77)+($N$161+$N$160*D$141*(1-$B$13))*(1+$E$54)/($E$53-$E$54)*$N$77-$B$12)/$B$8</f>
        <v>275.324021565534</v>
      </c>
      <c r="E142" s="55" t="n">
        <f aca="false">(SUMPRODUCT(($E$161:$N$161+$E$160:$N$160*E$141*(1-$B$13))*$E$77:$N$77)+($N$161+$N$160*E$141*(1-$B$13))*(1+$E$54)/($E$53-$E$54)*$N$77-$B$12)/$B$8</f>
        <v>288.85539013998</v>
      </c>
      <c r="F142" s="55" t="n">
        <f aca="false">(SUMPRODUCT(($E$161:$N$161+$E$160:$N$160*F$141*(1-$B$13))*$E$77:$N$77)+($N$161+$N$160*F$141*(1-$B$13))*(1+$E$54)/($E$53-$E$54)*$N$77-$B$12)/$B$8</f>
        <v>302.386758714425</v>
      </c>
      <c r="G142" s="11"/>
    </row>
    <row r="143" customFormat="false" ht="15" hidden="false" customHeight="false" outlineLevel="0" collapsed="false">
      <c r="A143" s="65" t="n">
        <v>-0.02</v>
      </c>
      <c r="B143" s="55" t="n">
        <f aca="false">(SUMPRODUCT(($E$163:$N$163+$E$162:$N$162*B$141*(1-$B$13))*$E$77:$N$77)+($N$163+$N$162*B$141*(1-$B$13))*(1+$E$54)/($E$53-$E$54)*$N$77-$B$12)/$B$8</f>
        <v>287.537012872352</v>
      </c>
      <c r="C143" s="55" t="n">
        <f aca="false">(SUMPRODUCT(($E$163:$N$163+$E$162:$N$162*C$141*(1-$B$13))*$E$77:$N$77)+($N$163+$N$162*C$141*(1-$B$13))*(1+$E$54)/($E$53-$E$54)*$N$77-$B$12)/$B$8</f>
        <v>303.134968568918</v>
      </c>
      <c r="D143" s="55" t="n">
        <f aca="false">(SUMPRODUCT(($E$163:$N$163+$E$162:$N$162*D$141*(1-$B$13))*$E$77:$N$77)+($N$163+$N$162*D$141*(1-$B$13))*(1+$E$54)/($E$53-$E$54)*$N$77-$B$12)/$B$8</f>
        <v>318.732924265483</v>
      </c>
      <c r="E143" s="55" t="n">
        <f aca="false">(SUMPRODUCT(($E$163:$N$163+$E$162:$N$162*E$141*(1-$B$13))*$E$77:$N$77)+($N$163+$N$162*E$141*(1-$B$13))*(1+$E$54)/($E$53-$E$54)*$N$77-$B$12)/$B$8</f>
        <v>334.330879962049</v>
      </c>
      <c r="F143" s="55" t="n">
        <f aca="false">(SUMPRODUCT(($E$163:$N$163+$E$162:$N$162*F$141*(1-$B$13))*$E$77:$N$77)+($N$163+$N$162*F$141*(1-$B$13))*(1+$E$54)/($E$53-$E$54)*$N$77-$B$12)/$B$8</f>
        <v>349.928835658615</v>
      </c>
      <c r="G143" s="11"/>
    </row>
    <row r="144" customFormat="false" ht="15" hidden="false" customHeight="false" outlineLevel="0" collapsed="false">
      <c r="A144" s="65" t="n">
        <v>0</v>
      </c>
      <c r="B144" s="55" t="n">
        <f aca="false">(SUMPRODUCT(($E$165:$N$165+$E$164:$N$164*B$141*(1-$B$13))*$E$77:$N$77)+($N$165+$N$164*B$141*(1-$B$13))*(1+$E$54)/($E$53-$E$54)*$N$77-$B$12)/$B$8</f>
        <v>333.07745451476</v>
      </c>
      <c r="C144" s="55" t="n">
        <f aca="false">(SUMPRODUCT(($E$165:$N$165+$E$164:$N$164*C$141*(1-$B$13))*$E$77:$N$77)+($N$165+$N$164*C$141*(1-$B$13))*(1+$E$54)/($E$53-$E$54)*$N$77-$B$12)/$B$8</f>
        <v>351.069495901204</v>
      </c>
      <c r="D144" s="54" t="n">
        <f aca="false">(SUMPRODUCT(($E$165:$N$165+$E$164:$N$164*D$141*(1-$B$13))*$E$77:$N$77)+($N$165+$N$164*D$141*(1-$B$13))*(1+$E$54)/($E$53-$E$54)*$N$77-$B$12)/$B$8</f>
        <v>369.061537287649</v>
      </c>
      <c r="E144" s="55" t="n">
        <f aca="false">(SUMPRODUCT(($E$165:$N$165+$E$164:$N$164*E$141*(1-$B$13))*$E$77:$N$77)+($N$165+$N$164*E$141*(1-$B$13))*(1+$E$54)/($E$53-$E$54)*$N$77-$B$12)/$B$8</f>
        <v>387.053578674093</v>
      </c>
      <c r="F144" s="55" t="n">
        <f aca="false">(SUMPRODUCT(($E$165:$N$165+$E$164:$N$164*F$141*(1-$B$13))*$E$77:$N$77)+($N$165+$N$164*F$141*(1-$B$13))*(1+$E$54)/($E$53-$E$54)*$N$77-$B$12)/$B$8</f>
        <v>405.045620060537</v>
      </c>
      <c r="G144" s="11"/>
    </row>
    <row r="145" customFormat="false" ht="15" hidden="false" customHeight="false" outlineLevel="0" collapsed="false">
      <c r="A145" s="65" t="n">
        <v>0.02</v>
      </c>
      <c r="B145" s="55" t="n">
        <f aca="false">(SUMPRODUCT(($E$167:$N$167+$E$166:$N$166*B$141*(1-$B$13))*$E$77:$N$77)+($N$167+$N$166*B$141*(1-$B$13))*(1+$E$54)/($E$53-$E$54)*$N$77-$B$12)/$B$8</f>
        <v>385.796925083897</v>
      </c>
      <c r="C145" s="55" t="n">
        <f aca="false">(SUMPRODUCT(($E$167:$N$167+$E$166:$N$166*C$141*(1-$B$13))*$E$77:$N$77)+($N$167+$N$166*C$141*(1-$B$13))*(1+$E$54)/($E$53-$E$54)*$N$77-$B$12)/$B$8</f>
        <v>406.558845533368</v>
      </c>
      <c r="D145" s="55" t="n">
        <f aca="false">(SUMPRODUCT(($E$167:$N$167+$E$166:$N$166*D$141*(1-$B$13))*$E$77:$N$77)+($N$167+$N$166*D$141*(1-$B$13))*(1+$E$54)/($E$53-$E$54)*$N$77-$B$12)/$B$8</f>
        <v>427.320765982839</v>
      </c>
      <c r="E145" s="55" t="n">
        <f aca="false">(SUMPRODUCT(($E$167:$N$167+$E$166:$N$166*E$141*(1-$B$13))*$E$77:$N$77)+($N$167+$N$166*E$141*(1-$B$13))*(1+$E$54)/($E$53-$E$54)*$N$77-$B$12)/$B$8</f>
        <v>448.08268643231</v>
      </c>
      <c r="F145" s="55" t="n">
        <f aca="false">(SUMPRODUCT(($E$167:$N$167+$E$166:$N$166*F$141*(1-$B$13))*$E$77:$N$77)+($N$167+$N$166*F$141*(1-$B$13))*(1+$E$54)/($E$53-$E$54)*$N$77-$B$12)/$B$8</f>
        <v>468.84460688178</v>
      </c>
      <c r="G145" s="11"/>
    </row>
    <row r="146" customFormat="false" ht="15" hidden="false" customHeight="false" outlineLevel="0" collapsed="false">
      <c r="A146" s="66" t="n">
        <v>0.04</v>
      </c>
      <c r="B146" s="62" t="n">
        <f aca="false">(SUMPRODUCT(($E$169:$N$169+$E$168:$N$168*B$141*(1-$B$13))*$E$77:$N$77)+($N$169+$N$168*B$141*(1-$B$13))*(1+$E$54)/($E$53-$E$54)*$N$77-$B$12)/$B$8</f>
        <v>446.726983757389</v>
      </c>
      <c r="C146" s="62" t="n">
        <f aca="false">(SUMPRODUCT(($E$169:$N$169+$E$168:$N$168*C$141*(1-$B$13))*$E$77:$N$77)+($N$169+$N$168*C$141*(1-$B$13))*(1+$E$54)/($E$53-$E$54)*$N$77-$B$12)/$B$8</f>
        <v>470.689153640058</v>
      </c>
      <c r="D146" s="62" t="n">
        <f aca="false">(SUMPRODUCT(($E$169:$N$169+$E$168:$N$168*D$141*(1-$B$13))*$E$77:$N$77)+($N$169+$N$168*D$141*(1-$B$13))*(1+$E$54)/($E$53-$E$54)*$N$77-$B$12)/$B$8</f>
        <v>494.651323522727</v>
      </c>
      <c r="E146" s="62" t="n">
        <f aca="false">(SUMPRODUCT(($E$169:$N$169+$E$168:$N$168*E$141*(1-$B$13))*$E$77:$N$77)+($N$169+$N$168*E$141*(1-$B$13))*(1+$E$54)/($E$53-$E$54)*$N$77-$B$12)/$B$8</f>
        <v>518.613493405396</v>
      </c>
      <c r="F146" s="62" t="n">
        <f aca="false">(SUMPRODUCT(($E$169:$N$169+$E$168:$N$168*F$141*(1-$B$13))*$E$77:$N$77)+($N$169+$N$168*F$141*(1-$B$13))*(1+$E$54)/($E$53-$E$54)*$N$77-$B$12)/$B$8</f>
        <v>542.575663288065</v>
      </c>
      <c r="G146" s="21"/>
    </row>
    <row r="147" customFormat="false" ht="15" hidden="false" customHeight="false" outlineLevel="0" collapsed="false">
      <c r="A147" s="0" t="s">
        <v>110</v>
      </c>
      <c r="B147" s="63" t="n">
        <f aca="false">ROUND(D144-B96,6)</f>
        <v>0</v>
      </c>
    </row>
    <row r="149" customFormat="false" ht="15" hidden="false" customHeight="false" outlineLevel="0" collapsed="false">
      <c r="A149" s="4" t="s">
        <v>113</v>
      </c>
      <c r="B149" s="5"/>
      <c r="C149" s="5"/>
      <c r="D149" s="5"/>
      <c r="E149" s="5"/>
      <c r="F149" s="5"/>
      <c r="G149" s="6"/>
    </row>
    <row r="150" customFormat="false" ht="15" hidden="false" customHeight="false" outlineLevel="0" collapsed="false">
      <c r="A150" s="51" t="s">
        <v>114</v>
      </c>
      <c r="B150" s="67" t="n">
        <f aca="false">WACC!$B$4-0.005</f>
        <v>0.0471</v>
      </c>
      <c r="C150" s="67" t="n">
        <f aca="false">WACC!$B$4-0.0025</f>
        <v>0.0496</v>
      </c>
      <c r="D150" s="67" t="n">
        <f aca="false">WACC!$B$4</f>
        <v>0.0521</v>
      </c>
      <c r="E150" s="67" t="n">
        <f aca="false">WACC!$B$4+0.0025</f>
        <v>0.0546</v>
      </c>
      <c r="F150" s="67" t="n">
        <f aca="false">WACC!$B$4+0.005</f>
        <v>0.0571</v>
      </c>
      <c r="G150" s="11"/>
    </row>
    <row r="151" customFormat="false" ht="15" hidden="false" customHeight="false" outlineLevel="0" collapsed="false">
      <c r="A151" s="68" t="n">
        <f aca="false">WACC!$B$5-0.2</f>
        <v>0.901769724863395</v>
      </c>
      <c r="B151" s="55" t="n">
        <f aca="false">(SUMPRODUCT($E$69:$N$69/(1+(WACC!$B$27*(B$150+$A151*WACC!$B$6)+WACC!$B$28*(B$150+WACC!$B$11)*(1-$B$13)+CHOOSE($B$4,$E$26,$E$35,$E$44)))^$E$76:$N$76)+$N$69*(1+$E$54)/((WACC!$B$27*(B$150+$A151*WACC!$B$6)+WACC!$B$28*(B$150+WACC!$B$11)*(1-$B$13)+CHOOSE($B$4,$E$26,$E$35,$E$44))-$E$54)/(1+(WACC!$B$27*(B$150+$A151*WACC!$B$6)+WACC!$B$28*(B$150+WACC!$B$11)*(1-$B$13)+CHOOSE($B$4,$E$26,$E$35,$E$44)))^$N$76-$B$12)/$B$8</f>
        <v>469.435444076059</v>
      </c>
      <c r="C151" s="55" t="n">
        <f aca="false">(SUMPRODUCT($E$69:$N$69/(1+(WACC!$B$27*(C$150+$A151*WACC!$B$6)+WACC!$B$28*(C$150+WACC!$B$11)*(1-$B$13)+CHOOSE($B$4,$E$26,$E$35,$E$44)))^$E$76:$N$76)+$N$69*(1+$E$54)/((WACC!$B$27*(C$150+$A151*WACC!$B$6)+WACC!$B$28*(C$150+WACC!$B$11)*(1-$B$13)+CHOOSE($B$4,$E$26,$E$35,$E$44))-$E$54)/(1+(WACC!$B$27*(C$150+$A151*WACC!$B$6)+WACC!$B$28*(C$150+WACC!$B$11)*(1-$B$13)+CHOOSE($B$4,$E$26,$E$35,$E$44)))^$N$76-$B$12)/$B$8</f>
        <v>449.30025409911</v>
      </c>
      <c r="D151" s="55" t="n">
        <f aca="false">(SUMPRODUCT($E$69:$N$69/(1+(WACC!$B$27*(D$150+$A151*WACC!$B$6)+WACC!$B$28*(D$150+WACC!$B$11)*(1-$B$13)+CHOOSE($B$4,$E$26,$E$35,$E$44)))^$E$76:$N$76)+$N$69*(1+$E$54)/((WACC!$B$27*(D$150+$A151*WACC!$B$6)+WACC!$B$28*(D$150+WACC!$B$11)*(1-$B$13)+CHOOSE($B$4,$E$26,$E$35,$E$44))-$E$54)/(1+(WACC!$B$27*(D$150+$A151*WACC!$B$6)+WACC!$B$28*(D$150+WACC!$B$11)*(1-$B$13)+CHOOSE($B$4,$E$26,$E$35,$E$44)))^$N$76-$B$12)/$B$8</f>
        <v>430.698443329917</v>
      </c>
      <c r="E151" s="55" t="n">
        <f aca="false">(SUMPRODUCT($E$69:$N$69/(1+(WACC!$B$27*(E$150+$A151*WACC!$B$6)+WACC!$B$28*(E$150+WACC!$B$11)*(1-$B$13)+CHOOSE($B$4,$E$26,$E$35,$E$44)))^$E$76:$N$76)+$N$69*(1+$E$54)/((WACC!$B$27*(E$150+$A151*WACC!$B$6)+WACC!$B$28*(E$150+WACC!$B$11)*(1-$B$13)+CHOOSE($B$4,$E$26,$E$35,$E$44))-$E$54)/(1+(WACC!$B$27*(E$150+$A151*WACC!$B$6)+WACC!$B$28*(E$150+WACC!$B$11)*(1-$B$13)+CHOOSE($B$4,$E$26,$E$35,$E$44)))^$N$76-$B$12)/$B$8</f>
        <v>413.463666143893</v>
      </c>
      <c r="F151" s="55" t="n">
        <f aca="false">(SUMPRODUCT($E$69:$N$69/(1+(WACC!$B$27*(F$150+$A151*WACC!$B$6)+WACC!$B$28*(F$150+WACC!$B$11)*(1-$B$13)+CHOOSE($B$4,$E$26,$E$35,$E$44)))^$E$76:$N$76)+$N$69*(1+$E$54)/((WACC!$B$27*(F$150+$A151*WACC!$B$6)+WACC!$B$28*(F$150+WACC!$B$11)*(1-$B$13)+CHOOSE($B$4,$E$26,$E$35,$E$44))-$E$54)/(1+(WACC!$B$27*(F$150+$A151*WACC!$B$6)+WACC!$B$28*(F$150+WACC!$B$11)*(1-$B$13)+CHOOSE($B$4,$E$26,$E$35,$E$44)))^$N$76-$B$12)/$B$8</f>
        <v>397.452748874749</v>
      </c>
      <c r="G151" s="11"/>
    </row>
    <row r="152" customFormat="false" ht="15" hidden="false" customHeight="false" outlineLevel="0" collapsed="false">
      <c r="A152" s="68" t="n">
        <f aca="false">WACC!$B$5-0.1</f>
        <v>1.0017697248634</v>
      </c>
      <c r="B152" s="55" t="n">
        <f aca="false">(SUMPRODUCT($E$69:$N$69/(1+(WACC!$B$27*(B$150+$A152*WACC!$B$6)+WACC!$B$28*(B$150+WACC!$B$11)*(1-$B$13)+CHOOSE($B$4,$E$26,$E$35,$E$44)))^$E$76:$N$76)+$N$69*(1+$E$54)/((WACC!$B$27*(B$150+$A152*WACC!$B$6)+WACC!$B$28*(B$150+WACC!$B$11)*(1-$B$13)+CHOOSE($B$4,$E$26,$E$35,$E$44))-$E$54)/(1+(WACC!$B$27*(B$150+$A152*WACC!$B$6)+WACC!$B$28*(B$150+WACC!$B$11)*(1-$B$13)+CHOOSE($B$4,$E$26,$E$35,$E$44)))^$N$76-$B$12)/$B$8</f>
        <v>430.989870775344</v>
      </c>
      <c r="C152" s="55" t="n">
        <f aca="false">(SUMPRODUCT($E$69:$N$69/(1+(WACC!$B$27*(C$150+$A152*WACC!$B$6)+WACC!$B$28*(C$150+WACC!$B$11)*(1-$B$13)+CHOOSE($B$4,$E$26,$E$35,$E$44)))^$E$76:$N$76)+$N$69*(1+$E$54)/((WACC!$B$27*(C$150+$A152*WACC!$B$6)+WACC!$B$28*(C$150+WACC!$B$11)*(1-$B$13)+CHOOSE($B$4,$E$26,$E$35,$E$44))-$E$54)/(1+(WACC!$B$27*(C$150+$A152*WACC!$B$6)+WACC!$B$28*(C$150+WACC!$B$11)*(1-$B$13)+CHOOSE($B$4,$E$26,$E$35,$E$44)))^$N$76-$B$12)/$B$8</f>
        <v>413.734045200593</v>
      </c>
      <c r="D152" s="55" t="n">
        <f aca="false">(SUMPRODUCT($E$69:$N$69/(1+(WACC!$B$27*(D$150+$A152*WACC!$B$6)+WACC!$B$28*(D$150+WACC!$B$11)*(1-$B$13)+CHOOSE($B$4,$E$26,$E$35,$E$44)))^$E$76:$N$76)+$N$69*(1+$E$54)/((WACC!$B$27*(D$150+$A152*WACC!$B$6)+WACC!$B$28*(D$150+WACC!$B$11)*(1-$B$13)+CHOOSE($B$4,$E$26,$E$35,$E$44))-$E$54)/(1+(WACC!$B$27*(D$150+$A152*WACC!$B$6)+WACC!$B$28*(D$150+WACC!$B$11)*(1-$B$13)+CHOOSE($B$4,$E$26,$E$35,$E$44)))^$N$76-$B$12)/$B$8</f>
        <v>397.704246287182</v>
      </c>
      <c r="E152" s="55" t="n">
        <f aca="false">(SUMPRODUCT($E$69:$N$69/(1+(WACC!$B$27*(E$150+$A152*WACC!$B$6)+WACC!$B$28*(E$150+WACC!$B$11)*(1-$B$13)+CHOOSE($B$4,$E$26,$E$35,$E$44)))^$E$76:$N$76)+$N$69*(1+$E$54)/((WACC!$B$27*(E$150+$A152*WACC!$B$6)+WACC!$B$28*(E$150+WACC!$B$11)*(1-$B$13)+CHOOSE($B$4,$E$26,$E$35,$E$44))-$E$54)/(1+(WACC!$B$27*(E$150+$A152*WACC!$B$6)+WACC!$B$28*(E$150+WACC!$B$11)*(1-$B$13)+CHOOSE($B$4,$E$26,$E$35,$E$44)))^$N$76-$B$12)/$B$8</f>
        <v>382.776287643996</v>
      </c>
      <c r="F152" s="55" t="n">
        <f aca="false">(SUMPRODUCT($E$69:$N$69/(1+(WACC!$B$27*(F$150+$A152*WACC!$B$6)+WACC!$B$28*(F$150+WACC!$B$11)*(1-$B$13)+CHOOSE($B$4,$E$26,$E$35,$E$44)))^$E$76:$N$76)+$N$69*(1+$E$54)/((WACC!$B$27*(F$150+$A152*WACC!$B$6)+WACC!$B$28*(F$150+WACC!$B$11)*(1-$B$13)+CHOOSE($B$4,$E$26,$E$35,$E$44))-$E$54)/(1+(WACC!$B$27*(F$150+$A152*WACC!$B$6)+WACC!$B$28*(F$150+WACC!$B$11)*(1-$B$13)+CHOOSE($B$4,$E$26,$E$35,$E$44)))^$N$76-$B$12)/$B$8</f>
        <v>368.84216617926</v>
      </c>
      <c r="G152" s="11"/>
    </row>
    <row r="153" customFormat="false" ht="15" hidden="false" customHeight="false" outlineLevel="0" collapsed="false">
      <c r="A153" s="68" t="n">
        <f aca="false">WACC!$B$5</f>
        <v>1.1017697248634</v>
      </c>
      <c r="B153" s="55" t="n">
        <f aca="false">(SUMPRODUCT($E$69:$N$69/(1+(WACC!$B$27*(B$150+$A153*WACC!$B$6)+WACC!$B$28*(B$150+WACC!$B$11)*(1-$B$13)+CHOOSE($B$4,$E$26,$E$35,$E$44)))^$E$76:$N$76)+$N$69*(1+$E$54)/((WACC!$B$27*(B$150+$A153*WACC!$B$6)+WACC!$B$28*(B$150+WACC!$B$11)*(1-$B$13)+CHOOSE($B$4,$E$26,$E$35,$E$44))-$E$54)/(1+(WACC!$B$27*(B$150+$A153*WACC!$B$6)+WACC!$B$28*(B$150+WACC!$B$11)*(1-$B$13)+CHOOSE($B$4,$E$26,$E$35,$E$44)))^$N$76-$B$12)/$B$8</f>
        <v>397.956035282329</v>
      </c>
      <c r="C153" s="55" t="n">
        <f aca="false">(SUMPRODUCT($E$69:$N$69/(1+(WACC!$B$27*(C$150+$A153*WACC!$B$6)+WACC!$B$28*(C$150+WACC!$B$11)*(1-$B$13)+CHOOSE($B$4,$E$26,$E$35,$E$44)))^$E$76:$N$76)+$N$69*(1+$E$54)/((WACC!$B$27*(C$150+$A153*WACC!$B$6)+WACC!$B$28*(C$150+WACC!$B$11)*(1-$B$13)+CHOOSE($B$4,$E$26,$E$35,$E$44))-$E$54)/(1+(WACC!$B$27*(C$150+$A153*WACC!$B$6)+WACC!$B$28*(C$150+WACC!$B$11)*(1-$B$13)+CHOOSE($B$4,$E$26,$E$35,$E$44)))^$N$76-$B$12)/$B$8</f>
        <v>383.011046372427</v>
      </c>
      <c r="D153" s="54" t="n">
        <f aca="false">(SUMPRODUCT($E$69:$N$69/(1+(WACC!$B$27*(D$150+$A153*WACC!$B$6)+WACC!$B$28*(D$150+WACC!$B$11)*(1-$B$13)+CHOOSE($B$4,$E$26,$E$35,$E$44)))^$E$76:$N$76)+$N$69*(1+$E$54)/((WACC!$B$27*(D$150+$A153*WACC!$B$6)+WACC!$B$28*(D$150+WACC!$B$11)*(1-$B$13)+CHOOSE($B$4,$E$26,$E$35,$E$44))-$E$54)/(1+(WACC!$B$27*(D$150+$A153*WACC!$B$6)+WACC!$B$28*(D$150+WACC!$B$11)*(1-$B$13)+CHOOSE($B$4,$E$26,$E$35,$E$44)))^$N$76-$B$12)/$B$8</f>
        <v>369.061537287649</v>
      </c>
      <c r="E153" s="55" t="n">
        <f aca="false">(SUMPRODUCT($E$69:$N$69/(1+(WACC!$B$27*(E$150+$A153*WACC!$B$6)+WACC!$B$28*(E$150+WACC!$B$11)*(1-$B$13)+CHOOSE($B$4,$E$26,$E$35,$E$44)))^$E$76:$N$76)+$N$69*(1+$E$54)/((WACC!$B$27*(E$150+$A153*WACC!$B$6)+WACC!$B$28*(E$150+WACC!$B$11)*(1-$B$13)+CHOOSE($B$4,$E$26,$E$35,$E$44))-$E$54)/(1+(WACC!$B$27*(E$150+$A153*WACC!$B$6)+WACC!$B$28*(E$150+WACC!$B$11)*(1-$B$13)+CHOOSE($B$4,$E$26,$E$35,$E$44)))^$N$76-$B$12)/$B$8</f>
        <v>356.012932147833</v>
      </c>
      <c r="F153" s="55" t="n">
        <f aca="false">(SUMPRODUCT($E$69:$N$69/(1+(WACC!$B$27*(F$150+$A153*WACC!$B$6)+WACC!$B$28*(F$150+WACC!$B$11)*(1-$B$13)+CHOOSE($B$4,$E$26,$E$35,$E$44)))^$E$76:$N$76)+$N$69*(1+$E$54)/((WACC!$B$27*(F$150+$A153*WACC!$B$6)+WACC!$B$28*(F$150+WACC!$B$11)*(1-$B$13)+CHOOSE($B$4,$E$26,$E$35,$E$44))-$E$54)/(1+(WACC!$B$27*(F$150+$A153*WACC!$B$6)+WACC!$B$28*(F$150+WACC!$B$11)*(1-$B$13)+CHOOSE($B$4,$E$26,$E$35,$E$44)))^$N$76-$B$12)/$B$8</f>
        <v>343.782233199639</v>
      </c>
      <c r="G153" s="11"/>
    </row>
    <row r="154" customFormat="false" ht="15" hidden="false" customHeight="false" outlineLevel="0" collapsed="false">
      <c r="A154" s="68" t="n">
        <f aca="false">WACC!$B$5+0.1</f>
        <v>1.2017697248634</v>
      </c>
      <c r="B154" s="55" t="n">
        <f aca="false">(SUMPRODUCT($E$69:$N$69/(1+(WACC!$B$27*(B$150+$A154*WACC!$B$6)+WACC!$B$28*(B$150+WACC!$B$11)*(1-$B$13)+CHOOSE($B$4,$E$26,$E$35,$E$44)))^$E$76:$N$76)+$N$69*(1+$E$54)/((WACC!$B$27*(B$150+$A154*WACC!$B$6)+WACC!$B$28*(B$150+WACC!$B$11)*(1-$B$13)+CHOOSE($B$4,$E$26,$E$35,$E$44))-$E$54)/(1+(WACC!$B$27*(B$150+$A154*WACC!$B$6)+WACC!$B$28*(B$150+WACC!$B$11)*(1-$B$13)+CHOOSE($B$4,$E$26,$E$35,$E$44)))^$N$76-$B$12)/$B$8</f>
        <v>369.281146840651</v>
      </c>
      <c r="C154" s="55" t="n">
        <f aca="false">(SUMPRODUCT($E$69:$N$69/(1+(WACC!$B$27*(C$150+$A154*WACC!$B$6)+WACC!$B$28*(C$150+WACC!$B$11)*(1-$B$13)+CHOOSE($B$4,$E$26,$E$35,$E$44)))^$E$76:$N$76)+$N$69*(1+$E$54)/((WACC!$B$27*(C$150+$A154*WACC!$B$6)+WACC!$B$28*(C$150+WACC!$B$11)*(1-$B$13)+CHOOSE($B$4,$E$26,$E$35,$E$44))-$E$54)/(1+(WACC!$B$27*(C$150+$A154*WACC!$B$6)+WACC!$B$28*(C$150+WACC!$B$11)*(1-$B$13)+CHOOSE($B$4,$E$26,$E$35,$E$44)))^$N$76-$B$12)/$B$8</f>
        <v>356.218570701018</v>
      </c>
      <c r="D154" s="55" t="n">
        <f aca="false">(SUMPRODUCT($E$69:$N$69/(1+(WACC!$B$27*(D$150+$A154*WACC!$B$6)+WACC!$B$28*(D$150+WACC!$B$11)*(1-$B$13)+CHOOSE($B$4,$E$26,$E$35,$E$44)))^$E$76:$N$76)+$N$69*(1+$E$54)/((WACC!$B$27*(D$150+$A154*WACC!$B$6)+WACC!$B$28*(D$150+WACC!$B$11)*(1-$B$13)+CHOOSE($B$4,$E$26,$E$35,$E$44))-$E$54)/(1+(WACC!$B$27*(D$150+$A154*WACC!$B$6)+WACC!$B$28*(D$150+WACC!$B$11)*(1-$B$13)+CHOOSE($B$4,$E$26,$E$35,$E$44)))^$N$76-$B$12)/$B$8</f>
        <v>343.975168579175</v>
      </c>
      <c r="E154" s="55" t="n">
        <f aca="false">(SUMPRODUCT($E$69:$N$69/(1+(WACC!$B$27*(E$150+$A154*WACC!$B$6)+WACC!$B$28*(E$150+WACC!$B$11)*(1-$B$13)+CHOOSE($B$4,$E$26,$E$35,$E$44)))^$E$76:$N$76)+$N$69*(1+$E$54)/((WACC!$B$27*(E$150+$A154*WACC!$B$6)+WACC!$B$28*(E$150+WACC!$B$11)*(1-$B$13)+CHOOSE($B$4,$E$26,$E$35,$E$44))-$E$54)/(1+(WACC!$B$27*(E$150+$A154*WACC!$B$6)+WACC!$B$28*(E$150+WACC!$B$11)*(1-$B$13)+CHOOSE($B$4,$E$26,$E$35,$E$44)))^$N$76-$B$12)/$B$8</f>
        <v>332.477654111333</v>
      </c>
      <c r="F154" s="55" t="n">
        <f aca="false">(SUMPRODUCT($E$69:$N$69/(1+(WACC!$B$27*(F$150+$A154*WACC!$B$6)+WACC!$B$28*(F$150+WACC!$B$11)*(1-$B$13)+CHOOSE($B$4,$E$26,$E$35,$E$44)))^$E$76:$N$76)+$N$69*(1+$E$54)/((WACC!$B$27*(F$150+$A154*WACC!$B$6)+WACC!$B$28*(F$150+WACC!$B$11)*(1-$B$13)+CHOOSE($B$4,$E$26,$E$35,$E$44))-$E$54)/(1+(WACC!$B$27*(F$150+$A154*WACC!$B$6)+WACC!$B$28*(F$150+WACC!$B$11)*(1-$B$13)+CHOOSE($B$4,$E$26,$E$35,$E$44)))^$N$76-$B$12)/$B$8</f>
        <v>321.661200641538</v>
      </c>
      <c r="G154" s="11"/>
    </row>
    <row r="155" customFormat="false" ht="15" hidden="false" customHeight="false" outlineLevel="0" collapsed="false">
      <c r="A155" s="69" t="n">
        <f aca="false">WACC!$B$5+0.2</f>
        <v>1.3017697248634</v>
      </c>
      <c r="B155" s="62" t="n">
        <f aca="false">(SUMPRODUCT($E$69:$N$69/(1+(WACC!$B$27*(B$150+$A155*WACC!$B$6)+WACC!$B$28*(B$150+WACC!$B$11)*(1-$B$13)+CHOOSE($B$4,$E$26,$E$35,$E$44)))^$E$76:$N$76)+$N$69*(1+$E$54)/((WACC!$B$27*(B$150+$A155*WACC!$B$6)+WACC!$B$28*(B$150+WACC!$B$11)*(1-$B$13)+CHOOSE($B$4,$E$26,$E$35,$E$44))-$E$54)/(1+(WACC!$B$27*(B$150+$A155*WACC!$B$6)+WACC!$B$28*(B$150+WACC!$B$11)*(1-$B$13)+CHOOSE($B$4,$E$26,$E$35,$E$44)))^$N$76-$B$12)/$B$8</f>
        <v>344.168301399415</v>
      </c>
      <c r="C155" s="62" t="n">
        <f aca="false">(SUMPRODUCT($E$69:$N$69/(1+(WACC!$B$27*(C$150+$A155*WACC!$B$6)+WACC!$B$28*(C$150+WACC!$B$11)*(1-$B$13)+CHOOSE($B$4,$E$26,$E$35,$E$44)))^$E$76:$N$76)+$N$69*(1+$E$54)/((WACC!$B$27*(C$150+$A155*WACC!$B$6)+WACC!$B$28*(C$150+WACC!$B$11)*(1-$B$13)+CHOOSE($B$4,$E$26,$E$35,$E$44))-$E$54)/(1+(WACC!$B$27*(C$150+$A155*WACC!$B$6)+WACC!$B$28*(C$150+WACC!$B$11)*(1-$B$13)+CHOOSE($B$4,$E$26,$E$35,$E$44)))^$N$76-$B$12)/$B$8</f>
        <v>332.659186039815</v>
      </c>
      <c r="D155" s="62" t="n">
        <f aca="false">(SUMPRODUCT($E$69:$N$69/(1+(WACC!$B$27*(D$150+$A155*WACC!$B$6)+WACC!$B$28*(D$150+WACC!$B$11)*(1-$B$13)+CHOOSE($B$4,$E$26,$E$35,$E$44)))^$E$76:$N$76)+$N$69*(1+$E$54)/((WACC!$B$27*(D$150+$A155*WACC!$B$6)+WACC!$B$28*(D$150+WACC!$B$11)*(1-$B$13)+CHOOSE($B$4,$E$26,$E$35,$E$44))-$E$54)/(1+(WACC!$B$27*(D$150+$A155*WACC!$B$6)+WACC!$B$28*(D$150+WACC!$B$11)*(1-$B$13)+CHOOSE($B$4,$E$26,$E$35,$E$44)))^$N$76-$B$12)/$B$8</f>
        <v>321.832125720123</v>
      </c>
      <c r="E155" s="62" t="n">
        <f aca="false">(SUMPRODUCT($E$69:$N$69/(1+(WACC!$B$27*(E$150+$A155*WACC!$B$6)+WACC!$B$28*(E$150+WACC!$B$11)*(1-$B$13)+CHOOSE($B$4,$E$26,$E$35,$E$44)))^$E$76:$N$76)+$N$69*(1+$E$54)/((WACC!$B$27*(E$150+$A155*WACC!$B$6)+WACC!$B$28*(E$150+WACC!$B$11)*(1-$B$13)+CHOOSE($B$4,$E$26,$E$35,$E$44))-$E$54)/(1+(WACC!$B$27*(E$150+$A155*WACC!$B$6)+WACC!$B$28*(E$150+WACC!$B$11)*(1-$B$13)+CHOOSE($B$4,$E$26,$E$35,$E$44)))^$N$76-$B$12)/$B$8</f>
        <v>311.629457755666</v>
      </c>
      <c r="F155" s="62" t="n">
        <f aca="false">(SUMPRODUCT($E$69:$N$69/(1+(WACC!$B$27*(F$150+$A155*WACC!$B$6)+WACC!$B$28*(F$150+WACC!$B$11)*(1-$B$13)+CHOOSE($B$4,$E$26,$E$35,$E$44)))^$E$76:$N$76)+$N$69*(1+$E$54)/((WACC!$B$27*(F$150+$A155*WACC!$B$6)+WACC!$B$28*(F$150+WACC!$B$11)*(1-$B$13)+CHOOSE($B$4,$E$26,$E$35,$E$44))-$E$54)/(1+(WACC!$B$27*(F$150+$A155*WACC!$B$6)+WACC!$B$28*(F$150+WACC!$B$11)*(1-$B$13)+CHOOSE($B$4,$E$26,$E$35,$E$44)))^$N$76-$B$12)/$B$8</f>
        <v>301.999816448192</v>
      </c>
      <c r="G155" s="21"/>
    </row>
    <row r="156" customFormat="false" ht="15" hidden="false" customHeight="false" outlineLevel="0" collapsed="false">
      <c r="A156" s="0" t="s">
        <v>110</v>
      </c>
      <c r="B156" s="63" t="n">
        <f aca="false">ROUND(D153-B96,6)</f>
        <v>0</v>
      </c>
    </row>
    <row r="158" customFormat="false" ht="15" hidden="false" customHeight="false" outlineLevel="0" collapsed="false">
      <c r="A158" s="7" t="s">
        <v>115</v>
      </c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</row>
    <row r="160" customFormat="false" ht="15" hidden="false" customHeight="false" outlineLevel="0" collapsed="false">
      <c r="A160" s="0" t="s">
        <v>116</v>
      </c>
      <c r="E160" s="70" t="n">
        <f aca="false">$D$58*(1+E$49+$A$142)</f>
        <v>371659.68</v>
      </c>
      <c r="F160" s="70" t="n">
        <f aca="false">E160*(1+F$49+$A$142)</f>
        <v>412542.2448</v>
      </c>
      <c r="G160" s="70" t="n">
        <f aca="false">F160*(1+G$49+$A$142)</f>
        <v>449671.046832</v>
      </c>
      <c r="H160" s="70" t="n">
        <f aca="false">G160*(1+H$49+$A$142)</f>
        <v>485644.73057856</v>
      </c>
      <c r="I160" s="70" t="n">
        <f aca="false">H160*(1+I$49+$A$142)</f>
        <v>519639.861719059</v>
      </c>
      <c r="J160" s="70" t="n">
        <f aca="false">I160*(1+J$49+$A$142)</f>
        <v>550818.253422203</v>
      </c>
      <c r="K160" s="70" t="n">
        <f aca="false">J160*(1+K$49+$A$142)</f>
        <v>572850.983559091</v>
      </c>
      <c r="L160" s="70" t="n">
        <f aca="false">K160*(1+L$49+$A$142)</f>
        <v>590036.513065863</v>
      </c>
      <c r="M160" s="70" t="n">
        <f aca="false">L160*(1+M$49+$A$142)</f>
        <v>601837.243327181</v>
      </c>
      <c r="N160" s="70" t="n">
        <f aca="false">M160*(1+N$49+$A$142)</f>
        <v>607855.615760453</v>
      </c>
    </row>
    <row r="161" customFormat="false" ht="15" hidden="false" customHeight="false" outlineLevel="0" collapsed="false">
      <c r="A161" s="0" t="s">
        <v>117</v>
      </c>
      <c r="E161" s="70" t="n">
        <f aca="false">E160*E$50*(1-$B$13)+E160*E$51-E160*E$52-(E160-$D$58)*$B$14</f>
        <v>54724.233168</v>
      </c>
      <c r="F161" s="70" t="n">
        <f aca="false">F160*F$50*(1-$B$13)+F160*F$51-F160*F$52-(F160-E160)*$B$14</f>
        <v>83207.72664792</v>
      </c>
      <c r="G161" s="70" t="n">
        <f aca="false">G160*G$50*(1-$B$13)+G160*G$51-G160*G$52-(G160-F160)*$B$14</f>
        <v>117621.157041662</v>
      </c>
      <c r="H161" s="70" t="n">
        <f aca="false">H160*H$50*(1-$B$13)+H160*H$51-H160*H$52-(H160-G160)*$B$14</f>
        <v>144234.686297645</v>
      </c>
      <c r="I161" s="70" t="n">
        <f aca="false">I160*I$50*(1-$B$13)+I160*I$51-I160*I$52-(I160-H160)*$B$14</f>
        <v>164948.747096277</v>
      </c>
      <c r="J161" s="70" t="n">
        <f aca="false">J160*J$50*(1-$B$13)+J160*J$51-J160*J$52-(J160-I160)*$B$14</f>
        <v>186104.859355787</v>
      </c>
      <c r="K161" s="70" t="n">
        <f aca="false">K160*K$50*(1-$B$13)+K160*K$51-K160*K$52-(K160-J160)*$B$14</f>
        <v>197477.156943914</v>
      </c>
      <c r="L161" s="70" t="n">
        <f aca="false">L160*L$50*(1-$B$13)+L160*L$51-L160*L$52-(L160-K160)*$B$14</f>
        <v>207187.598031685</v>
      </c>
      <c r="M161" s="70" t="n">
        <f aca="false">M160*M$50*(1-$B$13)+M160*M$51-M160*M$52-(M160-L160)*$B$14</f>
        <v>214626.961700734</v>
      </c>
      <c r="N161" s="70" t="n">
        <f aca="false">N160*N$50*(1-$B$13)+N160*N$51-N160*N$52-(N160-M160)*$B$14</f>
        <v>217068.249574274</v>
      </c>
    </row>
    <row r="162" customFormat="false" ht="15" hidden="false" customHeight="false" outlineLevel="0" collapsed="false">
      <c r="A162" s="0" t="s">
        <v>118</v>
      </c>
      <c r="E162" s="70" t="n">
        <f aca="false">$D$58*(1+E$49+$A$143)</f>
        <v>378296.46</v>
      </c>
      <c r="F162" s="70" t="n">
        <f aca="false">E162*(1+F$49+$A$143)</f>
        <v>427474.9998</v>
      </c>
      <c r="G162" s="70" t="n">
        <f aca="false">F162*(1+G$49+$A$143)</f>
        <v>474497.249778</v>
      </c>
      <c r="H162" s="70" t="n">
        <f aca="false">G162*(1+H$49+$A$143)</f>
        <v>521946.9747558</v>
      </c>
      <c r="I162" s="70" t="n">
        <f aca="false">H162*(1+I$49+$A$143)</f>
        <v>568922.202483822</v>
      </c>
      <c r="J162" s="70" t="n">
        <f aca="false">I162*(1+J$49+$A$143)</f>
        <v>614435.978682528</v>
      </c>
      <c r="K162" s="70" t="n">
        <f aca="false">J162*(1+K$49+$A$143)</f>
        <v>651302.137403479</v>
      </c>
      <c r="L162" s="70" t="n">
        <f aca="false">K162*(1+L$49+$A$143)</f>
        <v>683867.244273653</v>
      </c>
      <c r="M162" s="70" t="n">
        <f aca="false">L162*(1+M$49+$A$143)</f>
        <v>711221.9340446</v>
      </c>
      <c r="N162" s="70" t="n">
        <f aca="false">M162*(1+N$49+$A$143)</f>
        <v>732558.592065938</v>
      </c>
    </row>
    <row r="163" customFormat="false" ht="15" hidden="false" customHeight="false" outlineLevel="0" collapsed="false">
      <c r="A163" s="0" t="s">
        <v>119</v>
      </c>
      <c r="E163" s="70" t="n">
        <f aca="false">E162*E$50*(1-$B$13)+E162*E$51-E162*E$52-(E162-$D$58)*$B$14</f>
        <v>55405.166796</v>
      </c>
      <c r="F163" s="70" t="n">
        <f aca="false">F162*F$50*(1-$B$13)+F162*F$51-F162*F$52-(F162-E162)*$B$14</f>
        <v>85878.78171867</v>
      </c>
      <c r="G163" s="70" t="n">
        <f aca="false">G162*G$50*(1-$B$13)+G162*G$51-G162*G$52-(G162-F162)*$B$14</f>
        <v>123722.806767115</v>
      </c>
      <c r="H163" s="70" t="n">
        <f aca="false">H162*H$50*(1-$B$13)+H162*H$51-H162*H$52-(H162-G162)*$B$14</f>
        <v>154576.969060179</v>
      </c>
      <c r="I163" s="70" t="n">
        <f aca="false">I162*I$50*(1-$B$13)+I162*I$51-I162*I$52-(I162-H162)*$B$14</f>
        <v>180104.588950161</v>
      </c>
      <c r="J163" s="70" t="n">
        <f aca="false">J162*J$50*(1-$B$13)+J162*J$51-J162*J$52-(J162-I162)*$B$14</f>
        <v>207062.649127202</v>
      </c>
      <c r="K163" s="70" t="n">
        <f aca="false">K162*K$50*(1-$B$13)+K162*K$51-K162*K$52-(K162-J162)*$B$14</f>
        <v>223930.577994869</v>
      </c>
      <c r="L163" s="70" t="n">
        <f aca="false">L162*L$50*(1-$B$13)+L162*L$51-L162*L$52-(L162-K162)*$B$14</f>
        <v>239503.334987382</v>
      </c>
      <c r="M163" s="70" t="n">
        <f aca="false">M162*M$50*(1-$B$13)+M162*M$51-M162*M$52-(M162-L162)*$B$14</f>
        <v>252965.229125802</v>
      </c>
      <c r="N163" s="70" t="n">
        <f aca="false">N162*N$50*(1-$B$13)+N162*N$51-N162*N$52-(N162-M162)*$B$14</f>
        <v>260896.119621712</v>
      </c>
    </row>
    <row r="164" customFormat="false" ht="15" hidden="false" customHeight="false" outlineLevel="0" collapsed="false">
      <c r="A164" s="0" t="s">
        <v>120</v>
      </c>
      <c r="E164" s="70" t="n">
        <f aca="false">$D$58*(1+E$49+$A$144)</f>
        <v>384933.24</v>
      </c>
      <c r="F164" s="70" t="n">
        <f aca="false">E164*(1+F$49+$A$144)</f>
        <v>442673.226</v>
      </c>
      <c r="G164" s="70" t="n">
        <f aca="false">F164*(1+G$49+$A$144)</f>
        <v>500220.74538</v>
      </c>
      <c r="H164" s="70" t="n">
        <f aca="false">G164*(1+H$49+$A$144)</f>
        <v>560247.2348256</v>
      </c>
      <c r="I164" s="70" t="n">
        <f aca="false">H164*(1+I$49+$A$144)</f>
        <v>621874.430656416</v>
      </c>
      <c r="J164" s="70" t="n">
        <f aca="false">I164*(1+J$49+$A$144)</f>
        <v>684061.873722058</v>
      </c>
      <c r="K164" s="70" t="n">
        <f aca="false">J164*(1+K$49+$A$144)</f>
        <v>738786.823619822</v>
      </c>
      <c r="L164" s="70" t="n">
        <f aca="false">K164*(1+L$49+$A$144)</f>
        <v>790501.90127321</v>
      </c>
      <c r="M164" s="70" t="n">
        <f aca="false">L164*(1+M$49+$A$144)</f>
        <v>837932.015349603</v>
      </c>
      <c r="N164" s="70" t="n">
        <f aca="false">M164*(1+N$49+$A$144)</f>
        <v>879828.616117083</v>
      </c>
    </row>
    <row r="165" customFormat="false" ht="15" hidden="false" customHeight="false" outlineLevel="0" collapsed="false">
      <c r="A165" s="0" t="s">
        <v>121</v>
      </c>
      <c r="E165" s="70" t="n">
        <f aca="false">E164*E$50*(1-$B$13)+E164*E$51-E164*E$52-(E164-$D$58)*$B$14</f>
        <v>56086.100424</v>
      </c>
      <c r="F165" s="70" t="n">
        <f aca="false">F164*F$50*(1-$B$13)+F164*F$51-F164*F$52-(F164-E164)*$B$14</f>
        <v>88591.4228529</v>
      </c>
      <c r="G165" s="70" t="n">
        <f aca="false">G164*G$50*(1-$B$13)+G164*G$51-G164*G$52-(G164-F164)*$B$14</f>
        <v>130031.276078466</v>
      </c>
      <c r="H165" s="70" t="n">
        <f aca="false">H164*H$50*(1-$B$13)+H164*H$51-H164*H$52-(H164-G164)*$B$14</f>
        <v>165465.019039778</v>
      </c>
      <c r="I165" s="70" t="n">
        <f aca="false">I164*I$50*(1-$B$13)+I164*I$51-I164*I$52-(I164-H164)*$B$14</f>
        <v>196353.770119972</v>
      </c>
      <c r="J165" s="70" t="n">
        <f aca="false">J164*J$50*(1-$B$13)+J164*J$51-J164*J$52-(J164-I164)*$B$14</f>
        <v>229950.508223823</v>
      </c>
      <c r="K165" s="70" t="n">
        <f aca="false">K164*K$50*(1-$B$13)+K164*K$51-K164*K$52-(K164-J164)*$B$14</f>
        <v>253364.204912923</v>
      </c>
      <c r="L165" s="70" t="n">
        <f aca="false">L164*L$50*(1-$B$13)+L164*L$51-L164*L$52-(L164-K164)*$B$14</f>
        <v>276145.216506264</v>
      </c>
      <c r="M165" s="70" t="n">
        <f aca="false">M164*M$50*(1-$B$13)+M164*M$51-M164*M$52-(M164-L164)*$B$14</f>
        <v>297272.982985198</v>
      </c>
      <c r="N165" s="70" t="n">
        <f aca="false">N164*N$50*(1-$B$13)+N164*N$51-N164*N$52-(N164-M164)*$B$14</f>
        <v>312531.883085095</v>
      </c>
    </row>
    <row r="166" customFormat="false" ht="15" hidden="false" customHeight="false" outlineLevel="0" collapsed="false">
      <c r="A166" s="0" t="s">
        <v>122</v>
      </c>
      <c r="E166" s="70" t="n">
        <f aca="false">$D$58*(1+E$49+$A$145)</f>
        <v>391570.02</v>
      </c>
      <c r="F166" s="70" t="n">
        <f aca="false">E166*(1+F$49+$A$145)</f>
        <v>458136.9234</v>
      </c>
      <c r="G166" s="70" t="n">
        <f aca="false">F166*(1+G$49+$A$145)</f>
        <v>526857.46191</v>
      </c>
      <c r="H166" s="70" t="n">
        <f aca="false">G166*(1+H$49+$A$145)</f>
        <v>600617.5065774</v>
      </c>
      <c r="I166" s="70" t="n">
        <f aca="false">H166*(1+I$49+$A$145)</f>
        <v>678697.782432462</v>
      </c>
      <c r="J166" s="70" t="n">
        <f aca="false">I166*(1+J$49+$A$145)</f>
        <v>760141.516324358</v>
      </c>
      <c r="K166" s="70" t="n">
        <f aca="false">J166*(1+K$49+$A$145)</f>
        <v>836155.667956793</v>
      </c>
      <c r="L166" s="70" t="n">
        <f aca="false">K166*(1+L$49+$A$145)</f>
        <v>911409.678072905</v>
      </c>
      <c r="M166" s="70" t="n">
        <f aca="false">L166*(1+M$49+$A$145)</f>
        <v>984322.452318737</v>
      </c>
      <c r="N166" s="70" t="n">
        <f aca="false">M166*(1+N$49+$A$145)</f>
        <v>1053225.02398105</v>
      </c>
    </row>
    <row r="167" customFormat="false" ht="15" hidden="false" customHeight="false" outlineLevel="0" collapsed="false">
      <c r="A167" s="0" t="s">
        <v>123</v>
      </c>
      <c r="E167" s="70" t="n">
        <f aca="false">E166*E$50*(1-$B$13)+E166*E$51-E166*E$52-(E166-$D$58)*$B$14</f>
        <v>56767.034052</v>
      </c>
      <c r="F167" s="70" t="n">
        <f aca="false">F166*F$50*(1-$B$13)+F166*F$51-F166*F$52-(F166-E166)*$B$14</f>
        <v>91345.65005061</v>
      </c>
      <c r="G167" s="70" t="n">
        <f aca="false">G166*G$50*(1-$B$13)+G166*G$51-G166*G$52-(G166-F166)*$B$14</f>
        <v>136550.000703987</v>
      </c>
      <c r="H167" s="70" t="n">
        <f aca="false">H166*H$50*(1-$B$13)+H166*H$51-H166*H$52-(H166-G166)*$B$14</f>
        <v>176917.681994454</v>
      </c>
      <c r="I167" s="70" t="n">
        <f aca="false">I166*I$50*(1-$B$13)+I166*I$51-I166*I$52-(I166-H166)*$B$14</f>
        <v>213754.365033337</v>
      </c>
      <c r="J167" s="70" t="n">
        <f aca="false">J166*J$50*(1-$B$13)+J166*J$51-J166*J$52-(J166-I166)*$B$14</f>
        <v>254908.027917114</v>
      </c>
      <c r="K167" s="70" t="n">
        <f aca="false">K166*K$50*(1-$B$13)+K166*K$51-K166*K$52-(K166-J166)*$B$14</f>
        <v>286052.654715601</v>
      </c>
      <c r="L167" s="70" t="n">
        <f aca="false">L166*L$50*(1-$B$13)+L166*L$51-L166*L$52-(L166-K166)*$B$14</f>
        <v>317600.351982701</v>
      </c>
      <c r="M167" s="70" t="n">
        <f aca="false">M166*M$50*(1-$B$13)+M166*M$51-M166*M$52-(M166-L166)*$B$14</f>
        <v>348348.070236889</v>
      </c>
      <c r="N167" s="70" t="n">
        <f aca="false">N166*N$50*(1-$B$13)+N166*N$51-N166*N$52-(N166-M166)*$B$14</f>
        <v>373188.139992508</v>
      </c>
    </row>
    <row r="168" customFormat="false" ht="15" hidden="false" customHeight="false" outlineLevel="0" collapsed="false">
      <c r="A168" s="0" t="s">
        <v>124</v>
      </c>
      <c r="E168" s="70" t="n">
        <f aca="false">$D$58*(1+E$49+$A$146)</f>
        <v>398206.8</v>
      </c>
      <c r="F168" s="70" t="n">
        <f aca="false">E168*(1+F$49+$A$146)</f>
        <v>473866.092</v>
      </c>
      <c r="G168" s="70" t="n">
        <f aca="false">F168*(1+G$49+$A$146)</f>
        <v>554423.32764</v>
      </c>
      <c r="H168" s="70" t="n">
        <f aca="false">G168*(1+H$49+$A$146)</f>
        <v>643131.0600624</v>
      </c>
      <c r="I168" s="70" t="n">
        <f aca="false">H168*(1+I$49+$A$146)</f>
        <v>739600.71907176</v>
      </c>
      <c r="J168" s="70" t="n">
        <f aca="false">I168*(1+J$49+$A$146)</f>
        <v>843144.819741807</v>
      </c>
      <c r="K168" s="70" t="n">
        <f aca="false">J168*(1+K$49+$A$146)</f>
        <v>944322.198110824</v>
      </c>
      <c r="L168" s="70" t="n">
        <f aca="false">K168*(1+L$49+$A$146)</f>
        <v>1048197.63990301</v>
      </c>
      <c r="M168" s="70" t="n">
        <f aca="false">L168*(1+M$49+$A$146)</f>
        <v>1153017.40389332</v>
      </c>
      <c r="N168" s="70" t="n">
        <f aca="false">M168*(1+N$49+$A$146)</f>
        <v>1256788.97024371</v>
      </c>
    </row>
    <row r="169" customFormat="false" ht="15" hidden="false" customHeight="false" outlineLevel="0" collapsed="false">
      <c r="A169" s="0" t="s">
        <v>125</v>
      </c>
      <c r="E169" s="70" t="n">
        <f aca="false">E168*E$50*(1-$B$13)+E168*E$51-E168*E$52-(E168-$D$58)*$B$14</f>
        <v>57447.96768</v>
      </c>
      <c r="F169" s="70" t="n">
        <f aca="false">F168*F$50*(1-$B$13)+F168*F$51-F168*F$52-(F168-E168)*$B$14</f>
        <v>94141.4633118</v>
      </c>
      <c r="G169" s="70" t="n">
        <f aca="false">G168*G$50*(1-$B$13)+G168*G$51-G168*G$52-(G168-F168)*$B$14</f>
        <v>143282.416371948</v>
      </c>
      <c r="H169" s="70" t="n">
        <f aca="false">H168*H$50*(1-$B$13)+H168*H$51-H168*H$52-(H168-G168)*$B$14</f>
        <v>188954.123139644</v>
      </c>
      <c r="I169" s="70" t="n">
        <f aca="false">I168*I$50*(1-$B$13)+I168*I$51-I168*I$52-(I168-H168)*$B$14</f>
        <v>232366.467655845</v>
      </c>
      <c r="J169" s="70" t="n">
        <f aca="false">J168*J$50*(1-$B$13)+J168*J$51-J168*J$52-(J168-I168)*$B$14</f>
        <v>282082.235052531</v>
      </c>
      <c r="K169" s="70" t="n">
        <f aca="false">K168*K$50*(1-$B$13)+K168*K$51-K168*K$52-(K168-J168)*$B$14</f>
        <v>322290.421056666</v>
      </c>
      <c r="L169" s="70" t="n">
        <f aca="false">L168*L$50*(1-$B$13)+L168*L$51-L168*L$52-(L168-K168)*$B$14</f>
        <v>364400.715740193</v>
      </c>
      <c r="M169" s="70" t="n">
        <f aca="false">M168*M$50*(1-$B$13)+M168*M$51-M168*M$52-(M168-L168)*$B$14</f>
        <v>407078.035432735</v>
      </c>
      <c r="N169" s="70" t="n">
        <f aca="false">N168*N$50*(1-$B$13)+N168*N$51-N168*N$52-(N168-M168)*$B$14</f>
        <v>444239.157441632</v>
      </c>
    </row>
  </sheetData>
  <conditionalFormatting sqref="B133:F137">
    <cfRule type="colorScale" priority="2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B142:F146">
    <cfRule type="colorScale" priority="3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B151:F155">
    <cfRule type="colorScale" priority="4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4" min="2" style="0" width="14"/>
  </cols>
  <sheetData>
    <row r="1" customFormat="false" ht="15" hidden="false" customHeight="false" outlineLevel="0" collapsed="false">
      <c r="A1" s="71" t="s">
        <v>126</v>
      </c>
    </row>
    <row r="3" customFormat="false" ht="15" hidden="false" customHeight="false" outlineLevel="0" collapsed="false">
      <c r="A3" s="4" t="s">
        <v>127</v>
      </c>
      <c r="B3" s="5"/>
      <c r="C3" s="5"/>
      <c r="D3" s="6"/>
    </row>
    <row r="4" customFormat="false" ht="15" hidden="false" customHeight="false" outlineLevel="0" collapsed="false">
      <c r="A4" s="8" t="s">
        <v>128</v>
      </c>
      <c r="B4" s="15" t="n">
        <v>0.0521</v>
      </c>
      <c r="C4" s="10"/>
      <c r="D4" s="11"/>
    </row>
    <row r="5" customFormat="false" ht="15" hidden="false" customHeight="false" outlineLevel="0" collapsed="false">
      <c r="A5" s="8" t="s">
        <v>129</v>
      </c>
      <c r="B5" s="72" t="n">
        <f aca="false">Beta!H4</f>
        <v>1.1017697248634</v>
      </c>
      <c r="C5" s="10"/>
      <c r="D5" s="11"/>
    </row>
    <row r="6" customFormat="false" ht="15" hidden="false" customHeight="false" outlineLevel="0" collapsed="false">
      <c r="A6" s="8" t="s">
        <v>130</v>
      </c>
      <c r="B6" s="15" t="n">
        <v>0.05</v>
      </c>
      <c r="C6" s="10"/>
      <c r="D6" s="11"/>
    </row>
    <row r="7" customFormat="false" ht="15" hidden="false" customHeight="false" outlineLevel="0" collapsed="false">
      <c r="A7" s="18" t="s">
        <v>131</v>
      </c>
      <c r="B7" s="39" t="n">
        <f aca="false">B4+B5*B6</f>
        <v>0.10718848624317</v>
      </c>
      <c r="C7" s="20"/>
      <c r="D7" s="21"/>
    </row>
    <row r="9" customFormat="false" ht="15" hidden="false" customHeight="false" outlineLevel="0" collapsed="false">
      <c r="A9" s="4" t="s">
        <v>132</v>
      </c>
      <c r="B9" s="5"/>
      <c r="C9" s="5"/>
      <c r="D9" s="6"/>
    </row>
    <row r="10" customFormat="false" ht="15" hidden="false" customHeight="false" outlineLevel="0" collapsed="false">
      <c r="A10" s="8" t="s">
        <v>133</v>
      </c>
      <c r="B10" s="73" t="s">
        <v>134</v>
      </c>
      <c r="C10" s="10"/>
      <c r="D10" s="11"/>
    </row>
    <row r="11" customFormat="false" ht="15" hidden="false" customHeight="false" outlineLevel="0" collapsed="false">
      <c r="A11" s="8" t="s">
        <v>135</v>
      </c>
      <c r="B11" s="15" t="n">
        <v>0.006</v>
      </c>
      <c r="C11" s="10"/>
      <c r="D11" s="11"/>
    </row>
    <row r="12" customFormat="false" ht="15" hidden="false" customHeight="false" outlineLevel="0" collapsed="false">
      <c r="A12" s="8" t="s">
        <v>136</v>
      </c>
      <c r="B12" s="37" t="n">
        <f aca="false">B4+B11</f>
        <v>0.0581</v>
      </c>
      <c r="C12" s="10"/>
      <c r="D12" s="11"/>
    </row>
    <row r="13" customFormat="false" ht="15" hidden="false" customHeight="false" outlineLevel="0" collapsed="false">
      <c r="A13" s="8" t="s">
        <v>137</v>
      </c>
      <c r="B13" s="16" t="n">
        <f aca="false">DCF!B13</f>
        <v>0.19</v>
      </c>
      <c r="C13" s="10"/>
      <c r="D13" s="11"/>
    </row>
    <row r="14" customFormat="false" ht="15" hidden="false" customHeight="false" outlineLevel="0" collapsed="false">
      <c r="A14" s="8" t="s">
        <v>138</v>
      </c>
      <c r="B14" s="37" t="n">
        <f aca="false">B12*(1-B13)</f>
        <v>0.047061</v>
      </c>
      <c r="C14" s="10"/>
      <c r="D14" s="11"/>
    </row>
    <row r="15" customFormat="false" ht="15" hidden="false" customHeight="false" outlineLevel="0" collapsed="false">
      <c r="A15" s="18" t="s">
        <v>139</v>
      </c>
      <c r="B15" s="39" t="n">
        <f aca="false">C15/AVERAGE(43151,DCF!B11)</f>
        <v>0.0731260111450656</v>
      </c>
      <c r="C15" s="74" t="n">
        <v>3051</v>
      </c>
      <c r="D15" s="21"/>
    </row>
    <row r="17" customFormat="false" ht="15" hidden="false" customHeight="false" outlineLevel="0" collapsed="false">
      <c r="A17" s="4" t="s">
        <v>140</v>
      </c>
      <c r="B17" s="5"/>
      <c r="C17" s="5"/>
      <c r="D17" s="6"/>
    </row>
    <row r="18" customFormat="false" ht="15" hidden="false" customHeight="false" outlineLevel="0" collapsed="false">
      <c r="A18" s="8" t="s">
        <v>141</v>
      </c>
      <c r="B18" s="75" t="n">
        <f aca="false">DCF!B7</f>
        <v>533.69</v>
      </c>
      <c r="C18" s="10"/>
      <c r="D18" s="11"/>
    </row>
    <row r="19" customFormat="false" ht="15" hidden="false" customHeight="false" outlineLevel="0" collapsed="false">
      <c r="A19" s="8" t="s">
        <v>5</v>
      </c>
      <c r="B19" s="76" t="n">
        <f aca="false">DCF!B8</f>
        <v>7453</v>
      </c>
      <c r="C19" s="10"/>
      <c r="D19" s="11"/>
    </row>
    <row r="20" customFormat="false" ht="15" hidden="false" customHeight="false" outlineLevel="0" collapsed="false">
      <c r="A20" s="8" t="s">
        <v>6</v>
      </c>
      <c r="B20" s="13" t="n">
        <f aca="false">B18*B19</f>
        <v>3977591.57</v>
      </c>
      <c r="C20" s="10"/>
      <c r="D20" s="11"/>
    </row>
    <row r="21" customFormat="false" ht="15" hidden="false" customHeight="false" outlineLevel="0" collapsed="false">
      <c r="A21" s="8" t="s">
        <v>8</v>
      </c>
      <c r="B21" s="77" t="n">
        <f aca="false">DCF!B11</f>
        <v>40294</v>
      </c>
      <c r="C21" s="10"/>
      <c r="D21" s="11"/>
    </row>
    <row r="22" customFormat="false" ht="15" hidden="false" customHeight="false" outlineLevel="0" collapsed="false">
      <c r="A22" s="8" t="s">
        <v>142</v>
      </c>
      <c r="B22" s="77" t="n">
        <f aca="false">DCF!B10</f>
        <v>76843</v>
      </c>
      <c r="C22" s="10"/>
      <c r="D22" s="11"/>
    </row>
    <row r="23" customFormat="false" ht="15" hidden="false" customHeight="false" outlineLevel="0" collapsed="false">
      <c r="A23" s="8" t="s">
        <v>9</v>
      </c>
      <c r="B23" s="13" t="n">
        <f aca="false">B21-B22</f>
        <v>-36549</v>
      </c>
      <c r="C23" s="10"/>
      <c r="D23" s="11"/>
    </row>
    <row r="24" customFormat="false" ht="15" hidden="false" customHeight="false" outlineLevel="0" collapsed="false">
      <c r="A24" s="18" t="s">
        <v>143</v>
      </c>
      <c r="B24" s="43" t="n">
        <f aca="false">B20+B21</f>
        <v>4017885.57</v>
      </c>
      <c r="C24" s="20"/>
      <c r="D24" s="21"/>
    </row>
    <row r="26" customFormat="false" ht="15" hidden="false" customHeight="false" outlineLevel="0" collapsed="false">
      <c r="A26" s="78" t="s">
        <v>104</v>
      </c>
      <c r="B26" s="79" t="s">
        <v>144</v>
      </c>
      <c r="C26" s="79" t="s">
        <v>145</v>
      </c>
      <c r="D26" s="80" t="s">
        <v>146</v>
      </c>
    </row>
    <row r="27" customFormat="false" ht="15" hidden="false" customHeight="false" outlineLevel="0" collapsed="false">
      <c r="A27" s="8" t="s">
        <v>147</v>
      </c>
      <c r="B27" s="37" t="n">
        <f aca="false">B20/B24</f>
        <v>0.989971342065872</v>
      </c>
      <c r="C27" s="37" t="n">
        <f aca="false">B7</f>
        <v>0.10718848624317</v>
      </c>
      <c r="D27" s="81" t="n">
        <f aca="false">B27*C27</f>
        <v>0.10611352958016</v>
      </c>
    </row>
    <row r="28" customFormat="false" ht="15" hidden="false" customHeight="false" outlineLevel="0" collapsed="false">
      <c r="A28" s="8" t="s">
        <v>148</v>
      </c>
      <c r="B28" s="37" t="n">
        <f aca="false">B21/B24</f>
        <v>0.0100286579341283</v>
      </c>
      <c r="C28" s="37" t="n">
        <f aca="false">B14</f>
        <v>0.047061</v>
      </c>
      <c r="D28" s="81" t="n">
        <f aca="false">B28*C28</f>
        <v>0.000471958671038011</v>
      </c>
    </row>
    <row r="29" customFormat="false" ht="15" hidden="false" customHeight="false" outlineLevel="0" collapsed="false">
      <c r="A29" s="82" t="s">
        <v>149</v>
      </c>
      <c r="B29" s="83" t="n">
        <f aca="false">D27+D28</f>
        <v>0.106585488251198</v>
      </c>
      <c r="C29" s="20"/>
      <c r="D29" s="21"/>
    </row>
    <row r="31" customFormat="false" ht="15" hidden="false" customHeight="false" outlineLevel="0" collapsed="false">
      <c r="A31" s="0" t="s">
        <v>150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5" min="2" style="0" width="15"/>
    <col collapsed="false" customWidth="true" hidden="false" outlineLevel="0" max="7" min="7" style="0" width="34"/>
  </cols>
  <sheetData>
    <row r="1" customFormat="false" ht="15" hidden="false" customHeight="false" outlineLevel="0" collapsed="false">
      <c r="A1" s="2" t="s">
        <v>151</v>
      </c>
    </row>
    <row r="3" customFormat="false" ht="15" hidden="false" customHeight="false" outlineLevel="0" collapsed="false">
      <c r="A3" s="84" t="s">
        <v>152</v>
      </c>
      <c r="B3" s="84" t="s">
        <v>153</v>
      </c>
      <c r="C3" s="84" t="s">
        <v>154</v>
      </c>
      <c r="D3" s="84" t="s">
        <v>155</v>
      </c>
      <c r="E3" s="84" t="s">
        <v>156</v>
      </c>
    </row>
    <row r="4" customFormat="false" ht="15" hidden="false" customHeight="false" outlineLevel="0" collapsed="false">
      <c r="A4" s="0" t="s">
        <v>157</v>
      </c>
      <c r="B4" s="85" t="n">
        <v>270.57</v>
      </c>
      <c r="C4" s="86" t="n">
        <v>4307.54</v>
      </c>
      <c r="G4" s="87" t="s">
        <v>158</v>
      </c>
      <c r="H4" s="88" t="n">
        <f aca="false">SLOPE(D5:D64,E5:E64)</f>
        <v>1.1017697248634</v>
      </c>
    </row>
    <row r="5" customFormat="false" ht="15" hidden="false" customHeight="false" outlineLevel="0" collapsed="false">
      <c r="A5" s="0" t="s">
        <v>159</v>
      </c>
      <c r="B5" s="85" t="n">
        <v>318.26</v>
      </c>
      <c r="C5" s="86" t="n">
        <v>4605.38</v>
      </c>
      <c r="D5" s="89" t="n">
        <f aca="false">B5/B4-1</f>
        <v>0.176257530398788</v>
      </c>
      <c r="E5" s="89" t="n">
        <f aca="false">C5/C4-1</f>
        <v>0.0691438733012346</v>
      </c>
      <c r="G5" s="87" t="s">
        <v>160</v>
      </c>
      <c r="H5" s="90" t="n">
        <f aca="false">COUNT(D5:D64)</f>
        <v>60</v>
      </c>
    </row>
    <row r="6" customFormat="false" ht="15" hidden="false" customHeight="false" outlineLevel="0" collapsed="false">
      <c r="A6" s="0" t="s">
        <v>161</v>
      </c>
      <c r="B6" s="85" t="n">
        <v>317.86</v>
      </c>
      <c r="C6" s="86" t="n">
        <v>4567</v>
      </c>
      <c r="D6" s="89" t="n">
        <f aca="false">B6/B5-1</f>
        <v>-0.0012568340350656</v>
      </c>
      <c r="E6" s="89" t="n">
        <f aca="false">C6/C5-1</f>
        <v>-0.00833373141847149</v>
      </c>
      <c r="G6" s="87" t="s">
        <v>162</v>
      </c>
      <c r="H6" s="91" t="n">
        <f aca="false">RSQ(D5:D64,E5:E64)</f>
        <v>0.397558148669754</v>
      </c>
    </row>
    <row r="7" customFormat="false" ht="15" hidden="false" customHeight="false" outlineLevel="0" collapsed="false">
      <c r="A7" s="0" t="s">
        <v>163</v>
      </c>
      <c r="B7" s="85" t="n">
        <v>323.37</v>
      </c>
      <c r="C7" s="86" t="n">
        <v>4766.18</v>
      </c>
      <c r="D7" s="89" t="n">
        <f aca="false">B7/B6-1</f>
        <v>0.017334675643365</v>
      </c>
      <c r="E7" s="89" t="n">
        <f aca="false">C7/C6-1</f>
        <v>0.0436128749726299</v>
      </c>
      <c r="G7" s="87" t="s">
        <v>164</v>
      </c>
      <c r="H7" s="91" t="n">
        <f aca="false">0.67*H4+0.33</f>
        <v>1.06818571565847</v>
      </c>
    </row>
    <row r="8" customFormat="false" ht="15" hidden="false" customHeight="false" outlineLevel="0" collapsed="false">
      <c r="A8" s="0" t="s">
        <v>165</v>
      </c>
      <c r="B8" s="85" t="n">
        <v>299</v>
      </c>
      <c r="C8" s="86" t="n">
        <v>4515.55</v>
      </c>
      <c r="D8" s="89" t="n">
        <f aca="false">B8/B7-1</f>
        <v>-0.0753625877477812</v>
      </c>
      <c r="E8" s="89" t="n">
        <f aca="false">C8/C7-1</f>
        <v>-0.0525850891069998</v>
      </c>
      <c r="G8" s="87" t="s">
        <v>166</v>
      </c>
    </row>
    <row r="9" customFormat="false" ht="15" hidden="false" customHeight="false" outlineLevel="0" collapsed="false">
      <c r="A9" s="0" t="s">
        <v>167</v>
      </c>
      <c r="B9" s="85" t="n">
        <v>287.88</v>
      </c>
      <c r="C9" s="86" t="n">
        <v>4373.94</v>
      </c>
      <c r="D9" s="89" t="n">
        <f aca="false">B9/B8-1</f>
        <v>-0.037190635451505</v>
      </c>
      <c r="E9" s="89" t="n">
        <f aca="false">C9/C8-1</f>
        <v>-0.0313605208667827</v>
      </c>
    </row>
    <row r="10" customFormat="false" ht="15" hidden="false" customHeight="false" outlineLevel="0" collapsed="false">
      <c r="A10" s="0" t="s">
        <v>168</v>
      </c>
      <c r="B10" s="85" t="n">
        <v>297.05</v>
      </c>
      <c r="C10" s="86" t="n">
        <v>4530.41</v>
      </c>
      <c r="D10" s="89" t="n">
        <f aca="false">B10/B9-1</f>
        <v>0.0318535500903154</v>
      </c>
      <c r="E10" s="89" t="n">
        <f aca="false">C10/C9-1</f>
        <v>0.0357732387732801</v>
      </c>
    </row>
    <row r="11" customFormat="false" ht="15" hidden="false" customHeight="false" outlineLevel="0" collapsed="false">
      <c r="A11" s="0" t="s">
        <v>169</v>
      </c>
      <c r="B11" s="85" t="n">
        <v>267.38</v>
      </c>
      <c r="C11" s="86" t="n">
        <v>4131.93</v>
      </c>
      <c r="D11" s="89" t="n">
        <f aca="false">B11/B10-1</f>
        <v>-0.0998821747180609</v>
      </c>
      <c r="E11" s="89" t="n">
        <f aca="false">C11/C10-1</f>
        <v>-0.0879567191490394</v>
      </c>
    </row>
    <row r="12" customFormat="false" ht="15" hidden="false" customHeight="false" outlineLevel="0" collapsed="false">
      <c r="A12" s="0" t="s">
        <v>170</v>
      </c>
      <c r="B12" s="85" t="n">
        <v>262.55</v>
      </c>
      <c r="C12" s="86" t="n">
        <v>4132.15</v>
      </c>
      <c r="D12" s="89" t="n">
        <f aca="false">B12/B11-1</f>
        <v>-0.0180641783229859</v>
      </c>
      <c r="E12" s="89" t="n">
        <f aca="false">C12/C11-1</f>
        <v>5.32438836087223E-005</v>
      </c>
    </row>
    <row r="13" customFormat="false" ht="15" hidden="false" customHeight="false" outlineLevel="0" collapsed="false">
      <c r="A13" s="0" t="s">
        <v>171</v>
      </c>
      <c r="B13" s="85" t="n">
        <v>248.02</v>
      </c>
      <c r="C13" s="86" t="n">
        <v>3785.38</v>
      </c>
      <c r="D13" s="89" t="n">
        <f aca="false">B13/B12-1</f>
        <v>-0.0553418396495906</v>
      </c>
      <c r="E13" s="89" t="n">
        <f aca="false">C13/C12-1</f>
        <v>-0.0839199932238665</v>
      </c>
    </row>
    <row r="14" customFormat="false" ht="15" hidden="false" customHeight="false" outlineLevel="0" collapsed="false">
      <c r="A14" s="0" t="s">
        <v>172</v>
      </c>
      <c r="B14" s="85" t="n">
        <v>271.11</v>
      </c>
      <c r="C14" s="86" t="n">
        <v>4130.29</v>
      </c>
      <c r="D14" s="89" t="n">
        <f aca="false">B14/B13-1</f>
        <v>0.0930973308604144</v>
      </c>
      <c r="E14" s="89" t="n">
        <f aca="false">C14/C13-1</f>
        <v>0.0911163476322059</v>
      </c>
    </row>
    <row r="15" customFormat="false" ht="15" hidden="false" customHeight="false" outlineLevel="0" collapsed="false">
      <c r="A15" s="0" t="s">
        <v>173</v>
      </c>
      <c r="B15" s="85" t="n">
        <v>253.04</v>
      </c>
      <c r="C15" s="86" t="n">
        <v>3955</v>
      </c>
      <c r="D15" s="89" t="n">
        <f aca="false">B15/B14-1</f>
        <v>-0.0666519125078382</v>
      </c>
      <c r="E15" s="89" t="n">
        <f aca="false">C15/C14-1</f>
        <v>-0.0424401192168105</v>
      </c>
    </row>
    <row r="16" customFormat="false" ht="15" hidden="false" customHeight="false" outlineLevel="0" collapsed="false">
      <c r="A16" s="0" t="s">
        <v>174</v>
      </c>
      <c r="B16" s="85" t="n">
        <v>225.39</v>
      </c>
      <c r="C16" s="86" t="n">
        <v>3585.62</v>
      </c>
      <c r="D16" s="89" t="n">
        <f aca="false">B16/B15-1</f>
        <v>-0.109271261460639</v>
      </c>
      <c r="E16" s="89" t="n">
        <f aca="false">C16/C15-1</f>
        <v>-0.0933957016434893</v>
      </c>
    </row>
    <row r="17" customFormat="false" ht="15" hidden="false" customHeight="false" outlineLevel="0" collapsed="false">
      <c r="A17" s="0" t="s">
        <v>175</v>
      </c>
      <c r="B17" s="85" t="n">
        <v>224.65</v>
      </c>
      <c r="C17" s="86" t="n">
        <v>3871.98</v>
      </c>
      <c r="D17" s="89" t="n">
        <f aca="false">B17/B16-1</f>
        <v>-0.00328319801233412</v>
      </c>
      <c r="E17" s="89" t="n">
        <f aca="false">C17/C16-1</f>
        <v>0.0798634545768933</v>
      </c>
    </row>
    <row r="18" customFormat="false" ht="15" hidden="false" customHeight="false" outlineLevel="0" collapsed="false">
      <c r="A18" s="0" t="s">
        <v>176</v>
      </c>
      <c r="B18" s="85" t="n">
        <v>247.61</v>
      </c>
      <c r="C18" s="86" t="n">
        <v>4080.11</v>
      </c>
      <c r="D18" s="89" t="n">
        <f aca="false">B18/B17-1</f>
        <v>0.102203427553973</v>
      </c>
      <c r="E18" s="89" t="n">
        <f aca="false">C18/C17-1</f>
        <v>0.0537528602936999</v>
      </c>
    </row>
    <row r="19" customFormat="false" ht="15" hidden="false" customHeight="false" outlineLevel="0" collapsed="false">
      <c r="A19" s="0" t="s">
        <v>177</v>
      </c>
      <c r="B19" s="85" t="n">
        <v>232.74</v>
      </c>
      <c r="C19" s="86" t="n">
        <v>3839.5</v>
      </c>
      <c r="D19" s="89" t="n">
        <f aca="false">B19/B18-1</f>
        <v>-0.0600541173619805</v>
      </c>
      <c r="E19" s="89" t="n">
        <f aca="false">C19/C18-1</f>
        <v>-0.0589714492991611</v>
      </c>
    </row>
    <row r="20" customFormat="false" ht="15" hidden="false" customHeight="false" outlineLevel="0" collapsed="false">
      <c r="A20" s="0" t="s">
        <v>178</v>
      </c>
      <c r="B20" s="85" t="n">
        <v>240.5</v>
      </c>
      <c r="C20" s="86" t="n">
        <v>4076.6</v>
      </c>
      <c r="D20" s="89" t="n">
        <f aca="false">B20/B19-1</f>
        <v>0.0333419266133883</v>
      </c>
      <c r="E20" s="89" t="n">
        <f aca="false">C20/C19-1</f>
        <v>0.061752832400052</v>
      </c>
    </row>
    <row r="21" customFormat="false" ht="15" hidden="false" customHeight="false" outlineLevel="0" collapsed="false">
      <c r="A21" s="0" t="s">
        <v>179</v>
      </c>
      <c r="B21" s="85" t="n">
        <v>242.67</v>
      </c>
      <c r="C21" s="86" t="n">
        <v>3970.15</v>
      </c>
      <c r="D21" s="89" t="n">
        <f aca="false">B21/B20-1</f>
        <v>0.00902286902286886</v>
      </c>
      <c r="E21" s="89" t="n">
        <f aca="false">C21/C20-1</f>
        <v>-0.0261124466467153</v>
      </c>
    </row>
    <row r="22" customFormat="false" ht="15" hidden="false" customHeight="false" outlineLevel="0" collapsed="false">
      <c r="A22" s="0" t="s">
        <v>180</v>
      </c>
      <c r="B22" s="85" t="n">
        <v>280.49</v>
      </c>
      <c r="C22" s="86" t="n">
        <v>4109.31</v>
      </c>
      <c r="D22" s="89" t="n">
        <f aca="false">B22/B21-1</f>
        <v>0.155849507561709</v>
      </c>
      <c r="E22" s="89" t="n">
        <f aca="false">C22/C21-1</f>
        <v>0.035051572358727</v>
      </c>
    </row>
    <row r="23" customFormat="false" ht="15" hidden="false" customHeight="false" outlineLevel="0" collapsed="false">
      <c r="A23" s="0" t="s">
        <v>181</v>
      </c>
      <c r="B23" s="85" t="n">
        <v>298.94</v>
      </c>
      <c r="C23" s="86" t="n">
        <v>4169.48</v>
      </c>
      <c r="D23" s="89" t="n">
        <f aca="false">B23/B22-1</f>
        <v>0.0657777460872044</v>
      </c>
      <c r="E23" s="89" t="n">
        <f aca="false">C23/C22-1</f>
        <v>0.0146423608829704</v>
      </c>
    </row>
    <row r="24" customFormat="false" ht="15" hidden="false" customHeight="false" outlineLevel="0" collapsed="false">
      <c r="A24" s="0" t="s">
        <v>182</v>
      </c>
      <c r="B24" s="85" t="n">
        <v>320.2</v>
      </c>
      <c r="C24" s="86" t="n">
        <v>4179.83</v>
      </c>
      <c r="D24" s="89" t="n">
        <f aca="false">B24/B23-1</f>
        <v>0.0711179500903192</v>
      </c>
      <c r="E24" s="89" t="n">
        <f aca="false">C24/C23-1</f>
        <v>0.00248232393487924</v>
      </c>
    </row>
    <row r="25" customFormat="false" ht="15" hidden="false" customHeight="false" outlineLevel="0" collapsed="false">
      <c r="A25" s="0" t="s">
        <v>183</v>
      </c>
      <c r="B25" s="85" t="n">
        <v>332.04</v>
      </c>
      <c r="C25" s="86" t="n">
        <v>4450.38</v>
      </c>
      <c r="D25" s="89" t="n">
        <f aca="false">B25/B24-1</f>
        <v>0.0369768894440976</v>
      </c>
      <c r="E25" s="89" t="n">
        <f aca="false">C25/C24-1</f>
        <v>0.0647275128414313</v>
      </c>
    </row>
    <row r="26" customFormat="false" ht="15" hidden="false" customHeight="false" outlineLevel="0" collapsed="false">
      <c r="A26" s="0" t="s">
        <v>184</v>
      </c>
      <c r="B26" s="85" t="n">
        <v>327.54</v>
      </c>
      <c r="C26" s="86" t="n">
        <v>4588.96</v>
      </c>
      <c r="D26" s="89" t="n">
        <f aca="false">B26/B25-1</f>
        <v>-0.013552584026021</v>
      </c>
      <c r="E26" s="89" t="n">
        <f aca="false">C26/C25-1</f>
        <v>0.0311389139803793</v>
      </c>
    </row>
    <row r="27" customFormat="false" ht="15" hidden="false" customHeight="false" outlineLevel="0" collapsed="false">
      <c r="A27" s="0" t="s">
        <v>185</v>
      </c>
      <c r="B27" s="85" t="n">
        <v>320.26</v>
      </c>
      <c r="C27" s="86" t="n">
        <v>4507.66</v>
      </c>
      <c r="D27" s="89" t="n">
        <f aca="false">B27/B26-1</f>
        <v>-0.0222262929718509</v>
      </c>
      <c r="E27" s="89" t="n">
        <f aca="false">C27/C26-1</f>
        <v>-0.0177164324814337</v>
      </c>
    </row>
    <row r="28" customFormat="false" ht="15" hidden="false" customHeight="false" outlineLevel="0" collapsed="false">
      <c r="A28" s="0" t="s">
        <v>186</v>
      </c>
      <c r="B28" s="85" t="n">
        <v>308.52</v>
      </c>
      <c r="C28" s="86" t="n">
        <v>4288.05</v>
      </c>
      <c r="D28" s="89" t="n">
        <f aca="false">B28/B27-1</f>
        <v>-0.0366577156060701</v>
      </c>
      <c r="E28" s="89" t="n">
        <f aca="false">C28/C27-1</f>
        <v>-0.048719291162155</v>
      </c>
    </row>
    <row r="29" customFormat="false" ht="15" hidden="false" customHeight="false" outlineLevel="0" collapsed="false">
      <c r="A29" s="0" t="s">
        <v>187</v>
      </c>
      <c r="B29" s="85" t="n">
        <v>330.37</v>
      </c>
      <c r="C29" s="86" t="n">
        <v>4193.8</v>
      </c>
      <c r="D29" s="89" t="n">
        <f aca="false">B29/B28-1</f>
        <v>0.0708219888499937</v>
      </c>
      <c r="E29" s="89" t="n">
        <f aca="false">C29/C28-1</f>
        <v>-0.0219796877368501</v>
      </c>
    </row>
    <row r="30" customFormat="false" ht="15" hidden="false" customHeight="false" outlineLevel="0" collapsed="false">
      <c r="A30" s="0" t="s">
        <v>188</v>
      </c>
      <c r="B30" s="85" t="n">
        <v>370.99</v>
      </c>
      <c r="C30" s="86" t="n">
        <v>4567.8</v>
      </c>
      <c r="D30" s="89" t="n">
        <f aca="false">B30/B29-1</f>
        <v>0.122953052637951</v>
      </c>
      <c r="E30" s="89" t="n">
        <f aca="false">C30/C29-1</f>
        <v>0.0891792646287377</v>
      </c>
    </row>
    <row r="31" customFormat="false" ht="15" hidden="false" customHeight="false" outlineLevel="0" collapsed="false">
      <c r="A31" s="0" t="s">
        <v>189</v>
      </c>
      <c r="B31" s="85" t="n">
        <v>368.18</v>
      </c>
      <c r="C31" s="86" t="n">
        <v>4769.83</v>
      </c>
      <c r="D31" s="89" t="n">
        <f aca="false">B31/B30-1</f>
        <v>-0.00757432814900672</v>
      </c>
      <c r="E31" s="89" t="n">
        <f aca="false">C31/C30-1</f>
        <v>0.0442291694032138</v>
      </c>
    </row>
    <row r="32" customFormat="false" ht="15" hidden="false" customHeight="false" outlineLevel="0" collapsed="false">
      <c r="A32" s="0" t="s">
        <v>190</v>
      </c>
      <c r="B32" s="85" t="n">
        <v>389.27</v>
      </c>
      <c r="C32" s="86" t="n">
        <v>4845.65</v>
      </c>
      <c r="D32" s="89" t="n">
        <f aca="false">B32/B31-1</f>
        <v>0.0572817643543917</v>
      </c>
      <c r="E32" s="89" t="n">
        <f aca="false">C32/C31-1</f>
        <v>0.0158957447120756</v>
      </c>
    </row>
    <row r="33" customFormat="false" ht="15" hidden="false" customHeight="false" outlineLevel="0" collapsed="false">
      <c r="A33" s="0" t="s">
        <v>191</v>
      </c>
      <c r="B33" s="85" t="n">
        <v>405.74</v>
      </c>
      <c r="C33" s="86" t="n">
        <v>5096.27</v>
      </c>
      <c r="D33" s="89" t="n">
        <f aca="false">B33/B32-1</f>
        <v>0.0423099648059189</v>
      </c>
      <c r="E33" s="89" t="n">
        <f aca="false">C33/C32-1</f>
        <v>0.0517206153973153</v>
      </c>
    </row>
    <row r="34" customFormat="false" ht="15" hidden="false" customHeight="false" outlineLevel="0" collapsed="false">
      <c r="A34" s="0" t="s">
        <v>192</v>
      </c>
      <c r="B34" s="85" t="n">
        <v>412.69</v>
      </c>
      <c r="C34" s="86" t="n">
        <v>5254.35</v>
      </c>
      <c r="D34" s="89" t="n">
        <f aca="false">B34/B33-1</f>
        <v>0.0171291960368709</v>
      </c>
      <c r="E34" s="89" t="n">
        <f aca="false">C34/C33-1</f>
        <v>0.0310187647043818</v>
      </c>
    </row>
    <row r="35" customFormat="false" ht="15" hidden="false" customHeight="false" outlineLevel="0" collapsed="false">
      <c r="A35" s="0" t="s">
        <v>193</v>
      </c>
      <c r="B35" s="85" t="n">
        <v>381.9</v>
      </c>
      <c r="C35" s="86" t="n">
        <v>5035.69</v>
      </c>
      <c r="D35" s="89" t="n">
        <f aca="false">B35/B34-1</f>
        <v>-0.0746080593181323</v>
      </c>
      <c r="E35" s="89" t="n">
        <f aca="false">C35/C34-1</f>
        <v>-0.0416150427740826</v>
      </c>
    </row>
    <row r="36" customFormat="false" ht="15" hidden="false" customHeight="false" outlineLevel="0" collapsed="false">
      <c r="A36" s="0" t="s">
        <v>194</v>
      </c>
      <c r="B36" s="85" t="n">
        <v>407.94</v>
      </c>
      <c r="C36" s="86" t="n">
        <v>5277.51</v>
      </c>
      <c r="D36" s="89" t="n">
        <f aca="false">B36/B35-1</f>
        <v>0.0681853888452475</v>
      </c>
      <c r="E36" s="89" t="n">
        <f aca="false">C36/C35-1</f>
        <v>0.0480212244995226</v>
      </c>
    </row>
    <row r="37" customFormat="false" ht="15" hidden="false" customHeight="false" outlineLevel="0" collapsed="false">
      <c r="A37" s="0" t="s">
        <v>195</v>
      </c>
      <c r="B37" s="85" t="n">
        <v>439.21</v>
      </c>
      <c r="C37" s="86" t="n">
        <v>5460.48</v>
      </c>
      <c r="D37" s="89" t="n">
        <f aca="false">B37/B36-1</f>
        <v>0.0766534294258958</v>
      </c>
      <c r="E37" s="89" t="n">
        <f aca="false">C37/C36-1</f>
        <v>0.0346697590340899</v>
      </c>
    </row>
    <row r="38" customFormat="false" ht="15" hidden="false" customHeight="false" outlineLevel="0" collapsed="false">
      <c r="A38" s="0" t="s">
        <v>196</v>
      </c>
      <c r="B38" s="85" t="n">
        <v>411.1</v>
      </c>
      <c r="C38" s="86" t="n">
        <v>5522.3</v>
      </c>
      <c r="D38" s="89" t="n">
        <f aca="false">B38/B37-1</f>
        <v>-0.0640012750165068</v>
      </c>
      <c r="E38" s="89" t="n">
        <f aca="false">C38/C37-1</f>
        <v>0.0113213490389124</v>
      </c>
    </row>
    <row r="39" customFormat="false" ht="15" hidden="false" customHeight="false" outlineLevel="0" collapsed="false">
      <c r="A39" s="0" t="s">
        <v>197</v>
      </c>
      <c r="B39" s="85" t="n">
        <v>410.65</v>
      </c>
      <c r="C39" s="86" t="n">
        <v>5648.4</v>
      </c>
      <c r="D39" s="89" t="n">
        <f aca="false">B39/B38-1</f>
        <v>-0.00109462417903194</v>
      </c>
      <c r="E39" s="89" t="n">
        <f aca="false">C39/C38-1</f>
        <v>0.0228346884450319</v>
      </c>
    </row>
    <row r="40" customFormat="false" ht="15" hidden="false" customHeight="false" outlineLevel="0" collapsed="false">
      <c r="A40" s="0" t="s">
        <v>198</v>
      </c>
      <c r="B40" s="85" t="n">
        <v>423.61</v>
      </c>
      <c r="C40" s="86" t="n">
        <v>5762.48</v>
      </c>
      <c r="D40" s="89" t="n">
        <f aca="false">B40/B39-1</f>
        <v>0.0315597223913309</v>
      </c>
      <c r="E40" s="89" t="n">
        <f aca="false">C40/C39-1</f>
        <v>0.020196869910063</v>
      </c>
    </row>
    <row r="41" customFormat="false" ht="15" hidden="false" customHeight="false" outlineLevel="0" collapsed="false">
      <c r="A41" s="0" t="s">
        <v>199</v>
      </c>
      <c r="B41" s="85" t="n">
        <v>400.03</v>
      </c>
      <c r="C41" s="86" t="n">
        <v>5705.45</v>
      </c>
      <c r="D41" s="89" t="n">
        <f aca="false">B41/B40-1</f>
        <v>-0.0556644083000875</v>
      </c>
      <c r="E41" s="89" t="n">
        <f aca="false">C41/C40-1</f>
        <v>-0.00989678055281751</v>
      </c>
    </row>
    <row r="42" customFormat="false" ht="15" hidden="false" customHeight="false" outlineLevel="0" collapsed="false">
      <c r="A42" s="0" t="s">
        <v>200</v>
      </c>
      <c r="B42" s="85" t="n">
        <v>417.71</v>
      </c>
      <c r="C42" s="86" t="n">
        <v>6032.38</v>
      </c>
      <c r="D42" s="89" t="n">
        <f aca="false">B42/B41-1</f>
        <v>0.0441966852486064</v>
      </c>
      <c r="E42" s="89" t="n">
        <f aca="false">C42/C41-1</f>
        <v>0.0573013522158639</v>
      </c>
    </row>
    <row r="43" customFormat="false" ht="15" hidden="false" customHeight="false" outlineLevel="0" collapsed="false">
      <c r="A43" s="0" t="s">
        <v>201</v>
      </c>
      <c r="B43" s="85" t="n">
        <v>415.78</v>
      </c>
      <c r="C43" s="86" t="n">
        <v>5881.63</v>
      </c>
      <c r="D43" s="89" t="n">
        <f aca="false">B43/B42-1</f>
        <v>-0.00462043044217286</v>
      </c>
      <c r="E43" s="89" t="n">
        <f aca="false">C43/C42-1</f>
        <v>-0.024990136563015</v>
      </c>
    </row>
    <row r="44" customFormat="false" ht="15" hidden="false" customHeight="false" outlineLevel="0" collapsed="false">
      <c r="A44" s="0" t="s">
        <v>202</v>
      </c>
      <c r="B44" s="85" t="n">
        <v>409.42</v>
      </c>
      <c r="C44" s="86" t="n">
        <v>6040.53</v>
      </c>
      <c r="D44" s="89" t="n">
        <f aca="false">B44/B43-1</f>
        <v>-0.015296551060657</v>
      </c>
      <c r="E44" s="89" t="n">
        <f aca="false">C44/C43-1</f>
        <v>0.0270163203057656</v>
      </c>
    </row>
    <row r="45" customFormat="false" ht="15" hidden="false" customHeight="false" outlineLevel="0" collapsed="false">
      <c r="A45" s="0" t="s">
        <v>203</v>
      </c>
      <c r="B45" s="85" t="n">
        <v>392.38</v>
      </c>
      <c r="C45" s="86" t="n">
        <v>5954.5</v>
      </c>
      <c r="D45" s="89" t="n">
        <f aca="false">B45/B44-1</f>
        <v>-0.0416198524742318</v>
      </c>
      <c r="E45" s="89" t="n">
        <f aca="false">C45/C44-1</f>
        <v>-0.0142421277603124</v>
      </c>
    </row>
    <row r="46" customFormat="false" ht="15" hidden="false" customHeight="false" outlineLevel="0" collapsed="false">
      <c r="A46" s="0" t="s">
        <v>204</v>
      </c>
      <c r="B46" s="85" t="n">
        <v>371.03</v>
      </c>
      <c r="C46" s="86" t="n">
        <v>5611.85</v>
      </c>
      <c r="D46" s="89" t="n">
        <f aca="false">B46/B45-1</f>
        <v>-0.0544115398338346</v>
      </c>
      <c r="E46" s="89" t="n">
        <f aca="false">C46/C45-1</f>
        <v>-0.0575447140817869</v>
      </c>
    </row>
    <row r="47" customFormat="false" ht="15" hidden="false" customHeight="false" outlineLevel="0" collapsed="false">
      <c r="A47" s="0" t="s">
        <v>205</v>
      </c>
      <c r="B47" s="85" t="n">
        <v>390.67</v>
      </c>
      <c r="C47" s="86" t="n">
        <v>5569.06</v>
      </c>
      <c r="D47" s="89" t="n">
        <f aca="false">B47/B46-1</f>
        <v>0.0529337250357116</v>
      </c>
      <c r="E47" s="89" t="n">
        <f aca="false">C47/C46-1</f>
        <v>-0.00762493651826046</v>
      </c>
    </row>
    <row r="48" customFormat="false" ht="15" hidden="false" customHeight="false" outlineLevel="0" collapsed="false">
      <c r="A48" s="0" t="s">
        <v>206</v>
      </c>
      <c r="B48" s="85" t="n">
        <v>455.85</v>
      </c>
      <c r="C48" s="86" t="n">
        <v>5911.69</v>
      </c>
      <c r="D48" s="89" t="n">
        <f aca="false">B48/B47-1</f>
        <v>0.166841579850001</v>
      </c>
      <c r="E48" s="89" t="n">
        <f aca="false">C48/C47-1</f>
        <v>0.061523847830693</v>
      </c>
    </row>
    <row r="49" customFormat="false" ht="15" hidden="false" customHeight="false" outlineLevel="0" collapsed="false">
      <c r="A49" s="0" t="s">
        <v>207</v>
      </c>
      <c r="B49" s="85" t="n">
        <v>492.54</v>
      </c>
      <c r="C49" s="86" t="n">
        <v>6204.95</v>
      </c>
      <c r="D49" s="89" t="n">
        <f aca="false">B49/B48-1</f>
        <v>0.0804870023033892</v>
      </c>
      <c r="E49" s="89" t="n">
        <f aca="false">C49/C48-1</f>
        <v>0.0496067960261788</v>
      </c>
    </row>
    <row r="50" customFormat="false" ht="15" hidden="false" customHeight="false" outlineLevel="0" collapsed="false">
      <c r="A50" s="0" t="s">
        <v>208</v>
      </c>
      <c r="B50" s="85" t="n">
        <v>528.28</v>
      </c>
      <c r="C50" s="86" t="n">
        <v>6339.39</v>
      </c>
      <c r="D50" s="89" t="n">
        <f aca="false">B50/B49-1</f>
        <v>0.072562634506842</v>
      </c>
      <c r="E50" s="89" t="n">
        <f aca="false">C50/C49-1</f>
        <v>0.0216665726557024</v>
      </c>
    </row>
    <row r="51" customFormat="false" ht="15" hidden="false" customHeight="false" outlineLevel="0" collapsed="false">
      <c r="A51" s="0" t="s">
        <v>209</v>
      </c>
      <c r="B51" s="85" t="n">
        <v>502.56</v>
      </c>
      <c r="C51" s="86" t="n">
        <v>6460.26</v>
      </c>
      <c r="D51" s="89" t="n">
        <f aca="false">B51/B50-1</f>
        <v>-0.0486863027182555</v>
      </c>
      <c r="E51" s="89" t="n">
        <f aca="false">C51/C50-1</f>
        <v>0.0190665032440029</v>
      </c>
    </row>
    <row r="52" customFormat="false" ht="15" hidden="false" customHeight="false" outlineLevel="0" collapsed="false">
      <c r="A52" s="0" t="s">
        <v>210</v>
      </c>
      <c r="B52" s="85" t="n">
        <v>513.72</v>
      </c>
      <c r="C52" s="86" t="n">
        <v>6688.46</v>
      </c>
      <c r="D52" s="89" t="n">
        <f aca="false">B52/B51-1</f>
        <v>0.0222063037249285</v>
      </c>
      <c r="E52" s="89" t="n">
        <f aca="false">C52/C51-1</f>
        <v>0.0353236557042596</v>
      </c>
    </row>
    <row r="53" customFormat="false" ht="15" hidden="false" customHeight="false" outlineLevel="0" collapsed="false">
      <c r="A53" s="0" t="s">
        <v>211</v>
      </c>
      <c r="B53" s="85" t="n">
        <v>513.58</v>
      </c>
      <c r="C53" s="86" t="n">
        <v>6840.2</v>
      </c>
      <c r="D53" s="89" t="n">
        <f aca="false">B53/B52-1</f>
        <v>-0.000272521996418251</v>
      </c>
      <c r="E53" s="89" t="n">
        <f aca="false">C53/C52-1</f>
        <v>0.0226868367307271</v>
      </c>
    </row>
    <row r="54" customFormat="false" ht="15" hidden="false" customHeight="false" outlineLevel="0" collapsed="false">
      <c r="A54" s="0" t="s">
        <v>212</v>
      </c>
      <c r="B54" s="85" t="n">
        <v>488.91</v>
      </c>
      <c r="C54" s="86" t="n">
        <v>6849.09</v>
      </c>
      <c r="D54" s="89" t="n">
        <f aca="false">B54/B53-1</f>
        <v>-0.0480353596323845</v>
      </c>
      <c r="E54" s="89" t="n">
        <f aca="false">C54/C53-1</f>
        <v>0.00129966960030403</v>
      </c>
    </row>
    <row r="55" customFormat="false" ht="15" hidden="false" customHeight="false" outlineLevel="0" collapsed="false">
      <c r="A55" s="0" t="s">
        <v>213</v>
      </c>
      <c r="B55" s="85" t="n">
        <v>480.57</v>
      </c>
      <c r="C55" s="86" t="n">
        <v>6845.5</v>
      </c>
      <c r="D55" s="89" t="n">
        <f aca="false">B55/B54-1</f>
        <v>-0.0170583542983371</v>
      </c>
      <c r="E55" s="89" t="n">
        <f aca="false">C55/C54-1</f>
        <v>-0.000524157223806387</v>
      </c>
    </row>
    <row r="56" customFormat="false" ht="15" hidden="false" customHeight="false" outlineLevel="0" collapsed="false">
      <c r="A56" s="0" t="s">
        <v>214</v>
      </c>
      <c r="B56" s="85" t="n">
        <v>427.58</v>
      </c>
      <c r="C56" s="86" t="n">
        <v>6939.03</v>
      </c>
      <c r="D56" s="89" t="n">
        <f aca="false">B56/B55-1</f>
        <v>-0.110264893771979</v>
      </c>
      <c r="E56" s="89" t="n">
        <f aca="false">C56/C55-1</f>
        <v>0.0136629902855889</v>
      </c>
    </row>
    <row r="57" customFormat="false" ht="15" hidden="false" customHeight="false" outlineLevel="0" collapsed="false">
      <c r="A57" s="0" t="s">
        <v>215</v>
      </c>
      <c r="B57" s="85" t="n">
        <v>391.15</v>
      </c>
      <c r="C57" s="86" t="n">
        <v>6878.88</v>
      </c>
      <c r="D57" s="89" t="n">
        <f aca="false">B57/B56-1</f>
        <v>-0.0852004303288274</v>
      </c>
      <c r="E57" s="89" t="n">
        <f aca="false">C57/C56-1</f>
        <v>-0.00866835854579096</v>
      </c>
    </row>
    <row r="58" customFormat="false" ht="15" hidden="false" customHeight="false" outlineLevel="0" collapsed="false">
      <c r="A58" s="0" t="s">
        <v>216</v>
      </c>
      <c r="B58" s="85" t="n">
        <v>368.68</v>
      </c>
      <c r="C58" s="86" t="n">
        <v>6528.52</v>
      </c>
      <c r="D58" s="89" t="n">
        <f aca="false">B58/B57-1</f>
        <v>-0.0574459925859644</v>
      </c>
      <c r="E58" s="89" t="n">
        <f aca="false">C58/C57-1</f>
        <v>-0.0509327099760426</v>
      </c>
    </row>
    <row r="59" customFormat="false" ht="15" hidden="false" customHeight="false" outlineLevel="0" collapsed="false">
      <c r="A59" s="0" t="s">
        <v>217</v>
      </c>
      <c r="B59" s="85" t="n">
        <v>406.13</v>
      </c>
      <c r="C59" s="86" t="n">
        <v>7209.01</v>
      </c>
      <c r="D59" s="89" t="n">
        <f aca="false">B59/B58-1</f>
        <v>0.101578604752089</v>
      </c>
      <c r="E59" s="89" t="n">
        <f aca="false">C59/C58-1</f>
        <v>0.104233425033545</v>
      </c>
    </row>
    <row r="60" customFormat="false" ht="15" hidden="false" customHeight="false" outlineLevel="0" collapsed="false">
      <c r="A60" s="0" t="s">
        <v>218</v>
      </c>
      <c r="B60" s="85" t="n">
        <v>449.39</v>
      </c>
      <c r="C60" s="86" t="n">
        <v>7580.06</v>
      </c>
      <c r="D60" s="89" t="n">
        <f aca="false">B60/B59-1</f>
        <v>0.106517617511634</v>
      </c>
      <c r="E60" s="89" t="n">
        <f aca="false">C60/C59-1</f>
        <v>0.0514703128446208</v>
      </c>
    </row>
    <row r="61" customFormat="false" ht="15" hidden="false" customHeight="false" outlineLevel="0" collapsed="false">
      <c r="A61" s="0" t="s">
        <v>219</v>
      </c>
      <c r="B61" s="85" t="n">
        <v>372.32</v>
      </c>
      <c r="C61" s="86" t="n">
        <v>7499.36</v>
      </c>
      <c r="D61" s="89" t="n">
        <f aca="false">B61/B60-1</f>
        <v>-0.171499143283117</v>
      </c>
      <c r="E61" s="89" t="n">
        <f aca="false">C61/C60-1</f>
        <v>-0.0106463537227939</v>
      </c>
    </row>
    <row r="62" customFormat="false" ht="15" hidden="false" customHeight="false" outlineLevel="0" collapsed="false">
      <c r="A62" s="0" t="s">
        <v>220</v>
      </c>
      <c r="B62" s="85" t="n">
        <v>463.85</v>
      </c>
      <c r="C62" s="86" t="n">
        <v>7489.72</v>
      </c>
      <c r="D62" s="89" t="n">
        <f aca="false">B62/B61-1</f>
        <v>0.245836914482166</v>
      </c>
      <c r="E62" s="89" t="n">
        <f aca="false">C62/C61-1</f>
        <v>-0.00128544302447131</v>
      </c>
    </row>
    <row r="63" customFormat="false" ht="15" hidden="false" customHeight="false" outlineLevel="0" collapsed="false">
      <c r="A63" s="0" t="s">
        <v>221</v>
      </c>
      <c r="B63" s="85" t="n">
        <v>507.29</v>
      </c>
      <c r="C63" s="86" t="n">
        <v>7686.14</v>
      </c>
      <c r="D63" s="89" t="n">
        <f aca="false">B63/B62-1</f>
        <v>0.093650964751536</v>
      </c>
      <c r="E63" s="89" t="n">
        <f aca="false">C63/C62-1</f>
        <v>0.0262252794496991</v>
      </c>
    </row>
    <row r="64" customFormat="false" ht="15" hidden="false" customHeight="false" outlineLevel="0" collapsed="false">
      <c r="A64" s="0" t="s">
        <v>222</v>
      </c>
      <c r="B64" s="85" t="n">
        <v>512.9</v>
      </c>
      <c r="C64" s="86" t="n">
        <v>7651.54</v>
      </c>
      <c r="D64" s="89" t="n">
        <f aca="false">B64/B63-1</f>
        <v>0.0110587632320762</v>
      </c>
      <c r="E64" s="89" t="n">
        <f aca="false">C64/C63-1</f>
        <v>-0.00450160939040922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14" min="2" style="0" width="15"/>
  </cols>
  <sheetData>
    <row r="1" customFormat="false" ht="15" hidden="false" customHeight="false" outlineLevel="0" collapsed="false">
      <c r="A1" s="71" t="s">
        <v>223</v>
      </c>
    </row>
    <row r="2" customFormat="false" ht="15" hidden="false" customHeight="false" outlineLevel="0" collapsed="false">
      <c r="A2" s="0" t="s">
        <v>224</v>
      </c>
    </row>
    <row r="3" customFormat="false" ht="15" hidden="false" customHeight="false" outlineLevel="0" collapsed="false">
      <c r="A3" s="0" t="s">
        <v>225</v>
      </c>
    </row>
    <row r="5" customFormat="false" ht="15" hidden="false" customHeight="false" outlineLevel="0" collapsed="false">
      <c r="A5" s="92" t="s">
        <v>226</v>
      </c>
      <c r="B5" s="93"/>
      <c r="C5" s="93"/>
      <c r="D5" s="93"/>
      <c r="E5" s="93"/>
      <c r="F5" s="93"/>
      <c r="G5" s="93"/>
      <c r="H5" s="93"/>
      <c r="I5" s="93"/>
      <c r="J5" s="93"/>
      <c r="K5" s="93"/>
      <c r="L5" s="93"/>
      <c r="M5" s="93"/>
      <c r="N5" s="94"/>
    </row>
    <row r="6" customFormat="false" ht="15" hidden="false" customHeight="false" outlineLevel="0" collapsed="false">
      <c r="A6" s="95" t="s">
        <v>227</v>
      </c>
      <c r="B6" s="26" t="s">
        <v>228</v>
      </c>
      <c r="C6" s="26" t="s">
        <v>229</v>
      </c>
      <c r="D6" s="26" t="s">
        <v>43</v>
      </c>
      <c r="E6" s="26" t="s">
        <v>230</v>
      </c>
      <c r="F6" s="26" t="s">
        <v>231</v>
      </c>
      <c r="G6" s="26" t="s">
        <v>232</v>
      </c>
      <c r="H6" s="26" t="s">
        <v>233</v>
      </c>
      <c r="I6" s="26" t="s">
        <v>234</v>
      </c>
      <c r="J6" s="26" t="s">
        <v>235</v>
      </c>
      <c r="K6" s="26" t="s">
        <v>236</v>
      </c>
      <c r="L6" s="26" t="s">
        <v>237</v>
      </c>
      <c r="M6" s="26" t="s">
        <v>238</v>
      </c>
      <c r="N6" s="96" t="s">
        <v>239</v>
      </c>
    </row>
    <row r="7" customFormat="false" ht="15" hidden="false" customHeight="false" outlineLevel="0" collapsed="false">
      <c r="A7" s="97" t="s">
        <v>240</v>
      </c>
      <c r="B7" s="10" t="s">
        <v>241</v>
      </c>
      <c r="C7" s="10" t="s">
        <v>242</v>
      </c>
      <c r="D7" s="14" t="n">
        <v>331839</v>
      </c>
      <c r="E7" s="14" t="n">
        <v>281724</v>
      </c>
      <c r="F7" s="37" t="n">
        <f aca="false">D7/E7-1</f>
        <v>0.177886867998467</v>
      </c>
      <c r="G7" s="14" t="n">
        <v>225465</v>
      </c>
      <c r="H7" s="37" t="n">
        <f aca="false">IF(ISNUMBER(G7),G7/D7,"n/a")</f>
        <v>0.679440933705803</v>
      </c>
      <c r="I7" s="14" t="n">
        <v>155237</v>
      </c>
      <c r="J7" s="37" t="n">
        <f aca="false">I7/D7</f>
        <v>0.467808184089272</v>
      </c>
      <c r="K7" s="14" t="n">
        <v>39000</v>
      </c>
      <c r="L7" s="13" t="n">
        <f aca="false">I7+K7</f>
        <v>194237</v>
      </c>
      <c r="M7" s="37" t="n">
        <f aca="false">L7/D7</f>
        <v>0.585335057060804</v>
      </c>
      <c r="N7" s="98" t="n">
        <v>133749</v>
      </c>
    </row>
    <row r="8" customFormat="false" ht="15" hidden="false" customHeight="false" outlineLevel="0" collapsed="false">
      <c r="A8" s="99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0"/>
    </row>
    <row r="9" customFormat="false" ht="15" hidden="false" customHeight="false" outlineLevel="0" collapsed="false">
      <c r="A9" s="101" t="s">
        <v>243</v>
      </c>
      <c r="B9" s="10" t="s">
        <v>244</v>
      </c>
      <c r="C9" s="10" t="s">
        <v>242</v>
      </c>
      <c r="D9" s="14" t="n">
        <v>445867</v>
      </c>
      <c r="E9" s="14" t="n">
        <v>371399</v>
      </c>
      <c r="F9" s="37" t="n">
        <f aca="false">D9/E9-1</f>
        <v>0.200506732651407</v>
      </c>
      <c r="G9" s="14" t="n">
        <v>271517</v>
      </c>
      <c r="H9" s="37" t="n">
        <f aca="false">IF(ISNUMBER(G9),G9/D9,"n/a")</f>
        <v>0.6089641081309</v>
      </c>
      <c r="I9" s="14" t="n">
        <v>147628</v>
      </c>
      <c r="J9" s="37" t="n">
        <f aca="false">I9/D9</f>
        <v>0.331103221364219</v>
      </c>
      <c r="K9" s="14" t="n">
        <v>25086</v>
      </c>
      <c r="L9" s="13" t="n">
        <f aca="false">I9+K9</f>
        <v>172714</v>
      </c>
      <c r="M9" s="37" t="n">
        <f aca="false">L9/D9</f>
        <v>0.387366636239058</v>
      </c>
      <c r="N9" s="98" t="n">
        <v>244205</v>
      </c>
    </row>
    <row r="10" customFormat="false" ht="15" hidden="false" customHeight="false" outlineLevel="0" collapsed="false">
      <c r="A10" s="101" t="s">
        <v>245</v>
      </c>
      <c r="B10" s="10" t="s">
        <v>246</v>
      </c>
      <c r="C10" s="10" t="s">
        <v>242</v>
      </c>
      <c r="D10" s="14" t="n">
        <v>775680</v>
      </c>
      <c r="E10" s="14" t="n">
        <v>670038</v>
      </c>
      <c r="F10" s="37" t="n">
        <f aca="false">D10/E10-1</f>
        <v>0.157665684632812</v>
      </c>
      <c r="G10" s="14" t="n">
        <v>393810</v>
      </c>
      <c r="H10" s="37" t="n">
        <f aca="false">IF(ISNUMBER(G10),G10/D10,"n/a")</f>
        <v>0.507696472772277</v>
      </c>
      <c r="I10" s="14" t="n">
        <v>93712</v>
      </c>
      <c r="J10" s="37" t="n">
        <f aca="false">I10/D10</f>
        <v>0.120812706270627</v>
      </c>
      <c r="K10" s="14" t="n">
        <v>75200</v>
      </c>
      <c r="L10" s="13" t="n">
        <f aca="false">I10+K10</f>
        <v>168912</v>
      </c>
      <c r="M10" s="37" t="n">
        <f aca="false">L10/D10</f>
        <v>0.217759900990099</v>
      </c>
      <c r="N10" s="98" t="n">
        <v>135281</v>
      </c>
    </row>
    <row r="11" customFormat="false" ht="15" hidden="false" customHeight="false" outlineLevel="0" collapsed="false">
      <c r="A11" s="101" t="s">
        <v>247</v>
      </c>
      <c r="B11" s="10" t="s">
        <v>248</v>
      </c>
      <c r="C11" s="10" t="s">
        <v>242</v>
      </c>
      <c r="D11" s="14" t="n">
        <v>228247</v>
      </c>
      <c r="E11" s="14" t="n">
        <v>178804</v>
      </c>
      <c r="F11" s="37" t="n">
        <f aca="false">D11/E11-1</f>
        <v>0.276520659493076</v>
      </c>
      <c r="G11" s="14" t="n">
        <v>186587</v>
      </c>
      <c r="H11" s="37" t="n">
        <f aca="false">IF(ISNUMBER(G11),G11/D11,"n/a")</f>
        <v>0.81747843345148</v>
      </c>
      <c r="I11" s="14" t="n">
        <v>86927</v>
      </c>
      <c r="J11" s="37" t="n">
        <f aca="false">I11/D11</f>
        <v>0.380846188558886</v>
      </c>
      <c r="K11" s="14" t="n">
        <v>22729</v>
      </c>
      <c r="L11" s="13" t="n">
        <f aca="false">I11+K11</f>
        <v>109656</v>
      </c>
      <c r="M11" s="37" t="n">
        <f aca="false">L11/D11</f>
        <v>0.480426905939618</v>
      </c>
      <c r="N11" s="98" t="n">
        <v>68098</v>
      </c>
    </row>
    <row r="12" customFormat="false" ht="15" hidden="false" customHeight="false" outlineLevel="0" collapsed="false">
      <c r="A12" s="101" t="s">
        <v>249</v>
      </c>
      <c r="B12" s="10" t="s">
        <v>250</v>
      </c>
      <c r="C12" s="10" t="s">
        <v>251</v>
      </c>
      <c r="D12" s="14" t="n">
        <v>466823</v>
      </c>
      <c r="E12" s="14" t="n">
        <v>408625</v>
      </c>
      <c r="F12" s="37" t="n">
        <f aca="false">D12/E12-1</f>
        <v>0.142423982869379</v>
      </c>
      <c r="G12" s="14" t="n">
        <v>227123</v>
      </c>
      <c r="H12" s="37" t="n">
        <f aca="false">IF(ISNUMBER(G12),G12/D12,"n/a")</f>
        <v>0.48652915559002</v>
      </c>
      <c r="I12" s="14" t="n">
        <v>154859</v>
      </c>
      <c r="J12" s="37" t="n">
        <f aca="false">I12/D12</f>
        <v>0.331729584874781</v>
      </c>
      <c r="K12" s="14" t="n">
        <v>13100</v>
      </c>
      <c r="L12" s="13" t="n">
        <f aca="false">I12+K12</f>
        <v>167959</v>
      </c>
      <c r="M12" s="37" t="n">
        <f aca="false">L12/D12</f>
        <v>0.359791612666899</v>
      </c>
      <c r="N12" s="98" t="n">
        <v>128930</v>
      </c>
    </row>
    <row r="13" customFormat="false" ht="15" hidden="false" customHeight="false" outlineLevel="0" collapsed="false">
      <c r="A13" s="101" t="s">
        <v>252</v>
      </c>
      <c r="B13" s="10" t="s">
        <v>253</v>
      </c>
      <c r="C13" s="10" t="s">
        <v>254</v>
      </c>
      <c r="D13" s="14" t="n">
        <v>71777</v>
      </c>
      <c r="E13" s="14" t="n">
        <v>59018</v>
      </c>
      <c r="F13" s="37" t="n">
        <f aca="false">D13/E13-1</f>
        <v>0.216188281541225</v>
      </c>
      <c r="G13" s="102" t="s">
        <v>255</v>
      </c>
      <c r="H13" s="37" t="str">
        <f aca="false">IF(ISNUMBER(G13),G13/D13,"n/a")</f>
        <v>n/a</v>
      </c>
      <c r="I13" s="14" t="n">
        <v>23056</v>
      </c>
      <c r="J13" s="37" t="n">
        <f aca="false">I13/D13</f>
        <v>0.321217102971704</v>
      </c>
      <c r="K13" s="14" t="n">
        <v>10881</v>
      </c>
      <c r="L13" s="13" t="n">
        <f aca="false">I13+K13</f>
        <v>33937</v>
      </c>
      <c r="M13" s="37" t="n">
        <f aca="false">L13/D13</f>
        <v>0.472811624893768</v>
      </c>
      <c r="N13" s="98" t="n">
        <v>18920</v>
      </c>
    </row>
    <row r="14" customFormat="false" ht="15" hidden="false" customHeight="false" outlineLevel="0" collapsed="false">
      <c r="A14" s="99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0"/>
    </row>
    <row r="15" customFormat="false" ht="15" hidden="false" customHeight="false" outlineLevel="0" collapsed="false">
      <c r="A15" s="103" t="s">
        <v>256</v>
      </c>
      <c r="B15" s="104"/>
      <c r="C15" s="104"/>
      <c r="D15" s="104"/>
      <c r="E15" s="104"/>
      <c r="F15" s="105" t="n">
        <f aca="false">MAX(F9:F13)</f>
        <v>0.276520659493076</v>
      </c>
      <c r="G15" s="104"/>
      <c r="H15" s="105" t="n">
        <f aca="false">MAX(H9:H13)</f>
        <v>0.81747843345148</v>
      </c>
      <c r="I15" s="104"/>
      <c r="J15" s="105" t="n">
        <f aca="false">MAX(J9:J13)</f>
        <v>0.380846188558886</v>
      </c>
      <c r="K15" s="104"/>
      <c r="L15" s="104"/>
      <c r="M15" s="105" t="n">
        <f aca="false">MAX(M9:M13)</f>
        <v>0.480426905939618</v>
      </c>
      <c r="N15" s="106"/>
    </row>
    <row r="16" customFormat="false" ht="15" hidden="false" customHeight="false" outlineLevel="0" collapsed="false">
      <c r="A16" s="103" t="s">
        <v>257</v>
      </c>
      <c r="B16" s="104"/>
      <c r="C16" s="104"/>
      <c r="D16" s="104"/>
      <c r="E16" s="104"/>
      <c r="F16" s="105" t="n">
        <f aca="false">QUARTILE(F9:F13,3)</f>
        <v>0.216188281541225</v>
      </c>
      <c r="G16" s="104"/>
      <c r="H16" s="105" t="n">
        <f aca="false">QUARTILE(H9:H13,3)</f>
        <v>0.661092689461045</v>
      </c>
      <c r="I16" s="104"/>
      <c r="J16" s="105" t="n">
        <f aca="false">QUARTILE(J9:J13,3)</f>
        <v>0.331729584874781</v>
      </c>
      <c r="K16" s="104"/>
      <c r="L16" s="104"/>
      <c r="M16" s="105" t="n">
        <f aca="false">QUARTILE(M9:M13,3)</f>
        <v>0.472811624893768</v>
      </c>
      <c r="N16" s="106"/>
    </row>
    <row r="17" customFormat="false" ht="15" hidden="false" customHeight="false" outlineLevel="0" collapsed="false">
      <c r="A17" s="103" t="s">
        <v>258</v>
      </c>
      <c r="B17" s="104"/>
      <c r="C17" s="104"/>
      <c r="D17" s="104"/>
      <c r="E17" s="104"/>
      <c r="F17" s="105" t="n">
        <f aca="false">MEDIAN(F9:F13)</f>
        <v>0.200506732651407</v>
      </c>
      <c r="G17" s="104"/>
      <c r="H17" s="105" t="n">
        <f aca="false">MEDIAN(H9:H13)</f>
        <v>0.558330290451589</v>
      </c>
      <c r="I17" s="104"/>
      <c r="J17" s="105" t="n">
        <f aca="false">MEDIAN(J9:J13)</f>
        <v>0.331103221364219</v>
      </c>
      <c r="K17" s="104"/>
      <c r="L17" s="104"/>
      <c r="M17" s="105" t="n">
        <f aca="false">MEDIAN(M9:M13)</f>
        <v>0.387366636239058</v>
      </c>
      <c r="N17" s="106"/>
    </row>
    <row r="18" customFormat="false" ht="15" hidden="false" customHeight="false" outlineLevel="0" collapsed="false">
      <c r="A18" s="103" t="s">
        <v>259</v>
      </c>
      <c r="B18" s="104"/>
      <c r="C18" s="104"/>
      <c r="D18" s="104"/>
      <c r="E18" s="104"/>
      <c r="F18" s="105" t="n">
        <f aca="false">QUARTILE(F9:F13,1)</f>
        <v>0.157665684632812</v>
      </c>
      <c r="G18" s="104"/>
      <c r="H18" s="105" t="n">
        <f aca="false">QUARTILE(H9:H13,1)</f>
        <v>0.502404643476713</v>
      </c>
      <c r="I18" s="104"/>
      <c r="J18" s="105" t="n">
        <f aca="false">QUARTILE(J9:J13,1)</f>
        <v>0.321217102971704</v>
      </c>
      <c r="K18" s="104"/>
      <c r="L18" s="104"/>
      <c r="M18" s="105" t="n">
        <f aca="false">QUARTILE(M9:M13,1)</f>
        <v>0.359791612666899</v>
      </c>
      <c r="N18" s="106"/>
    </row>
    <row r="19" customFormat="false" ht="15" hidden="false" customHeight="false" outlineLevel="0" collapsed="false">
      <c r="A19" s="107" t="s">
        <v>260</v>
      </c>
      <c r="B19" s="108"/>
      <c r="C19" s="108"/>
      <c r="D19" s="108"/>
      <c r="E19" s="108"/>
      <c r="F19" s="109" t="n">
        <f aca="false">MIN(F9:F13)</f>
        <v>0.142423982869379</v>
      </c>
      <c r="G19" s="108"/>
      <c r="H19" s="109" t="n">
        <f aca="false">MIN(H9:H13)</f>
        <v>0.48652915559002</v>
      </c>
      <c r="I19" s="108"/>
      <c r="J19" s="109" t="n">
        <f aca="false">MIN(J9:J13)</f>
        <v>0.120812706270627</v>
      </c>
      <c r="K19" s="108"/>
      <c r="L19" s="108"/>
      <c r="M19" s="109" t="n">
        <f aca="false">MIN(M9:M13)</f>
        <v>0.217759900990099</v>
      </c>
      <c r="N19" s="110"/>
    </row>
    <row r="22" customFormat="false" ht="15" hidden="false" customHeight="false" outlineLevel="0" collapsed="false">
      <c r="A22" s="92" t="s">
        <v>261</v>
      </c>
      <c r="B22" s="93"/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4"/>
    </row>
    <row r="23" customFormat="false" ht="15" hidden="false" customHeight="false" outlineLevel="0" collapsed="false">
      <c r="A23" s="95" t="s">
        <v>227</v>
      </c>
      <c r="B23" s="26" t="s">
        <v>228</v>
      </c>
      <c r="C23" s="26" t="s">
        <v>262</v>
      </c>
      <c r="D23" s="26" t="s">
        <v>5</v>
      </c>
      <c r="E23" s="26" t="s">
        <v>263</v>
      </c>
      <c r="F23" s="26" t="s">
        <v>264</v>
      </c>
      <c r="G23" s="26" t="s">
        <v>265</v>
      </c>
      <c r="H23" s="26" t="s">
        <v>71</v>
      </c>
      <c r="I23" s="26" t="s">
        <v>266</v>
      </c>
      <c r="J23" s="26" t="s">
        <v>267</v>
      </c>
      <c r="K23" s="26" t="s">
        <v>268</v>
      </c>
      <c r="L23" s="26" t="s">
        <v>269</v>
      </c>
      <c r="M23" s="26" t="s">
        <v>270</v>
      </c>
      <c r="N23" s="96"/>
    </row>
    <row r="24" customFormat="false" ht="15" hidden="false" customHeight="false" outlineLevel="0" collapsed="false">
      <c r="A24" s="99" t="str">
        <f aca="false">A7</f>
        <v>Microsoft (target)</v>
      </c>
      <c r="B24" s="10" t="str">
        <f aca="false">B7</f>
        <v>MSFT</v>
      </c>
      <c r="C24" s="9" t="n">
        <v>533.69</v>
      </c>
      <c r="D24" s="111" t="n">
        <v>7425.5</v>
      </c>
      <c r="E24" s="13" t="n">
        <f aca="false">C24*D24</f>
        <v>3962915.095</v>
      </c>
      <c r="F24" s="14" t="n">
        <v>76843</v>
      </c>
      <c r="G24" s="14" t="n">
        <v>40294</v>
      </c>
      <c r="H24" s="13" t="n">
        <f aca="false">E24-F24+G24</f>
        <v>3926366.095</v>
      </c>
      <c r="I24" s="50" t="n">
        <f aca="false">H24/D7</f>
        <v>11.8321417765844</v>
      </c>
      <c r="J24" s="50" t="n">
        <f aca="false">H24/L7</f>
        <v>20.2143056935599</v>
      </c>
      <c r="K24" s="50" t="n">
        <f aca="false">H24/I7</f>
        <v>25.2927207753306</v>
      </c>
      <c r="L24" s="50" t="n">
        <f aca="false">E24/N7</f>
        <v>29.6294932672394</v>
      </c>
      <c r="M24" s="10"/>
      <c r="N24" s="100"/>
    </row>
    <row r="25" customFormat="false" ht="15" hidden="false" customHeight="false" outlineLevel="0" collapsed="false">
      <c r="A25" s="99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0"/>
    </row>
    <row r="26" customFormat="false" ht="15" hidden="false" customHeight="false" outlineLevel="0" collapsed="false">
      <c r="A26" s="99" t="str">
        <f aca="false">A9</f>
        <v>Alphabet</v>
      </c>
      <c r="B26" s="10" t="str">
        <f aca="false">B9</f>
        <v>GOOGL</v>
      </c>
      <c r="C26" s="9" t="n">
        <v>347.64</v>
      </c>
      <c r="D26" s="111" t="n">
        <v>12229.9</v>
      </c>
      <c r="E26" s="13" t="n">
        <f aca="false">C26*D26</f>
        <v>4251602.436</v>
      </c>
      <c r="F26" s="14" t="n">
        <v>242474</v>
      </c>
      <c r="G26" s="14" t="n">
        <v>100164</v>
      </c>
      <c r="H26" s="13" t="n">
        <f aca="false">E26-F26+G26</f>
        <v>4109292.436</v>
      </c>
      <c r="I26" s="50" t="n">
        <f aca="false">H26/D9</f>
        <v>9.21640856129743</v>
      </c>
      <c r="J26" s="50" t="n">
        <f aca="false">H26/L9</f>
        <v>23.7924686823303</v>
      </c>
      <c r="K26" s="50" t="n">
        <f aca="false">H26/I9</f>
        <v>27.8354542227762</v>
      </c>
      <c r="L26" s="50" t="n">
        <f aca="false">E26/N9</f>
        <v>17.4099729161975</v>
      </c>
      <c r="M26" s="10" t="s">
        <v>271</v>
      </c>
      <c r="N26" s="100"/>
    </row>
    <row r="27" customFormat="false" ht="15" hidden="false" customHeight="false" outlineLevel="0" collapsed="false">
      <c r="A27" s="99" t="str">
        <f aca="false">A10</f>
        <v>Amazon</v>
      </c>
      <c r="B27" s="10" t="str">
        <f aca="false">B10</f>
        <v>AMZN</v>
      </c>
      <c r="C27" s="9" t="n">
        <v>254.08</v>
      </c>
      <c r="D27" s="111" t="n">
        <v>10786.3</v>
      </c>
      <c r="E27" s="13" t="n">
        <f aca="false">C27*D27</f>
        <v>2740583.104</v>
      </c>
      <c r="F27" s="14" t="n">
        <v>122988</v>
      </c>
      <c r="G27" s="14" t="n">
        <v>132224</v>
      </c>
      <c r="H27" s="13" t="n">
        <f aca="false">E27-F27+G27</f>
        <v>2749819.104</v>
      </c>
      <c r="I27" s="50" t="n">
        <f aca="false">H27/D10</f>
        <v>3.54504319306931</v>
      </c>
      <c r="J27" s="50" t="n">
        <f aca="false">H27/L10</f>
        <v>16.2795959079284</v>
      </c>
      <c r="K27" s="50" t="n">
        <f aca="false">H27/I10</f>
        <v>29.3432975926242</v>
      </c>
      <c r="L27" s="50" t="n">
        <f aca="false">E27/N10</f>
        <v>20.2584480008279</v>
      </c>
      <c r="M27" s="10" t="s">
        <v>272</v>
      </c>
      <c r="N27" s="100"/>
    </row>
    <row r="28" customFormat="false" ht="15" hidden="false" customHeight="false" outlineLevel="0" collapsed="false">
      <c r="A28" s="99" t="str">
        <f aca="false">A11</f>
        <v>Meta Platforms</v>
      </c>
      <c r="B28" s="10" t="str">
        <f aca="false">B11</f>
        <v>META</v>
      </c>
      <c r="C28" s="9" t="n">
        <v>737.54</v>
      </c>
      <c r="D28" s="111" t="n">
        <v>2547.5</v>
      </c>
      <c r="E28" s="13" t="n">
        <f aca="false">C28*D28</f>
        <v>1878883.15</v>
      </c>
      <c r="F28" s="14" t="n">
        <v>90260</v>
      </c>
      <c r="G28" s="14" t="n">
        <v>83664</v>
      </c>
      <c r="H28" s="13" t="n">
        <f aca="false">E28-F28+G28</f>
        <v>1872287.15</v>
      </c>
      <c r="I28" s="50" t="n">
        <f aca="false">H28/D11</f>
        <v>8.20289927140335</v>
      </c>
      <c r="J28" s="50" t="n">
        <f aca="false">H28/L11</f>
        <v>17.074187914934</v>
      </c>
      <c r="K28" s="50" t="n">
        <f aca="false">H28/I11</f>
        <v>21.5386145846515</v>
      </c>
      <c r="L28" s="50" t="n">
        <f aca="false">E28/N11</f>
        <v>27.5908712443831</v>
      </c>
      <c r="M28" s="10" t="s">
        <v>273</v>
      </c>
      <c r="N28" s="100"/>
    </row>
    <row r="29" customFormat="false" ht="15" hidden="false" customHeight="false" outlineLevel="0" collapsed="false">
      <c r="A29" s="99" t="str">
        <f aca="false">A12</f>
        <v>Apple</v>
      </c>
      <c r="B29" s="10" t="str">
        <f aca="false">B12</f>
        <v>AAPL</v>
      </c>
      <c r="C29" s="9" t="n">
        <v>342.96</v>
      </c>
      <c r="D29" s="111" t="n">
        <v>14594.2</v>
      </c>
      <c r="E29" s="13" t="n">
        <f aca="false">C29*D29</f>
        <v>5005226.832</v>
      </c>
      <c r="F29" s="14" t="n">
        <v>62399</v>
      </c>
      <c r="G29" s="14" t="n">
        <v>82347</v>
      </c>
      <c r="H29" s="13" t="n">
        <f aca="false">E29-F29+G29</f>
        <v>5025174.832</v>
      </c>
      <c r="I29" s="50" t="n">
        <f aca="false">H29/D12</f>
        <v>10.76462563327</v>
      </c>
      <c r="J29" s="50" t="n">
        <f aca="false">H29/L12</f>
        <v>29.9190566269149</v>
      </c>
      <c r="K29" s="50" t="n">
        <f aca="false">H29/I12</f>
        <v>32.4500018210114</v>
      </c>
      <c r="L29" s="50" t="n">
        <f aca="false">E29/N12</f>
        <v>38.8212738074924</v>
      </c>
      <c r="M29" s="10"/>
      <c r="N29" s="100"/>
    </row>
    <row r="30" customFormat="false" ht="15" hidden="false" customHeight="false" outlineLevel="0" collapsed="false">
      <c r="A30" s="99" t="str">
        <f aca="false">A13</f>
        <v>Oracle</v>
      </c>
      <c r="B30" s="10" t="str">
        <f aca="false">B13</f>
        <v>ORCL</v>
      </c>
      <c r="C30" s="9" t="n">
        <v>130.55</v>
      </c>
      <c r="D30" s="111" t="n">
        <v>3031.5</v>
      </c>
      <c r="E30" s="13" t="n">
        <f aca="false">C30*D30</f>
        <v>395762.325</v>
      </c>
      <c r="F30" s="14" t="n">
        <v>37077</v>
      </c>
      <c r="G30" s="14" t="n">
        <v>125337</v>
      </c>
      <c r="H30" s="13" t="n">
        <f aca="false">E30-F30+G30</f>
        <v>484022.325</v>
      </c>
      <c r="I30" s="50" t="n">
        <f aca="false">H30/D13</f>
        <v>6.74341815623389</v>
      </c>
      <c r="J30" s="50" t="n">
        <f aca="false">H30/L13</f>
        <v>14.2623780829184</v>
      </c>
      <c r="K30" s="50" t="n">
        <f aca="false">H30/I13</f>
        <v>20.9933347068008</v>
      </c>
      <c r="L30" s="50" t="n">
        <f aca="false">E30/N13</f>
        <v>20.9176704545455</v>
      </c>
      <c r="M30" s="10"/>
      <c r="N30" s="100"/>
    </row>
    <row r="31" customFormat="false" ht="15" hidden="false" customHeight="false" outlineLevel="0" collapsed="false">
      <c r="A31" s="99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0"/>
    </row>
    <row r="32" customFormat="false" ht="15" hidden="false" customHeight="false" outlineLevel="0" collapsed="false">
      <c r="A32" s="103" t="s">
        <v>256</v>
      </c>
      <c r="B32" s="104"/>
      <c r="C32" s="104"/>
      <c r="D32" s="104"/>
      <c r="E32" s="104"/>
      <c r="F32" s="104"/>
      <c r="G32" s="104"/>
      <c r="H32" s="104"/>
      <c r="I32" s="112" t="n">
        <f aca="false">MAX(I26:I30)</f>
        <v>10.76462563327</v>
      </c>
      <c r="J32" s="112" t="n">
        <f aca="false">MAX(J26:J30)</f>
        <v>29.9190566269149</v>
      </c>
      <c r="K32" s="112" t="n">
        <f aca="false">MAX(K26:K30)</f>
        <v>32.4500018210114</v>
      </c>
      <c r="L32" s="112" t="n">
        <f aca="false">MAX(L26:L30)</f>
        <v>38.8212738074924</v>
      </c>
      <c r="M32" s="104"/>
      <c r="N32" s="106"/>
    </row>
    <row r="33" customFormat="false" ht="15" hidden="false" customHeight="false" outlineLevel="0" collapsed="false">
      <c r="A33" s="103" t="s">
        <v>257</v>
      </c>
      <c r="B33" s="104"/>
      <c r="C33" s="104"/>
      <c r="D33" s="104"/>
      <c r="E33" s="104"/>
      <c r="F33" s="104"/>
      <c r="G33" s="104"/>
      <c r="H33" s="104"/>
      <c r="I33" s="112" t="n">
        <f aca="false">QUARTILE(I26:I30,3)</f>
        <v>9.21640856129743</v>
      </c>
      <c r="J33" s="112" t="n">
        <f aca="false">QUARTILE(J26:J30,3)</f>
        <v>23.7924686823303</v>
      </c>
      <c r="K33" s="112" t="n">
        <f aca="false">QUARTILE(K26:K30,3)</f>
        <v>29.3432975926242</v>
      </c>
      <c r="L33" s="112" t="n">
        <f aca="false">QUARTILE(L26:L30,3)</f>
        <v>27.5908712443831</v>
      </c>
      <c r="M33" s="104"/>
      <c r="N33" s="106"/>
    </row>
    <row r="34" customFormat="false" ht="15" hidden="false" customHeight="false" outlineLevel="0" collapsed="false">
      <c r="A34" s="103" t="s">
        <v>258</v>
      </c>
      <c r="B34" s="104"/>
      <c r="C34" s="104"/>
      <c r="D34" s="104"/>
      <c r="E34" s="104"/>
      <c r="F34" s="104"/>
      <c r="G34" s="104"/>
      <c r="H34" s="104"/>
      <c r="I34" s="112" t="n">
        <f aca="false">MEDIAN(I26:I30)</f>
        <v>8.20289927140335</v>
      </c>
      <c r="J34" s="113" t="n">
        <f aca="false">MEDIAN(J26:J30)</f>
        <v>17.074187914934</v>
      </c>
      <c r="K34" s="112" t="n">
        <f aca="false">MEDIAN(K26:K30)</f>
        <v>27.8354542227762</v>
      </c>
      <c r="L34" s="112" t="n">
        <f aca="false">MEDIAN(L26:L30)</f>
        <v>20.9176704545455</v>
      </c>
      <c r="M34" s="104"/>
      <c r="N34" s="106"/>
    </row>
    <row r="35" customFormat="false" ht="15" hidden="false" customHeight="false" outlineLevel="0" collapsed="false">
      <c r="A35" s="103" t="s">
        <v>259</v>
      </c>
      <c r="B35" s="104"/>
      <c r="C35" s="104"/>
      <c r="D35" s="104"/>
      <c r="E35" s="104"/>
      <c r="F35" s="104"/>
      <c r="G35" s="104"/>
      <c r="H35" s="104"/>
      <c r="I35" s="112" t="n">
        <f aca="false">QUARTILE(I26:I30,1)</f>
        <v>6.74341815623389</v>
      </c>
      <c r="J35" s="112" t="n">
        <f aca="false">QUARTILE(J26:J30,1)</f>
        <v>16.2795959079284</v>
      </c>
      <c r="K35" s="112" t="n">
        <f aca="false">QUARTILE(K26:K30,1)</f>
        <v>21.5386145846515</v>
      </c>
      <c r="L35" s="112" t="n">
        <f aca="false">QUARTILE(L26:L30,1)</f>
        <v>20.2584480008279</v>
      </c>
      <c r="M35" s="104"/>
      <c r="N35" s="106"/>
    </row>
    <row r="36" customFormat="false" ht="15" hidden="false" customHeight="false" outlineLevel="0" collapsed="false">
      <c r="A36" s="107" t="s">
        <v>260</v>
      </c>
      <c r="B36" s="108"/>
      <c r="C36" s="108"/>
      <c r="D36" s="108"/>
      <c r="E36" s="108"/>
      <c r="F36" s="108"/>
      <c r="G36" s="108"/>
      <c r="H36" s="108"/>
      <c r="I36" s="114" t="n">
        <f aca="false">MIN(I26:I30)</f>
        <v>3.54504319306931</v>
      </c>
      <c r="J36" s="114" t="n">
        <f aca="false">MIN(J26:J30)</f>
        <v>14.2623780829184</v>
      </c>
      <c r="K36" s="114" t="n">
        <f aca="false">MIN(K26:K30)</f>
        <v>20.9933347068008</v>
      </c>
      <c r="L36" s="114" t="n">
        <f aca="false">MIN(L26:L30)</f>
        <v>17.4099729161975</v>
      </c>
      <c r="M36" s="108"/>
      <c r="N36" s="110"/>
    </row>
    <row r="38" customFormat="false" ht="15" hidden="false" customHeight="false" outlineLevel="0" collapsed="false">
      <c r="A38" s="0" t="s">
        <v>274</v>
      </c>
      <c r="J38" s="89" t="n">
        <f aca="false">J24/J34-1</f>
        <v>0.18391022719619</v>
      </c>
    </row>
    <row r="39" customFormat="false" ht="15" hidden="false" customHeight="false" outlineLevel="0" collapsed="false">
      <c r="A39" s="0" t="s">
        <v>275</v>
      </c>
      <c r="L39" s="89" t="n">
        <f aca="false">L24/L34-1</f>
        <v>0.416481502164637</v>
      </c>
    </row>
    <row r="40" customFormat="false" ht="15" hidden="false" customHeight="false" outlineLevel="0" collapsed="false">
      <c r="A40" s="0" t="s">
        <v>276</v>
      </c>
      <c r="F40" s="89" t="n">
        <f aca="false">F17</f>
        <v>0.200506732651407</v>
      </c>
    </row>
    <row r="41" customFormat="false" ht="15" hidden="false" customHeight="false" outlineLevel="0" collapsed="false">
      <c r="A41" s="0" t="s">
        <v>277</v>
      </c>
      <c r="M41" s="89" t="n">
        <f aca="false">M17</f>
        <v>0.387366636239058</v>
      </c>
    </row>
    <row r="44" customFormat="false" ht="15" hidden="false" customHeight="false" outlineLevel="0" collapsed="false">
      <c r="A44" s="2" t="s">
        <v>278</v>
      </c>
    </row>
    <row r="45" customFormat="false" ht="15" hidden="false" customHeight="false" outlineLevel="0" collapsed="false">
      <c r="A45" s="115" t="s">
        <v>279</v>
      </c>
    </row>
    <row r="46" customFormat="false" ht="15" hidden="false" customHeight="false" outlineLevel="0" collapsed="false">
      <c r="A46" s="115" t="s">
        <v>280</v>
      </c>
    </row>
    <row r="47" customFormat="false" ht="15" hidden="false" customHeight="false" outlineLevel="0" collapsed="false">
      <c r="A47" s="115" t="s">
        <v>281</v>
      </c>
    </row>
    <row r="48" customFormat="false" ht="15" hidden="false" customHeight="false" outlineLevel="0" collapsed="false">
      <c r="A48" s="115" t="s">
        <v>282</v>
      </c>
    </row>
    <row r="49" customFormat="false" ht="15" hidden="false" customHeight="false" outlineLevel="0" collapsed="false">
      <c r="A49" s="115" t="s">
        <v>283</v>
      </c>
    </row>
    <row r="50" customFormat="false" ht="15" hidden="false" customHeight="false" outlineLevel="0" collapsed="false">
      <c r="A50" s="115" t="s">
        <v>284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2026-10-15T02:11:52Z</dcterms:created>
  <dc:creator>openpyxl</dc:creator>
  <dc:description/>
  <dc:language>en-US</dc:language>
  <cp:lastModifiedBy/>
  <dcterms:modified xsi:type="dcterms:W3CDTF">2026-10-15T02:11:52Z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