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$#,##0.00"/>
    <numFmt numFmtId="167" formatCode="#,##0.0"/>
    <numFmt numFmtId="168" formatCode="0.0&quot;x&quot;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0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0" fontId="3" fillId="0" borderId="4" pivotButton="0" quotePrefix="0" xfId="0"/>
    <xf numFmtId="0" fontId="0" fillId="0" borderId="5" pivotButton="0" quotePrefix="0" xfId="0"/>
    <xf numFmtId="164" fontId="4" fillId="4" borderId="5" pivotButton="0" quotePrefix="0" xfId="0"/>
    <xf numFmtId="165" fontId="5" fillId="0" borderId="5" pivotButton="0" quotePrefix="0" xfId="0"/>
    <xf numFmtId="164" fontId="5" fillId="0" borderId="5" pivotButton="0" quotePrefix="0" xfId="0"/>
    <xf numFmtId="164" fontId="4" fillId="4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5" fillId="0" borderId="4" pivotButton="0" quotePrefix="0" xfId="0"/>
    <xf numFmtId="0" fontId="5" fillId="0" borderId="5" pivotButton="0" quotePrefix="0" xfId="0"/>
    <xf numFmtId="0" fontId="3" fillId="4" borderId="4" pivotButton="0" quotePrefix="0" xfId="0"/>
    <xf numFmtId="0" fontId="0" fillId="4" borderId="5" pivotButton="0" quotePrefix="0" xfId="0"/>
    <xf numFmtId="165" fontId="5" fillId="4" borderId="5" pivotButton="0" quotePrefix="0" xfId="0"/>
    <xf numFmtId="0" fontId="0" fillId="4" borderId="6" pivotButton="0" quotePrefix="0" xfId="0"/>
    <xf numFmtId="0" fontId="3" fillId="4" borderId="7" pivotButton="0" quotePrefix="0" xfId="0"/>
    <xf numFmtId="0" fontId="0" fillId="4" borderId="8" pivotButton="0" quotePrefix="0" xfId="0"/>
    <xf numFmtId="165" fontId="5" fillId="4" borderId="8" pivotButton="0" quotePrefix="0" xfId="0"/>
    <xf numFmtId="0" fontId="0" fillId="4" borderId="9" pivotButton="0" quotePrefix="0" xfId="0"/>
    <xf numFmtId="166" fontId="4" fillId="4" borderId="5" pivotButton="0" quotePrefix="0" xfId="0"/>
    <xf numFmtId="167" fontId="4" fillId="4" borderId="5" pivotButton="0" quotePrefix="0" xfId="0"/>
    <xf numFmtId="168" fontId="5" fillId="0" borderId="5" pivotButton="0" quotePrefix="0" xfId="0"/>
    <xf numFmtId="168" fontId="5" fillId="4" borderId="5" pivotButton="0" quotePrefix="0" xfId="0"/>
    <xf numFmtId="168" fontId="3" fillId="5" borderId="5" pivotButton="0" quotePrefix="0" xfId="0"/>
    <xf numFmtId="168" fontId="5" fillId="4" borderId="8" pivotButton="0" quotePrefix="0" xfId="0"/>
    <xf numFmtId="165" fontId="5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D7" authorId="0" shapeId="0">
      <text>
        <t>Source: stock-data get_financials annual FY2026 (10-K filed 2026-07-29)</t>
      </text>
    </comment>
    <comment ref="E7" authorId="0" shapeId="0">
      <text>
        <t>Source: stock-data get_financials annual FY2026 (10-K filed 2026-07-29)</t>
      </text>
    </comment>
    <comment ref="G7" authorId="0" shapeId="0">
      <text>
        <t>Source: stock-data get_financials annual FY2026 (10-K filed 2026-07-29)</t>
      </text>
    </comment>
    <comment ref="I7" authorId="0" shapeId="0">
      <text>
        <t>Source: stock-data get_financials annual FY2026 (10-K filed 2026-07-29)</t>
      </text>
    </comment>
    <comment ref="K7" authorId="0" shapeId="0">
      <text>
        <t>Source: FY2026 D&amp;A ~39,000: stockanalysis.com / TIKR (rounded, not verified to 10-K)</t>
      </text>
    </comment>
    <comment ref="N7" authorId="0" shapeId="0">
      <text>
        <t>Source: stock-data get_financials annual FY2026 (10-K filed 2026-07-29)</t>
      </text>
    </comment>
    <comment ref="D9" authorId="0" shapeId="0">
      <text>
        <t>Source: stock-data get_financials quarterly (SEC XBRL) Q3-25..Q2-26</t>
      </text>
    </comment>
    <comment ref="E9" authorId="0" shapeId="0">
      <text>
        <t>Source: stock-data get_financials quarterly (SEC XBRL) Q3-25..Q2-26</t>
      </text>
    </comment>
    <comment ref="G9" authorId="0" shapeId="0">
      <text>
        <t>Source: stock-data get_financials quarterly (SEC XBRL) Q3-25..Q2-26</t>
      </text>
    </comment>
    <comment ref="I9" authorId="0" shapeId="0">
      <text>
        <t>Source: stock-data get_financials quarterly (SEC XBRL) Q3-25..Q2-26</t>
      </text>
    </comment>
    <comment ref="K9" authorId="0" shapeId="0">
      <text>
        <t>Source: ESTIMATE: H1-26 depreciation 13,586 (10-Q filed 2026-07, goog-20260630.htm) + H2-25 est. 11,500 (H1-25 was 9,485)</t>
      </text>
    </comment>
    <comment ref="N9" authorId="0" shapeId="0">
      <text>
        <t>Source: stock-data get_financials quarterly (SEC XBRL) Q3-25..Q2-26</t>
      </text>
    </comment>
    <comment ref="D10" authorId="0" shapeId="0">
      <text>
        <t>Source: stock-data get_financials quarterly (SEC XBRL) Q3-25..Q2-26</t>
      </text>
    </comment>
    <comment ref="E10" authorId="0" shapeId="0">
      <text>
        <t>Source: stock-data get_financials quarterly (SEC XBRL) Q3-25..Q2-26</t>
      </text>
    </comment>
    <comment ref="G10" authorId="0" shapeId="0">
      <text>
        <t>Source: stock-data get_financials quarterly (SEC XBRL) Q3-25..Q2-26</t>
      </text>
    </comment>
    <comment ref="I10" authorId="0" shapeId="0">
      <text>
        <t>Source: stock-data get_financials quarterly (SEC XBRL) Q3-25..Q2-26</t>
      </text>
    </comment>
    <comment ref="K10" authorId="0" shapeId="0">
      <text>
        <t>Source: stock-data get_financials quarterly cashflow, sum Q3-25..Q2-26</t>
      </text>
    </comment>
    <comment ref="N10" authorId="0" shapeId="0">
      <text>
        <t>Source: stock-data get_financials quarterly (SEC XBRL) Q3-25..Q2-26</t>
      </text>
    </comment>
    <comment ref="D11" authorId="0" shapeId="0">
      <text>
        <t>Source: stock-data get_financials quarterly (SEC XBRL) Q3-25..Q2-26</t>
      </text>
    </comment>
    <comment ref="E11" authorId="0" shapeId="0">
      <text>
        <t>Source: stock-data get_financials quarterly (SEC XBRL) Q3-25..Q2-26</t>
      </text>
    </comment>
    <comment ref="G11" authorId="0" shapeId="0">
      <text>
        <t>Source: stock-data get_financials quarterly (SEC XBRL) Q3-25..Q2-26</t>
      </text>
    </comment>
    <comment ref="I11" authorId="0" shapeId="0">
      <text>
        <t>Source: stock-data get_financials quarterly (SEC XBRL) Q3-25..Q2-26</t>
      </text>
    </comment>
    <comment ref="K11" authorId="0" shapeId="0">
      <text>
        <t>Source: stock-data get_financials quarterly cashflow, sum Q3-25..Q2-26</t>
      </text>
    </comment>
    <comment ref="N11" authorId="0" shapeId="0">
      <text>
        <t>Source: stock-data get_financials quarterly (SEC XBRL) Q3-25..Q2-26</t>
      </text>
    </comment>
    <comment ref="D12" authorId="0" shapeId="0">
      <text>
        <t>Source: stock-data get_financials quarterly (SEC XBRL) Q4-FY25..Q3-FY26</t>
      </text>
    </comment>
    <comment ref="E12" authorId="0" shapeId="0">
      <text>
        <t>Source: stock-data get_financials quarterly (SEC XBRL) Q4-FY25..Q3-FY26</t>
      </text>
    </comment>
    <comment ref="G12" authorId="0" shapeId="0">
      <text>
        <t>Source: stock-data get_financials quarterly (SEC XBRL) Q4-FY25..Q3-FY26</t>
      </text>
    </comment>
    <comment ref="I12" authorId="0" shapeId="0">
      <text>
        <t>Source: stock-data get_financials quarterly (SEC XBRL) Q4-FY25..Q3-FY26</t>
      </text>
    </comment>
    <comment ref="K12" authorId="0" shapeId="0">
      <text>
        <t>Source: stock-data get_financials quarterly cashflow, sum Q4-FY25..Q3-FY26</t>
      </text>
    </comment>
    <comment ref="N12" authorId="0" shapeId="0">
      <text>
        <t>Source: stock-data get_financials quarterly (SEC XBRL) Q4-FY25..Q3-FY26</t>
      </text>
    </comment>
    <comment ref="D13" authorId="0" shapeId="0">
      <text>
        <t>Source: stock-data get_financials quarterly (SEC XBRL) Q2-FY26..Q1-FY27; debt from 10-Q for 2026-08-31 (orcl-20260831.htm)</t>
      </text>
    </comment>
    <comment ref="E13" authorId="0" shapeId="0">
      <text>
        <t>Source: stock-data get_financials quarterly (SEC XBRL) Q2-FY26..Q1-FY27; debt from 10-Q for 2026-08-31 (orcl-20260831.htm)</t>
      </text>
    </comment>
    <comment ref="G13" authorId="0" shapeId="0">
      <text>
        <t>Not reported in XBRL standardized data (Oracle does not report cost of revenue/gross profit)</t>
      </text>
    </comment>
    <comment ref="I13" authorId="0" shapeId="0">
      <text>
        <t>Source: stock-data get_financials quarterly (SEC XBRL) Q2-FY26..Q1-FY27; debt from 10-Q for 2026-08-31 (orcl-20260831.htm)</t>
      </text>
    </comment>
    <comment ref="K13" authorId="0" shapeId="0">
      <text>
        <t>Source: FY26 D&amp;A 9,294 (8-K ex99.1, FY26 results) + Q1-FY27 3,358 - Q1-FY26 1,771 (10-Q orcl-20260831.htm)</t>
      </text>
    </comment>
    <comment ref="N13" authorId="0" shapeId="0">
      <text>
        <t>Source: stock-data get_financials quarterly (SEC XBRL) Q2-FY26..Q1-FY27; debt from 10-Q for 2026-08-31 (orcl-20260831.htm)</t>
      </text>
    </comment>
    <comment ref="C24" authorId="0" shapeId="0">
      <text>
        <t>Source: stock-data get_quote (Yahoo Finance), fetched 2026-10-15T02:06Z (US close 2026-10-14)</t>
      </text>
    </comment>
    <comment ref="D24" authorId="0" shapeId="0">
      <text>
        <t>Source: implied = market_cap / price from stock-data get_quote 2026-10-14 (basic shares basis; quote market cap)</t>
      </text>
    </comment>
    <comment ref="F24" authorId="0" shapeId="0">
      <text>
        <t>Source: stock-data get_financials annual FY2026 (10-K filed 2026-07-29) - cash &amp; equivalents + current marketable securities (excludes long-term investments)</t>
      </text>
    </comment>
    <comment ref="G24" authorId="0" shapeId="0">
      <text>
        <t>Source: stock-data get_financials annual FY2026 (10-K filed 2026-07-29) - current + non-current debt (excludes lease liabilities)</t>
      </text>
    </comment>
    <comment ref="C26" authorId="0" shapeId="0">
      <text>
        <t>Source: stock-data get_quote (Yahoo Finance), fetched 2026-10-15T02:06Z (US close 2026-10-14)</t>
      </text>
    </comment>
    <comment ref="D26" authorId="0" shapeId="0">
      <text>
        <t>Source: implied = market_cap / price from stock-data get_quote 2026-10-14 (basic shares basis; quote market cap)</t>
      </text>
    </comment>
    <comment ref="F26" authorId="0" shapeId="0">
      <text>
        <t>Source: stock-data get_financials quarterly (SEC XBRL) Q3-25..Q2-26 - cash &amp; equivalents + current marketable securities (excludes long-term investments)</t>
      </text>
    </comment>
    <comment ref="G26" authorId="0" shapeId="0">
      <text>
        <t>Source: stock-data get_financials quarterly (SEC XBRL) Q3-25..Q2-26 - current + non-current debt (excludes lease liabilities)</t>
      </text>
    </comment>
    <comment ref="C27" authorId="0" shapeId="0">
      <text>
        <t>Source: stock-data get_quote (Yahoo Finance), fetched 2026-10-15T02:06Z (US close 2026-10-14)</t>
      </text>
    </comment>
    <comment ref="D27" authorId="0" shapeId="0">
      <text>
        <t>Source: implied = market_cap / price from stock-data get_quote 2026-10-14 (basic shares basis; quote market cap)</t>
      </text>
    </comment>
    <comment ref="F27" authorId="0" shapeId="0">
      <text>
        <t>Source: stock-data get_financials quarterly (SEC XBRL) Q3-25..Q2-26 - cash &amp; equivalents + current marketable securities (excludes long-term investments)</t>
      </text>
    </comment>
    <comment ref="G27" authorId="0" shapeId="0">
      <text>
        <t>Source: stock-data get_financials quarterly (SEC XBRL) Q3-25..Q2-26 - current + non-current debt (excludes lease liabilities)</t>
      </text>
    </comment>
    <comment ref="C28" authorId="0" shapeId="0">
      <text>
        <t>Source: stock-data get_quote (Yahoo Finance), fetched 2026-10-15T02:06Z (US close 2026-10-14)</t>
      </text>
    </comment>
    <comment ref="D28" authorId="0" shapeId="0">
      <text>
        <t>Source: implied = market_cap / price from stock-data get_quote 2026-10-14 (basic shares basis; quote market cap)</t>
      </text>
    </comment>
    <comment ref="F28" authorId="0" shapeId="0">
      <text>
        <t>Source: stock-data get_financials quarterly (SEC XBRL) Q3-25..Q2-26 - cash &amp; equivalents + current marketable securities (excludes long-term investments)</t>
      </text>
    </comment>
    <comment ref="G28" authorId="0" shapeId="0">
      <text>
        <t>Source: stock-data get_financials quarterly (SEC XBRL) Q3-25..Q2-26 - current + non-current debt (excludes lease liabilities)</t>
      </text>
    </comment>
    <comment ref="C29" authorId="0" shapeId="0">
      <text>
        <t>Source: stock-data get_quote (Yahoo Finance), fetched 2026-10-15T02:06Z (US close 2026-10-14)</t>
      </text>
    </comment>
    <comment ref="D29" authorId="0" shapeId="0">
      <text>
        <t>Source: implied = market_cap / price from stock-data get_quote 2026-10-14 (basic shares basis; quote market cap)</t>
      </text>
    </comment>
    <comment ref="F29" authorId="0" shapeId="0">
      <text>
        <t>Source: stock-data get_financials quarterly (SEC XBRL) Q4-FY25..Q3-FY26 - cash &amp; equivalents + current marketable securities (excludes long-term investments)</t>
      </text>
    </comment>
    <comment ref="G29" authorId="0" shapeId="0">
      <text>
        <t>Source: stock-data get_financials quarterly (SEC XBRL) Q4-FY25..Q3-FY26 - current + non-current debt (excludes lease liabilities)</t>
      </text>
    </comment>
    <comment ref="C30" authorId="0" shapeId="0">
      <text>
        <t>Source: stock-data get_quote (Yahoo Finance), fetched 2026-10-15T02:06Z (US close 2026-10-14)</t>
      </text>
    </comment>
    <comment ref="D30" authorId="0" shapeId="0">
      <text>
        <t>Source: implied = market_cap / price from stock-data get_quote 2026-10-14 (basic shares basis; quote market cap)</t>
      </text>
    </comment>
    <comment ref="F30" authorId="0" shapeId="0">
      <text>
        <t>Source: stock-data get_financials quarterly (SEC XBRL) Q2-FY26..Q1-FY27; debt from 10-Q for 2026-08-31 (orcl-20260831.htm) - cash &amp; equivalents + current marketable securities (excludes long-term investments)</t>
      </text>
    </comment>
    <comment ref="G30" authorId="0" shapeId="0">
      <text>
        <t>Source: stock-data get_financials quarterly (SEC XBRL) Q2-FY26..Q1-FY27; debt from 10-Q for 2026-08-31 (orcl-20260831.htm) - current + non-current debt (excludes lease liabilities)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TECHNOLOGY MEGA-CAP - COMPARABLE COMPANY ANALYSIS</t>
        </is>
      </c>
    </row>
    <row r="2">
      <c r="A2" t="inlineStr">
        <is>
          <t>Microsoft (MSFT) vs. Alphabet (GOOGL) • Amazon (AMZN) • Meta (META) • Apple (AAPL) • Oracle (ORCL)</t>
        </is>
      </c>
    </row>
    <row r="3">
      <c r="A3" t="inlineStr">
        <is>
          <t>As of 2026-10-14 (prices) | LTM to latest reported quarter | USD millions except per-share and ratios</t>
        </is>
      </c>
    </row>
    <row r="5">
      <c r="A5" s="2" t="inlineStr">
        <is>
          <t>OPERATING METRICS (LTM)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</row>
    <row r="6">
      <c r="A6" s="5" t="inlineStr">
        <is>
          <t>Company</t>
        </is>
      </c>
      <c r="B6" s="6" t="inlineStr">
        <is>
          <t>Ticker</t>
        </is>
      </c>
      <c r="C6" s="6" t="inlineStr">
        <is>
          <t>LTM end</t>
        </is>
      </c>
      <c r="D6" s="6" t="inlineStr">
        <is>
          <t>Revenue</t>
        </is>
      </c>
      <c r="E6" s="6" t="inlineStr">
        <is>
          <t>Revenue prior LTM</t>
        </is>
      </c>
      <c r="F6" s="6" t="inlineStr">
        <is>
          <t>Rev growth</t>
        </is>
      </c>
      <c r="G6" s="6" t="inlineStr">
        <is>
          <t>Gross profit</t>
        </is>
      </c>
      <c r="H6" s="6" t="inlineStr">
        <is>
          <t>Gross margin</t>
        </is>
      </c>
      <c r="I6" s="6" t="inlineStr">
        <is>
          <t>EBIT</t>
        </is>
      </c>
      <c r="J6" s="6" t="inlineStr">
        <is>
          <t>EBIT margin</t>
        </is>
      </c>
      <c r="K6" s="6" t="inlineStr">
        <is>
          <t>D&amp;A</t>
        </is>
      </c>
      <c r="L6" s="6" t="inlineStr">
        <is>
          <t>EBITDA</t>
        </is>
      </c>
      <c r="M6" s="6" t="inlineStr">
        <is>
          <t>EBITDA margin</t>
        </is>
      </c>
      <c r="N6" s="7" t="inlineStr">
        <is>
          <t>Net income</t>
        </is>
      </c>
    </row>
    <row r="7">
      <c r="A7" s="8" t="inlineStr">
        <is>
          <t>Microsoft (target)</t>
        </is>
      </c>
      <c r="B7" s="9" t="inlineStr">
        <is>
          <t>MSFT</t>
        </is>
      </c>
      <c r="C7" s="9" t="inlineStr">
        <is>
          <t>2026-06-30</t>
        </is>
      </c>
      <c r="D7" s="10" t="n">
        <v>331839</v>
      </c>
      <c r="E7" s="10" t="n">
        <v>281724</v>
      </c>
      <c r="F7" s="11">
        <f>D7/E7-1</f>
        <v/>
      </c>
      <c r="G7" s="10" t="n">
        <v>225465</v>
      </c>
      <c r="H7" s="11">
        <f>IF(ISNUMBER(G7),G7/D7,"n/a")</f>
        <v/>
      </c>
      <c r="I7" s="10" t="n">
        <v>155237</v>
      </c>
      <c r="J7" s="11">
        <f>I7/D7</f>
        <v/>
      </c>
      <c r="K7" s="10" t="n">
        <v>39000</v>
      </c>
      <c r="L7" s="12">
        <f>I7+K7</f>
        <v/>
      </c>
      <c r="M7" s="11">
        <f>L7/D7</f>
        <v/>
      </c>
      <c r="N7" s="13" t="n">
        <v>133749</v>
      </c>
    </row>
    <row r="8">
      <c r="A8" s="14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5" t="n"/>
    </row>
    <row r="9">
      <c r="A9" s="16" t="inlineStr">
        <is>
          <t>Alphabet</t>
        </is>
      </c>
      <c r="B9" s="9" t="inlineStr">
        <is>
          <t>GOOGL</t>
        </is>
      </c>
      <c r="C9" s="9" t="inlineStr">
        <is>
          <t>2026-06-30</t>
        </is>
      </c>
      <c r="D9" s="10" t="n">
        <v>445867</v>
      </c>
      <c r="E9" s="10" t="n">
        <v>371399</v>
      </c>
      <c r="F9" s="11">
        <f>D9/E9-1</f>
        <v/>
      </c>
      <c r="G9" s="10" t="n">
        <v>271517</v>
      </c>
      <c r="H9" s="11">
        <f>IF(ISNUMBER(G9),G9/D9,"n/a")</f>
        <v/>
      </c>
      <c r="I9" s="10" t="n">
        <v>147628</v>
      </c>
      <c r="J9" s="11">
        <f>I9/D9</f>
        <v/>
      </c>
      <c r="K9" s="10" t="n">
        <v>25086</v>
      </c>
      <c r="L9" s="12">
        <f>I9+K9</f>
        <v/>
      </c>
      <c r="M9" s="11">
        <f>L9/D9</f>
        <v/>
      </c>
      <c r="N9" s="13" t="n">
        <v>244205</v>
      </c>
    </row>
    <row r="10">
      <c r="A10" s="16" t="inlineStr">
        <is>
          <t>Amazon</t>
        </is>
      </c>
      <c r="B10" s="9" t="inlineStr">
        <is>
          <t>AMZN</t>
        </is>
      </c>
      <c r="C10" s="9" t="inlineStr">
        <is>
          <t>2026-06-30</t>
        </is>
      </c>
      <c r="D10" s="10" t="n">
        <v>775680</v>
      </c>
      <c r="E10" s="10" t="n">
        <v>670038</v>
      </c>
      <c r="F10" s="11">
        <f>D10/E10-1</f>
        <v/>
      </c>
      <c r="G10" s="10" t="n">
        <v>393810</v>
      </c>
      <c r="H10" s="11">
        <f>IF(ISNUMBER(G10),G10/D10,"n/a")</f>
        <v/>
      </c>
      <c r="I10" s="10" t="n">
        <v>93712</v>
      </c>
      <c r="J10" s="11">
        <f>I10/D10</f>
        <v/>
      </c>
      <c r="K10" s="10" t="n">
        <v>75200</v>
      </c>
      <c r="L10" s="12">
        <f>I10+K10</f>
        <v/>
      </c>
      <c r="M10" s="11">
        <f>L10/D10</f>
        <v/>
      </c>
      <c r="N10" s="13" t="n">
        <v>135281</v>
      </c>
    </row>
    <row r="11">
      <c r="A11" s="16" t="inlineStr">
        <is>
          <t>Meta Platforms</t>
        </is>
      </c>
      <c r="B11" s="9" t="inlineStr">
        <is>
          <t>META</t>
        </is>
      </c>
      <c r="C11" s="9" t="inlineStr">
        <is>
          <t>2026-06-30</t>
        </is>
      </c>
      <c r="D11" s="10" t="n">
        <v>228247</v>
      </c>
      <c r="E11" s="10" t="n">
        <v>178804</v>
      </c>
      <c r="F11" s="11">
        <f>D11/E11-1</f>
        <v/>
      </c>
      <c r="G11" s="10" t="n">
        <v>186587</v>
      </c>
      <c r="H11" s="11">
        <f>IF(ISNUMBER(G11),G11/D11,"n/a")</f>
        <v/>
      </c>
      <c r="I11" s="10" t="n">
        <v>86927</v>
      </c>
      <c r="J11" s="11">
        <f>I11/D11</f>
        <v/>
      </c>
      <c r="K11" s="10" t="n">
        <v>22729</v>
      </c>
      <c r="L11" s="12">
        <f>I11+K11</f>
        <v/>
      </c>
      <c r="M11" s="11">
        <f>L11/D11</f>
        <v/>
      </c>
      <c r="N11" s="13" t="n">
        <v>68098</v>
      </c>
    </row>
    <row r="12">
      <c r="A12" s="16" t="inlineStr">
        <is>
          <t>Apple</t>
        </is>
      </c>
      <c r="B12" s="9" t="inlineStr">
        <is>
          <t>AAPL</t>
        </is>
      </c>
      <c r="C12" s="9" t="inlineStr">
        <is>
          <t>2026-06-27</t>
        </is>
      </c>
      <c r="D12" s="10" t="n">
        <v>466823</v>
      </c>
      <c r="E12" s="10" t="n">
        <v>408625</v>
      </c>
      <c r="F12" s="11">
        <f>D12/E12-1</f>
        <v/>
      </c>
      <c r="G12" s="10" t="n">
        <v>227123</v>
      </c>
      <c r="H12" s="11">
        <f>IF(ISNUMBER(G12),G12/D12,"n/a")</f>
        <v/>
      </c>
      <c r="I12" s="10" t="n">
        <v>154859</v>
      </c>
      <c r="J12" s="11">
        <f>I12/D12</f>
        <v/>
      </c>
      <c r="K12" s="10" t="n">
        <v>13100</v>
      </c>
      <c r="L12" s="12">
        <f>I12+K12</f>
        <v/>
      </c>
      <c r="M12" s="11">
        <f>L12/D12</f>
        <v/>
      </c>
      <c r="N12" s="13" t="n">
        <v>128930</v>
      </c>
    </row>
    <row r="13">
      <c r="A13" s="16" t="inlineStr">
        <is>
          <t>Oracle</t>
        </is>
      </c>
      <c r="B13" s="9" t="inlineStr">
        <is>
          <t>ORCL</t>
        </is>
      </c>
      <c r="C13" s="9" t="inlineStr">
        <is>
          <t>2026-08-31</t>
        </is>
      </c>
      <c r="D13" s="10" t="n">
        <v>71777</v>
      </c>
      <c r="E13" s="10" t="n">
        <v>59018</v>
      </c>
      <c r="F13" s="11">
        <f>D13/E13-1</f>
        <v/>
      </c>
      <c r="G13" s="17" t="inlineStr">
        <is>
          <t>n/a</t>
        </is>
      </c>
      <c r="H13" s="11">
        <f>IF(ISNUMBER(G13),G13/D13,"n/a")</f>
        <v/>
      </c>
      <c r="I13" s="10" t="n">
        <v>23056</v>
      </c>
      <c r="J13" s="11">
        <f>I13/D13</f>
        <v/>
      </c>
      <c r="K13" s="10" t="n">
        <v>10881</v>
      </c>
      <c r="L13" s="12">
        <f>I13+K13</f>
        <v/>
      </c>
      <c r="M13" s="11">
        <f>L13/D13</f>
        <v/>
      </c>
      <c r="N13" s="13" t="n">
        <v>18920</v>
      </c>
    </row>
    <row r="14">
      <c r="A14" s="14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15" t="n"/>
    </row>
    <row r="15">
      <c r="A15" s="18" t="inlineStr">
        <is>
          <t>Peer Maximum</t>
        </is>
      </c>
      <c r="B15" s="19" t="n"/>
      <c r="C15" s="19" t="n"/>
      <c r="D15" s="19" t="n"/>
      <c r="E15" s="19" t="n"/>
      <c r="F15" s="20">
        <f>MAX(F9:F13)</f>
        <v/>
      </c>
      <c r="G15" s="19" t="n"/>
      <c r="H15" s="20">
        <f>MAX(H9:H13)</f>
        <v/>
      </c>
      <c r="I15" s="19" t="n"/>
      <c r="J15" s="20">
        <f>MAX(J9:J13)</f>
        <v/>
      </c>
      <c r="K15" s="19" t="n"/>
      <c r="L15" s="19" t="n"/>
      <c r="M15" s="20">
        <f>MAX(M9:M13)</f>
        <v/>
      </c>
      <c r="N15" s="21" t="n"/>
    </row>
    <row r="16">
      <c r="A16" s="18" t="inlineStr">
        <is>
          <t>Peer 75th Percentile</t>
        </is>
      </c>
      <c r="B16" s="19" t="n"/>
      <c r="C16" s="19" t="n"/>
      <c r="D16" s="19" t="n"/>
      <c r="E16" s="19" t="n"/>
      <c r="F16" s="20">
        <f>QUARTILE(F9:F13,3)</f>
        <v/>
      </c>
      <c r="G16" s="19" t="n"/>
      <c r="H16" s="20">
        <f>QUARTILE(H9:H13,3)</f>
        <v/>
      </c>
      <c r="I16" s="19" t="n"/>
      <c r="J16" s="20">
        <f>QUARTILE(J9:J13,3)</f>
        <v/>
      </c>
      <c r="K16" s="19" t="n"/>
      <c r="L16" s="19" t="n"/>
      <c r="M16" s="20">
        <f>QUARTILE(M9:M13,3)</f>
        <v/>
      </c>
      <c r="N16" s="21" t="n"/>
    </row>
    <row r="17">
      <c r="A17" s="18" t="inlineStr">
        <is>
          <t>Peer Median</t>
        </is>
      </c>
      <c r="B17" s="19" t="n"/>
      <c r="C17" s="19" t="n"/>
      <c r="D17" s="19" t="n"/>
      <c r="E17" s="19" t="n"/>
      <c r="F17" s="20">
        <f>MEDIAN(F9:F13)</f>
        <v/>
      </c>
      <c r="G17" s="19" t="n"/>
      <c r="H17" s="20">
        <f>MEDIAN(H9:H13)</f>
        <v/>
      </c>
      <c r="I17" s="19" t="n"/>
      <c r="J17" s="20">
        <f>MEDIAN(J9:J13)</f>
        <v/>
      </c>
      <c r="K17" s="19" t="n"/>
      <c r="L17" s="19" t="n"/>
      <c r="M17" s="20">
        <f>MEDIAN(M9:M13)</f>
        <v/>
      </c>
      <c r="N17" s="21" t="n"/>
    </row>
    <row r="18">
      <c r="A18" s="18" t="inlineStr">
        <is>
          <t>Peer 25th Percentile</t>
        </is>
      </c>
      <c r="B18" s="19" t="n"/>
      <c r="C18" s="19" t="n"/>
      <c r="D18" s="19" t="n"/>
      <c r="E18" s="19" t="n"/>
      <c r="F18" s="20">
        <f>QUARTILE(F9:F13,1)</f>
        <v/>
      </c>
      <c r="G18" s="19" t="n"/>
      <c r="H18" s="20">
        <f>QUARTILE(H9:H13,1)</f>
        <v/>
      </c>
      <c r="I18" s="19" t="n"/>
      <c r="J18" s="20">
        <f>QUARTILE(J9:J13,1)</f>
        <v/>
      </c>
      <c r="K18" s="19" t="n"/>
      <c r="L18" s="19" t="n"/>
      <c r="M18" s="20">
        <f>QUARTILE(M9:M13,1)</f>
        <v/>
      </c>
      <c r="N18" s="21" t="n"/>
    </row>
    <row r="19">
      <c r="A19" s="22" t="inlineStr">
        <is>
          <t>Peer Minimum</t>
        </is>
      </c>
      <c r="B19" s="23" t="n"/>
      <c r="C19" s="23" t="n"/>
      <c r="D19" s="23" t="n"/>
      <c r="E19" s="23" t="n"/>
      <c r="F19" s="24">
        <f>MIN(F9:F13)</f>
        <v/>
      </c>
      <c r="G19" s="23" t="n"/>
      <c r="H19" s="24">
        <f>MIN(H9:H13)</f>
        <v/>
      </c>
      <c r="I19" s="23" t="n"/>
      <c r="J19" s="24">
        <f>MIN(J9:J13)</f>
        <v/>
      </c>
      <c r="K19" s="23" t="n"/>
      <c r="L19" s="23" t="n"/>
      <c r="M19" s="24">
        <f>MIN(M9:M13)</f>
        <v/>
      </c>
      <c r="N19" s="25" t="n"/>
    </row>
    <row r="22">
      <c r="A22" s="2" t="inlineStr">
        <is>
          <t>VALUATION MULTIPLES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4" t="n"/>
    </row>
    <row r="23">
      <c r="A23" s="5" t="inlineStr">
        <is>
          <t>Company</t>
        </is>
      </c>
      <c r="B23" s="6" t="inlineStr">
        <is>
          <t>Ticker</t>
        </is>
      </c>
      <c r="C23" s="6" t="inlineStr">
        <is>
          <t>Share price</t>
        </is>
      </c>
      <c r="D23" s="6" t="inlineStr">
        <is>
          <t>Diluted shares (M)</t>
        </is>
      </c>
      <c r="E23" s="6" t="inlineStr">
        <is>
          <t>Market cap</t>
        </is>
      </c>
      <c r="F23" s="6" t="inlineStr">
        <is>
          <t>Cash + ST inv.</t>
        </is>
      </c>
      <c r="G23" s="6" t="inlineStr">
        <is>
          <t>Total debt</t>
        </is>
      </c>
      <c r="H23" s="6" t="inlineStr">
        <is>
          <t>Enterprise value</t>
        </is>
      </c>
      <c r="I23" s="6" t="inlineStr">
        <is>
          <t>EV / Revenue</t>
        </is>
      </c>
      <c r="J23" s="6" t="inlineStr">
        <is>
          <t>EV / EBITDA</t>
        </is>
      </c>
      <c r="K23" s="6" t="inlineStr">
        <is>
          <t>EV / EBIT</t>
        </is>
      </c>
      <c r="L23" s="6" t="inlineStr">
        <is>
          <t>P / E</t>
        </is>
      </c>
      <c r="M23" s="6" t="inlineStr">
        <is>
          <t>FCF note</t>
        </is>
      </c>
      <c r="N23" s="7" t="inlineStr"/>
    </row>
    <row r="24">
      <c r="A24" s="14">
        <f>A7</f>
        <v/>
      </c>
      <c r="B24" s="9">
        <f>B7</f>
        <v/>
      </c>
      <c r="C24" s="26" t="n">
        <v>533.6900000000001</v>
      </c>
      <c r="D24" s="27" t="n">
        <v>7425.5</v>
      </c>
      <c r="E24" s="12">
        <f>C24*D24</f>
        <v/>
      </c>
      <c r="F24" s="10" t="n">
        <v>76843</v>
      </c>
      <c r="G24" s="10" t="n">
        <v>40294</v>
      </c>
      <c r="H24" s="12">
        <f>E24-F24+G24</f>
        <v/>
      </c>
      <c r="I24" s="28">
        <f>H24/D7</f>
        <v/>
      </c>
      <c r="J24" s="28">
        <f>H24/L7</f>
        <v/>
      </c>
      <c r="K24" s="28">
        <f>H24/I7</f>
        <v/>
      </c>
      <c r="L24" s="28">
        <f>E24/N7</f>
        <v/>
      </c>
      <c r="M24" s="9" t="n"/>
      <c r="N24" s="15" t="n"/>
    </row>
    <row r="25">
      <c r="A25" s="14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5" t="n"/>
    </row>
    <row r="26">
      <c r="A26" s="14">
        <f>A9</f>
        <v/>
      </c>
      <c r="B26" s="9">
        <f>B9</f>
        <v/>
      </c>
      <c r="C26" s="26" t="n">
        <v>347.64</v>
      </c>
      <c r="D26" s="27" t="n">
        <v>12229.9</v>
      </c>
      <c r="E26" s="12">
        <f>C26*D26</f>
        <v/>
      </c>
      <c r="F26" s="10" t="n">
        <v>242474</v>
      </c>
      <c r="G26" s="10" t="n">
        <v>100164</v>
      </c>
      <c r="H26" s="12">
        <f>E26-F26+G26</f>
        <v/>
      </c>
      <c r="I26" s="28">
        <f>H26/D9</f>
        <v/>
      </c>
      <c r="J26" s="28">
        <f>H26/L9</f>
        <v/>
      </c>
      <c r="K26" s="28">
        <f>H26/I9</f>
        <v/>
      </c>
      <c r="L26" s="28">
        <f>E26/N9</f>
        <v/>
      </c>
      <c r="M26" s="9" t="inlineStr">
        <is>
          <t>P/E distorted by investment gains</t>
        </is>
      </c>
      <c r="N26" s="15" t="n"/>
    </row>
    <row r="27">
      <c r="A27" s="14">
        <f>A10</f>
        <v/>
      </c>
      <c r="B27" s="9">
        <f>B10</f>
        <v/>
      </c>
      <c r="C27" s="26" t="n">
        <v>254.08</v>
      </c>
      <c r="D27" s="27" t="n">
        <v>10786.3</v>
      </c>
      <c r="E27" s="12">
        <f>C27*D27</f>
        <v/>
      </c>
      <c r="F27" s="10" t="n">
        <v>122988</v>
      </c>
      <c r="G27" s="10" t="n">
        <v>132224</v>
      </c>
      <c r="H27" s="12">
        <f>E27-F27+G27</f>
        <v/>
      </c>
      <c r="I27" s="28">
        <f>H27/D10</f>
        <v/>
      </c>
      <c r="J27" s="28">
        <f>H27/L10</f>
        <v/>
      </c>
      <c r="K27" s="28">
        <f>H27/I10</f>
        <v/>
      </c>
      <c r="L27" s="28">
        <f>E27/N10</f>
        <v/>
      </c>
      <c r="M27" s="9" t="inlineStr">
        <is>
          <t>P/E depressed by equity-investment gains</t>
        </is>
      </c>
      <c r="N27" s="15" t="n"/>
    </row>
    <row r="28">
      <c r="A28" s="14">
        <f>A11</f>
        <v/>
      </c>
      <c r="B28" s="9">
        <f>B11</f>
        <v/>
      </c>
      <c r="C28" s="26" t="n">
        <v>737.54</v>
      </c>
      <c r="D28" s="27" t="n">
        <v>2547.5</v>
      </c>
      <c r="E28" s="12">
        <f>C28*D28</f>
        <v/>
      </c>
      <c r="F28" s="10" t="n">
        <v>90260</v>
      </c>
      <c r="G28" s="10" t="n">
        <v>83664</v>
      </c>
      <c r="H28" s="12">
        <f>E28-F28+G28</f>
        <v/>
      </c>
      <c r="I28" s="28">
        <f>H28/D11</f>
        <v/>
      </c>
      <c r="J28" s="28">
        <f>H28/L11</f>
        <v/>
      </c>
      <c r="K28" s="28">
        <f>H28/I11</f>
        <v/>
      </c>
      <c r="L28" s="28">
        <f>E28/N11</f>
        <v/>
      </c>
      <c r="M28" s="9" t="inlineStr">
        <is>
          <t>Q3-25 one-off tax charge</t>
        </is>
      </c>
      <c r="N28" s="15" t="n"/>
    </row>
    <row r="29">
      <c r="A29" s="14">
        <f>A12</f>
        <v/>
      </c>
      <c r="B29" s="9">
        <f>B12</f>
        <v/>
      </c>
      <c r="C29" s="26" t="n">
        <v>342.96</v>
      </c>
      <c r="D29" s="27" t="n">
        <v>14594.2</v>
      </c>
      <c r="E29" s="12">
        <f>C29*D29</f>
        <v/>
      </c>
      <c r="F29" s="10" t="n">
        <v>62399</v>
      </c>
      <c r="G29" s="10" t="n">
        <v>82347</v>
      </c>
      <c r="H29" s="12">
        <f>E29-F29+G29</f>
        <v/>
      </c>
      <c r="I29" s="28">
        <f>H29/D12</f>
        <v/>
      </c>
      <c r="J29" s="28">
        <f>H29/L12</f>
        <v/>
      </c>
      <c r="K29" s="28">
        <f>H29/I12</f>
        <v/>
      </c>
      <c r="L29" s="28">
        <f>E29/N12</f>
        <v/>
      </c>
      <c r="M29" s="9" t="n"/>
      <c r="N29" s="15" t="n"/>
    </row>
    <row r="30">
      <c r="A30" s="14">
        <f>A13</f>
        <v/>
      </c>
      <c r="B30" s="9">
        <f>B13</f>
        <v/>
      </c>
      <c r="C30" s="26" t="n">
        <v>130.55</v>
      </c>
      <c r="D30" s="27" t="n">
        <v>3031.5</v>
      </c>
      <c r="E30" s="12">
        <f>C30*D30</f>
        <v/>
      </c>
      <c r="F30" s="10" t="n">
        <v>37077</v>
      </c>
      <c r="G30" s="10" t="n">
        <v>125337</v>
      </c>
      <c r="H30" s="12">
        <f>E30-F30+G30</f>
        <v/>
      </c>
      <c r="I30" s="28">
        <f>H30/D13</f>
        <v/>
      </c>
      <c r="J30" s="28">
        <f>H30/L13</f>
        <v/>
      </c>
      <c r="K30" s="28">
        <f>H30/I13</f>
        <v/>
      </c>
      <c r="L30" s="28">
        <f>E30/N13</f>
        <v/>
      </c>
      <c r="M30" s="9" t="n"/>
      <c r="N30" s="15" t="n"/>
    </row>
    <row r="31">
      <c r="A31" s="14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5" t="n"/>
    </row>
    <row r="32">
      <c r="A32" s="18" t="inlineStr">
        <is>
          <t>Peer Maximum</t>
        </is>
      </c>
      <c r="B32" s="19" t="n"/>
      <c r="C32" s="19" t="n"/>
      <c r="D32" s="19" t="n"/>
      <c r="E32" s="19" t="n"/>
      <c r="F32" s="19" t="n"/>
      <c r="G32" s="19" t="n"/>
      <c r="H32" s="19" t="n"/>
      <c r="I32" s="29">
        <f>MAX(I26:I30)</f>
        <v/>
      </c>
      <c r="J32" s="29">
        <f>MAX(J26:J30)</f>
        <v/>
      </c>
      <c r="K32" s="29">
        <f>MAX(K26:K30)</f>
        <v/>
      </c>
      <c r="L32" s="29">
        <f>MAX(L26:L30)</f>
        <v/>
      </c>
      <c r="M32" s="19" t="n"/>
      <c r="N32" s="21" t="n"/>
    </row>
    <row r="33">
      <c r="A33" s="18" t="inlineStr">
        <is>
          <t>Peer 75th Percentile</t>
        </is>
      </c>
      <c r="B33" s="19" t="n"/>
      <c r="C33" s="19" t="n"/>
      <c r="D33" s="19" t="n"/>
      <c r="E33" s="19" t="n"/>
      <c r="F33" s="19" t="n"/>
      <c r="G33" s="19" t="n"/>
      <c r="H33" s="19" t="n"/>
      <c r="I33" s="29">
        <f>QUARTILE(I26:I30,3)</f>
        <v/>
      </c>
      <c r="J33" s="29">
        <f>QUARTILE(J26:J30,3)</f>
        <v/>
      </c>
      <c r="K33" s="29">
        <f>QUARTILE(K26:K30,3)</f>
        <v/>
      </c>
      <c r="L33" s="29">
        <f>QUARTILE(L26:L30,3)</f>
        <v/>
      </c>
      <c r="M33" s="19" t="n"/>
      <c r="N33" s="21" t="n"/>
    </row>
    <row r="34">
      <c r="A34" s="18" t="inlineStr">
        <is>
          <t>Peer Median</t>
        </is>
      </c>
      <c r="B34" s="19" t="n"/>
      <c r="C34" s="19" t="n"/>
      <c r="D34" s="19" t="n"/>
      <c r="E34" s="19" t="n"/>
      <c r="F34" s="19" t="n"/>
      <c r="G34" s="19" t="n"/>
      <c r="H34" s="19" t="n"/>
      <c r="I34" s="29">
        <f>MEDIAN(I26:I30)</f>
        <v/>
      </c>
      <c r="J34" s="30">
        <f>MEDIAN(J26:J30)</f>
        <v/>
      </c>
      <c r="K34" s="29">
        <f>MEDIAN(K26:K30)</f>
        <v/>
      </c>
      <c r="L34" s="29">
        <f>MEDIAN(L26:L30)</f>
        <v/>
      </c>
      <c r="M34" s="19" t="n"/>
      <c r="N34" s="21" t="n"/>
    </row>
    <row r="35">
      <c r="A35" s="18" t="inlineStr">
        <is>
          <t>Peer 25th Percentile</t>
        </is>
      </c>
      <c r="B35" s="19" t="n"/>
      <c r="C35" s="19" t="n"/>
      <c r="D35" s="19" t="n"/>
      <c r="E35" s="19" t="n"/>
      <c r="F35" s="19" t="n"/>
      <c r="G35" s="19" t="n"/>
      <c r="H35" s="19" t="n"/>
      <c r="I35" s="29">
        <f>QUARTILE(I26:I30,1)</f>
        <v/>
      </c>
      <c r="J35" s="29">
        <f>QUARTILE(J26:J30,1)</f>
        <v/>
      </c>
      <c r="K35" s="29">
        <f>QUARTILE(K26:K30,1)</f>
        <v/>
      </c>
      <c r="L35" s="29">
        <f>QUARTILE(L26:L30,1)</f>
        <v/>
      </c>
      <c r="M35" s="19" t="n"/>
      <c r="N35" s="21" t="n"/>
    </row>
    <row r="36">
      <c r="A36" s="22" t="inlineStr">
        <is>
          <t>Peer Minimum</t>
        </is>
      </c>
      <c r="B36" s="23" t="n"/>
      <c r="C36" s="23" t="n"/>
      <c r="D36" s="23" t="n"/>
      <c r="E36" s="23" t="n"/>
      <c r="F36" s="23" t="n"/>
      <c r="G36" s="23" t="n"/>
      <c r="H36" s="23" t="n"/>
      <c r="I36" s="31">
        <f>MIN(I26:I30)</f>
        <v/>
      </c>
      <c r="J36" s="31">
        <f>MIN(J26:J30)</f>
        <v/>
      </c>
      <c r="K36" s="31">
        <f>MIN(K26:K30)</f>
        <v/>
      </c>
      <c r="L36" s="31">
        <f>MIN(L26:L30)</f>
        <v/>
      </c>
      <c r="M36" s="23" t="n"/>
      <c r="N36" s="25" t="n"/>
    </row>
    <row r="38">
      <c r="A38" t="inlineStr">
        <is>
          <t>MSFT EV/EBITDA premium/(discount) to peer median</t>
        </is>
      </c>
      <c r="J38" s="32">
        <f>J24/J34-1</f>
        <v/>
      </c>
    </row>
    <row r="39">
      <c r="A39" t="inlineStr">
        <is>
          <t>MSFT P/E premium/(discount) to peer median</t>
        </is>
      </c>
      <c r="L39" s="32">
        <f>L24/L34-1</f>
        <v/>
      </c>
    </row>
    <row r="40">
      <c r="A40" t="inlineStr">
        <is>
          <t>Peer median LTM revenue growth</t>
        </is>
      </c>
      <c r="F40" s="32">
        <f>F17</f>
        <v/>
      </c>
    </row>
    <row r="41">
      <c r="A41" t="inlineStr">
        <is>
          <t>Peer median EBITDA margin</t>
        </is>
      </c>
      <c r="M41" s="32">
        <f>M17</f>
        <v/>
      </c>
    </row>
    <row r="44">
      <c r="A44" s="33" t="inlineStr">
        <is>
          <t>NOTES &amp; METHODOLOGY</t>
        </is>
      </c>
    </row>
    <row r="45">
      <c r="A45" s="34" t="inlineStr">
        <is>
          <t>Data: SEC XBRL standardized financials via stock-data MCP (get_financials); prices/market caps via stock-data get_quote (Yahoo, close 2026-10-14).</t>
        </is>
      </c>
    </row>
    <row r="46">
      <c r="A46" s="34" t="inlineStr">
        <is>
          <t>LTM = sum of last four reported quarters; prior LTM = the four quarters before. Fiscal year ends differ (AAPL Sep, ORCL May, MSFT Jun, others Dec).</t>
        </is>
      </c>
    </row>
    <row r="47">
      <c r="A47" s="34" t="inlineStr">
        <is>
          <t>EBITDA = Operating income (EBIT) + D&amp;A from the cash flow statement. GOOGL LTM D&amp;A is an estimate (see cell comment).</t>
        </is>
      </c>
    </row>
    <row r="48">
      <c r="A48" s="34" t="inlineStr">
        <is>
          <t>EV = market cap - cash &amp; current marketable securities + total debt (operating and finance lease liabilities excluded for all companies).</t>
        </is>
      </c>
    </row>
    <row r="49">
      <c r="A49" s="34" t="inlineStr">
        <is>
          <t>P/E for GOOGL, AMZN is depressed by large unrealized equity-investment gains in 2026; META LTM includes a one-off tax charge. Use EV/EBITDA and EV/EBIT as the primary multiples.</t>
        </is>
      </c>
    </row>
    <row r="50">
      <c r="A50" s="34" t="inlineStr">
        <is>
          <t>Statistics are calculated over the five peers only (MSFT excluded).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2026-10-15T02:11:52Z</dcterms:created>
  <dcterms:modified xmlns:dcterms="http://purl.org/dc/terms/" xmlns:xsi="http://www.w3.org/2001/XMLSchema-instance" xsi:type="dcterms:W3CDTF">2026-10-15T02:11:52Z</dcterms:modified>
</cp:coreProperties>
</file>