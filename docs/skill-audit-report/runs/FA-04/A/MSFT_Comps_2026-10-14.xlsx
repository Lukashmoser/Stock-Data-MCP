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C8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C9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C10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C11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C1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(EBITDA = operating income 155,237 + D&amp;A 38,534)</t>
        </r>
      </text>
    </comment>
    <comment ref="C23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C24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C25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C26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C27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C35" authorId="0">
      <text>
        <r>
          <rPr>
            <sz val="10"/>
            <rFont val="Arial"/>
            <family val="2"/>
          </rPr>
          <t xml:space="preserve">Source: stockanalysis.com /stocks/msft/statistics/ (price close 2026-10-14, 7.43bn shares, total debt incl. leases 128.81bn); cash+STI from FY26 Q4 release (20,935 + 55,908)</t>
        </r>
      </text>
    </comment>
    <comment ref="D7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D8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D9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D10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D11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D1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(EBITDA = operating income 155,237 + D&amp;A 38,534)</t>
        </r>
      </text>
    </comment>
    <comment ref="D23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D24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D25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D26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D27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D35" authorId="0">
      <text>
        <r>
          <rPr>
            <sz val="10"/>
            <rFont val="Arial"/>
            <family val="2"/>
          </rPr>
          <t xml:space="preserve">Source: stockanalysis.com /stocks/msft/statistics/ (price close 2026-10-14, 7.43bn shares, total debt incl. leases 128.81bn); cash+STI from FY26 Q4 release (20,935 + 55,908)</t>
        </r>
      </text>
    </comment>
    <comment ref="F7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F8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F9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F10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F11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F1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(EBITDA = operating income 155,237 + D&amp;A 38,534)</t>
        </r>
      </text>
    </comment>
    <comment ref="F23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quarter; total debt incl. lease liabilities</t>
        </r>
      </text>
    </comment>
    <comment ref="F24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quarter; total debt incl. lease liabilities</t>
        </r>
      </text>
    </comment>
    <comment ref="F25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quarter; total debt incl. lease liabilities</t>
        </r>
      </text>
    </comment>
    <comment ref="F26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quarter; total debt incl. lease liabilities</t>
        </r>
      </text>
    </comment>
    <comment ref="F27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quarter; total debt incl. lease liabilities</t>
        </r>
      </text>
    </comment>
    <comment ref="F35" authorId="0">
      <text>
        <r>
          <rPr>
            <sz val="10"/>
            <rFont val="Arial"/>
            <family val="2"/>
          </rPr>
          <t xml:space="preserve">Source: stockanalysis.com /stocks/msft/statistics/ (price close 2026-10-14, 7.43bn shares, total debt incl. leases 128.81bn); cash+STI from FY26 Q4 release (20,935 + 55,908); total debt incl. lease liabilities</t>
        </r>
      </text>
    </comment>
    <comment ref="G23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G24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G25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G26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G27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G35" authorId="0">
      <text>
        <r>
          <rPr>
            <sz val="10"/>
            <rFont val="Arial"/>
            <family val="2"/>
          </rPr>
          <t xml:space="preserve">Source: stockanalysis.com /stocks/msft/statistics/ (price close 2026-10-14, 7.43bn shares, total debt incl. leases 128.81bn); cash+STI from FY26 Q4 release (20,935 + 55,908)</t>
        </r>
      </text>
    </comment>
    <comment ref="H7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H8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H9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H10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H11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H1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(EBITDA = operating income 155,237 + D&amp;A 38,534)</t>
        </r>
      </text>
    </comment>
    <comment ref="J7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J8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J9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J10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J11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J1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(EBITDA = operating income 155,237 + D&amp;A 38,534)</t>
        </r>
      </text>
    </comment>
    <comment ref="K7" authorId="0">
      <text>
        <r>
          <rPr>
            <sz val="10"/>
            <rFont val="Arial"/>
            <family val="2"/>
          </rPr>
          <t xml:space="preserve">Source: stockanalysis.com /stocks/googl/statistics/, accessed 2026-10-14; close 2026-10-14; LTM through latest reported quarter</t>
        </r>
      </text>
    </comment>
    <comment ref="K8" authorId="0">
      <text>
        <r>
          <rPr>
            <sz val="10"/>
            <rFont val="Arial"/>
            <family val="2"/>
          </rPr>
          <t xml:space="preserve">Source: stockanalysis.com /stocks/amzn/statistics/, accessed 2026-10-14; close 2026-10-14; LTM through latest reported quarter</t>
        </r>
      </text>
    </comment>
    <comment ref="K9" authorId="0">
      <text>
        <r>
          <rPr>
            <sz val="10"/>
            <rFont val="Arial"/>
            <family val="2"/>
          </rPr>
          <t xml:space="preserve">Source: stockanalysis.com /stocks/meta/statistics/, accessed 2026-10-14; close 2026-10-14; LTM through latest reported quarter</t>
        </r>
      </text>
    </comment>
    <comment ref="K10" authorId="0">
      <text>
        <r>
          <rPr>
            <sz val="10"/>
            <rFont val="Arial"/>
            <family val="2"/>
          </rPr>
          <t xml:space="preserve">Source: stockanalysis.com /stocks/aapl/statistics/, accessed 2026-10-14; close 2026-10-14; LTM through latest reported quarter</t>
        </r>
      </text>
    </comment>
    <comment ref="K11" authorId="0">
      <text>
        <r>
          <rPr>
            <sz val="10"/>
            <rFont val="Arial"/>
            <family val="2"/>
          </rPr>
          <t xml:space="preserve">Source: stockanalysis.com /stocks/orcl/statistics/, accessed 2026-10-14; close 2026-10-14; LTM through latest reported quarter</t>
        </r>
      </text>
    </comment>
    <comment ref="K19" authorId="0">
      <text>
        <r>
          <rPr>
            <sz val="10"/>
            <rFont val="Arial"/>
            <family val="2"/>
          </rPr>
          <t xml:space="preserve">Source: Microsoft FY26 Q4 earnings release (8-K exhibit 99.1), 2026-07-29, financial statements, https://microsoft.gcs-web.com/node/35101/html (EBITDA = operating income 155,237 + D&amp;A 38,534)</t>
        </r>
      </text>
    </comment>
  </commentList>
</comments>
</file>

<file path=xl/sharedStrings.xml><?xml version="1.0" encoding="utf-8"?>
<sst xmlns="http://schemas.openxmlformats.org/spreadsheetml/2006/main" count="68" uniqueCount="49">
  <si>
    <t xml:space="preserve">BIG TECH - COMPARABLE COMPANY ANALYSIS (peer set for MSFT DCF)</t>
  </si>
  <si>
    <t xml:space="preserve">Alphabet (GOOGL) • Amazon (AMZN) • Meta Platforms (META) • Apple (AAPL) • Oracle (ORCL) | Target: Microsoft (MSFT)</t>
  </si>
  <si>
    <t xml:space="preserve">Prices as of 2026-10-14 close | LTM financials through each company's latest reported quarter | USD millions except per-share amounts and ratios</t>
  </si>
  <si>
    <t xml:space="preserve">OPERATING METRICS (LTM)</t>
  </si>
  <si>
    <t xml:space="preserve">Company</t>
  </si>
  <si>
    <t xml:space="preserve">Ticker</t>
  </si>
  <si>
    <t xml:space="preserve">Revenue</t>
  </si>
  <si>
    <t xml:space="preserve">Gross Profit</t>
  </si>
  <si>
    <t xml:space="preserve">Gross Margin</t>
  </si>
  <si>
    <t xml:space="preserve">Operating Income</t>
  </si>
  <si>
    <t xml:space="preserve">Operating Margin</t>
  </si>
  <si>
    <t xml:space="preserve">EBITDA</t>
  </si>
  <si>
    <t xml:space="preserve">EBITDA Margin</t>
  </si>
  <si>
    <t xml:space="preserve">Net Income</t>
  </si>
  <si>
    <t xml:space="preserve">Free Cash Flow</t>
  </si>
  <si>
    <t xml:space="preserve">FCF Margin</t>
  </si>
  <si>
    <t xml:space="preserve">Alphabet</t>
  </si>
  <si>
    <t xml:space="preserve">GOOGL</t>
  </si>
  <si>
    <t xml:space="preserve">Amazon</t>
  </si>
  <si>
    <t xml:space="preserve">AMZN</t>
  </si>
  <si>
    <t xml:space="preserve">Meta Platforms</t>
  </si>
  <si>
    <t xml:space="preserve">META</t>
  </si>
  <si>
    <t xml:space="preserve">Apple</t>
  </si>
  <si>
    <t xml:space="preserve">AAPL</t>
  </si>
  <si>
    <t xml:space="preserve">Oracle</t>
  </si>
  <si>
    <t xml:space="preserve">ORCL</t>
  </si>
  <si>
    <t xml:space="preserve">Maximum</t>
  </si>
  <si>
    <t xml:space="preserve">75th Percentile</t>
  </si>
  <si>
    <t xml:space="preserve">Median</t>
  </si>
  <si>
    <t xml:space="preserve">25th Percentile</t>
  </si>
  <si>
    <t xml:space="preserve">Minimum</t>
  </si>
  <si>
    <t xml:space="preserve">Microsoft (target, excluded from stats)</t>
  </si>
  <si>
    <t xml:space="preserve">MSFT</t>
  </si>
  <si>
    <t xml:space="preserve">VALUATION MULTIPLES</t>
  </si>
  <si>
    <t xml:space="preserve">Share Price ($)</t>
  </si>
  <si>
    <t xml:space="preserve">Shares Out (M)</t>
  </si>
  <si>
    <t xml:space="preserve">Market Cap</t>
  </si>
  <si>
    <t xml:space="preserve">Total Debt</t>
  </si>
  <si>
    <t xml:space="preserve">Cash &amp; ST Inv.</t>
  </si>
  <si>
    <t xml:space="preserve">Enterprise Value</t>
  </si>
  <si>
    <t xml:space="preserve">EV / Revenue</t>
  </si>
  <si>
    <t xml:space="preserve">EV / EBITDA</t>
  </si>
  <si>
    <t xml:space="preserve">P / E</t>
  </si>
  <si>
    <t xml:space="preserve">FCF Yield</t>
  </si>
  <si>
    <t xml:space="preserve">NOTES &amp; METHODOLOGY</t>
  </si>
  <si>
    <t xml:space="preserve">Data: peer LTM financials, prices, shares, debt and cash from stockanalysis.com statistics pages accessed 2026-10-14 (close 2026-10-14). MSFT financials from FY26 (June 30, 2026) earnings release.</t>
  </si>
  <si>
    <t xml:space="preserve">EBITDA = operating income + D&amp;A (provider definition for peers). FCF = operating cash flow - capex. EV = market cap + total debt (incl. lease liabilities) - cash &amp; short-term investments.</t>
  </si>
  <si>
    <t xml:space="preserve">Statistics exclude MSFT. Peer GOOGL/AMZN net income includes large unrealised gains on AI-lab investments, which depresses their P/E; EV/EBITDA is the primary multiple.</t>
  </si>
  <si>
    <t xml:space="preserve">Peer fiscal periods differ (AAPL Sep FYE, ORCL May FYE, MSFT Jun FYE); LTM basis used for all. AMZN and ORCL FCF negative due to AI capex.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</si>
</sst>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\$#,##0.00"/>
    <numFmt numFmtId="168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BDD7EE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D9E1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30" hidden="false" customHeight="true" outlineLevel="0" collapsed="false">
      <c r="A6" s="3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5" t="s">
        <v>15</v>
      </c>
    </row>
    <row r="7" customFormat="false" ht="15" hidden="false" customHeight="false" outlineLevel="0" collapsed="false">
      <c r="A7" s="6" t="s">
        <v>16</v>
      </c>
      <c r="B7" s="7" t="s">
        <v>17</v>
      </c>
      <c r="C7" s="8" t="n">
        <v>445870</v>
      </c>
      <c r="D7" s="8" t="n">
        <v>271520</v>
      </c>
      <c r="E7" s="9" t="n">
        <f aca="false">D7/C7</f>
        <v>0.608966739184067</v>
      </c>
      <c r="F7" s="8" t="n">
        <v>147630</v>
      </c>
      <c r="G7" s="9" t="n">
        <f aca="false">F7/C7</f>
        <v>0.331105479175544</v>
      </c>
      <c r="H7" s="8" t="n">
        <v>173160</v>
      </c>
      <c r="I7" s="9" t="n">
        <f aca="false">H7/C7</f>
        <v>0.388364321438984</v>
      </c>
      <c r="J7" s="8" t="n">
        <v>244120</v>
      </c>
      <c r="K7" s="8" t="n">
        <v>53270</v>
      </c>
      <c r="L7" s="10" t="n">
        <f aca="false">K7/C7</f>
        <v>0.119474286226927</v>
      </c>
    </row>
    <row r="8" customFormat="false" ht="15" hidden="false" customHeight="false" outlineLevel="0" collapsed="false">
      <c r="A8" s="6" t="s">
        <v>18</v>
      </c>
      <c r="B8" s="7" t="s">
        <v>19</v>
      </c>
      <c r="C8" s="8" t="n">
        <v>775680</v>
      </c>
      <c r="D8" s="8" t="n">
        <v>393810</v>
      </c>
      <c r="E8" s="9" t="n">
        <f aca="false">D8/C8</f>
        <v>0.507696472772277</v>
      </c>
      <c r="F8" s="8" t="n">
        <v>93710</v>
      </c>
      <c r="G8" s="9" t="n">
        <f aca="false">F8/C8</f>
        <v>0.120810127887789</v>
      </c>
      <c r="H8" s="8" t="n">
        <v>168910</v>
      </c>
      <c r="I8" s="9" t="n">
        <f aca="false">H8/C8</f>
        <v>0.217757322607261</v>
      </c>
      <c r="J8" s="8" t="n">
        <v>135280</v>
      </c>
      <c r="K8" s="8" t="n">
        <v>-11630</v>
      </c>
      <c r="L8" s="10" t="n">
        <f aca="false">K8/C8</f>
        <v>-0.0149932962046205</v>
      </c>
    </row>
    <row r="9" customFormat="false" ht="15" hidden="false" customHeight="false" outlineLevel="0" collapsed="false">
      <c r="A9" s="6" t="s">
        <v>20</v>
      </c>
      <c r="B9" s="7" t="s">
        <v>21</v>
      </c>
      <c r="C9" s="8" t="n">
        <v>228250</v>
      </c>
      <c r="D9" s="8" t="n">
        <v>186590</v>
      </c>
      <c r="E9" s="9" t="n">
        <f aca="false">D9/C9</f>
        <v>0.817480832420591</v>
      </c>
      <c r="F9" s="8" t="n">
        <v>86930</v>
      </c>
      <c r="G9" s="9" t="n">
        <f aca="false">F9/C9</f>
        <v>0.380854326396495</v>
      </c>
      <c r="H9" s="8" t="n">
        <v>109660</v>
      </c>
      <c r="I9" s="9" t="n">
        <f aca="false">H9/C9</f>
        <v>0.480438116100767</v>
      </c>
      <c r="J9" s="8" t="n">
        <v>68100</v>
      </c>
      <c r="K9" s="8" t="n">
        <v>40980</v>
      </c>
      <c r="L9" s="10" t="n">
        <f aca="false">K9/C9</f>
        <v>0.179539978094195</v>
      </c>
    </row>
    <row r="10" customFormat="false" ht="15" hidden="false" customHeight="false" outlineLevel="0" collapsed="false">
      <c r="A10" s="6" t="s">
        <v>22</v>
      </c>
      <c r="B10" s="7" t="s">
        <v>23</v>
      </c>
      <c r="C10" s="8" t="n">
        <v>466820</v>
      </c>
      <c r="D10" s="8" t="n">
        <v>227120</v>
      </c>
      <c r="E10" s="9" t="n">
        <f aca="false">D10/C10</f>
        <v>0.48652585579024</v>
      </c>
      <c r="F10" s="8" t="n">
        <v>154860</v>
      </c>
      <c r="G10" s="9" t="n">
        <f aca="false">F10/C10</f>
        <v>0.331733858874941</v>
      </c>
      <c r="H10" s="8" t="n">
        <v>167960</v>
      </c>
      <c r="I10" s="9" t="n">
        <f aca="false">H10/C10</f>
        <v>0.359796067006555</v>
      </c>
      <c r="J10" s="8" t="n">
        <v>128930</v>
      </c>
      <c r="K10" s="8" t="n">
        <v>136680</v>
      </c>
      <c r="L10" s="10" t="n">
        <f aca="false">K10/C10</f>
        <v>0.29278951201748</v>
      </c>
    </row>
    <row r="11" customFormat="false" ht="15" hidden="false" customHeight="false" outlineLevel="0" collapsed="false">
      <c r="A11" s="6" t="s">
        <v>24</v>
      </c>
      <c r="B11" s="7" t="s">
        <v>25</v>
      </c>
      <c r="C11" s="8" t="n">
        <v>71780</v>
      </c>
      <c r="D11" s="8" t="n">
        <v>45910</v>
      </c>
      <c r="E11" s="9" t="n">
        <f aca="false">D11/C11</f>
        <v>0.639593201448872</v>
      </c>
      <c r="F11" s="8" t="n">
        <v>24600</v>
      </c>
      <c r="G11" s="9" t="n">
        <f aca="false">F11/C11</f>
        <v>0.342713847868487</v>
      </c>
      <c r="H11" s="8" t="n">
        <v>34430</v>
      </c>
      <c r="I11" s="9" t="n">
        <f aca="false">H11/C11</f>
        <v>0.479660072443578</v>
      </c>
      <c r="J11" s="8" t="n">
        <v>18740</v>
      </c>
      <c r="K11" s="8" t="n">
        <v>-28720</v>
      </c>
      <c r="L11" s="10" t="n">
        <f aca="false">K11/C11</f>
        <v>-0.400111451657843</v>
      </c>
    </row>
    <row r="12" customFormat="false" ht="15" hidden="false" customHeight="false" outlineLevel="0" collapsed="false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</row>
    <row r="13" customFormat="false" ht="15" hidden="false" customHeight="false" outlineLevel="0" collapsed="false">
      <c r="A13" s="14" t="s">
        <v>26</v>
      </c>
      <c r="B13" s="15"/>
      <c r="C13" s="15"/>
      <c r="D13" s="15"/>
      <c r="E13" s="16" t="n">
        <f aca="false">MAX(E7:E11)</f>
        <v>0.817480832420591</v>
      </c>
      <c r="F13" s="15"/>
      <c r="G13" s="16" t="n">
        <f aca="false">MAX(G7:G11)</f>
        <v>0.380854326396495</v>
      </c>
      <c r="H13" s="15"/>
      <c r="I13" s="16" t="n">
        <f aca="false">MAX(I7:I11)</f>
        <v>0.480438116100767</v>
      </c>
      <c r="J13" s="15"/>
      <c r="K13" s="15"/>
      <c r="L13" s="17" t="n">
        <f aca="false">MAX(L7:L11)</f>
        <v>0.29278951201748</v>
      </c>
    </row>
    <row r="14" customFormat="false" ht="15" hidden="false" customHeight="false" outlineLevel="0" collapsed="false">
      <c r="A14" s="14" t="s">
        <v>27</v>
      </c>
      <c r="B14" s="15"/>
      <c r="C14" s="15"/>
      <c r="D14" s="15"/>
      <c r="E14" s="16" t="n">
        <f aca="false">QUARTILE(E7:E11,3)</f>
        <v>0.639593201448872</v>
      </c>
      <c r="F14" s="15"/>
      <c r="G14" s="16" t="n">
        <f aca="false">QUARTILE(G7:G11,3)</f>
        <v>0.342713847868487</v>
      </c>
      <c r="H14" s="15"/>
      <c r="I14" s="16" t="n">
        <f aca="false">QUARTILE(I7:I11,3)</f>
        <v>0.479660072443578</v>
      </c>
      <c r="J14" s="15"/>
      <c r="K14" s="15"/>
      <c r="L14" s="17" t="n">
        <f aca="false">QUARTILE(L7:L11,3)</f>
        <v>0.179539978094195</v>
      </c>
    </row>
    <row r="15" customFormat="false" ht="15" hidden="false" customHeight="false" outlineLevel="0" collapsed="false">
      <c r="A15" s="14" t="s">
        <v>28</v>
      </c>
      <c r="B15" s="15"/>
      <c r="C15" s="15"/>
      <c r="D15" s="15"/>
      <c r="E15" s="16" t="n">
        <f aca="false">MEDIAN(E7:E11)</f>
        <v>0.608966739184067</v>
      </c>
      <c r="F15" s="15"/>
      <c r="G15" s="16" t="n">
        <f aca="false">MEDIAN(G7:G11)</f>
        <v>0.331733858874941</v>
      </c>
      <c r="H15" s="15"/>
      <c r="I15" s="16" t="n">
        <f aca="false">MEDIAN(I7:I11)</f>
        <v>0.388364321438984</v>
      </c>
      <c r="J15" s="15"/>
      <c r="K15" s="15"/>
      <c r="L15" s="17" t="n">
        <f aca="false">MEDIAN(L7:L11)</f>
        <v>0.119474286226927</v>
      </c>
    </row>
    <row r="16" customFormat="false" ht="15" hidden="false" customHeight="false" outlineLevel="0" collapsed="false">
      <c r="A16" s="14" t="s">
        <v>29</v>
      </c>
      <c r="B16" s="15"/>
      <c r="C16" s="15"/>
      <c r="D16" s="15"/>
      <c r="E16" s="16" t="n">
        <f aca="false">QUARTILE(E7:E11,1)</f>
        <v>0.507696472772277</v>
      </c>
      <c r="F16" s="15"/>
      <c r="G16" s="16" t="n">
        <f aca="false">QUARTILE(G7:G11,1)</f>
        <v>0.331105479175544</v>
      </c>
      <c r="H16" s="15"/>
      <c r="I16" s="16" t="n">
        <f aca="false">QUARTILE(I7:I11,1)</f>
        <v>0.359796067006555</v>
      </c>
      <c r="J16" s="15"/>
      <c r="K16" s="15"/>
      <c r="L16" s="17" t="n">
        <f aca="false">QUARTILE(L7:L11,1)</f>
        <v>-0.0149932962046205</v>
      </c>
    </row>
    <row r="17" customFormat="false" ht="15" hidden="false" customHeight="false" outlineLevel="0" collapsed="false">
      <c r="A17" s="14" t="s">
        <v>30</v>
      </c>
      <c r="B17" s="15"/>
      <c r="C17" s="15"/>
      <c r="D17" s="15"/>
      <c r="E17" s="16" t="n">
        <f aca="false">MIN(E7:E11)</f>
        <v>0.48652585579024</v>
      </c>
      <c r="F17" s="15"/>
      <c r="G17" s="16" t="n">
        <f aca="false">MIN(G7:G11)</f>
        <v>0.120810127887789</v>
      </c>
      <c r="H17" s="15"/>
      <c r="I17" s="16" t="n">
        <f aca="false">MIN(I7:I11)</f>
        <v>0.217757322607261</v>
      </c>
      <c r="J17" s="15"/>
      <c r="K17" s="15"/>
      <c r="L17" s="17" t="n">
        <f aca="false">MIN(L7:L11)</f>
        <v>-0.400111451657843</v>
      </c>
    </row>
    <row r="18" customFormat="false" ht="15" hidden="false" customHeight="false" outlineLevel="0" collapsed="false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3"/>
    </row>
    <row r="19" customFormat="false" ht="15" hidden="false" customHeight="false" outlineLevel="0" collapsed="false">
      <c r="A19" s="18" t="s">
        <v>31</v>
      </c>
      <c r="B19" s="19" t="s">
        <v>32</v>
      </c>
      <c r="C19" s="20" t="n">
        <v>331839</v>
      </c>
      <c r="D19" s="20" t="n">
        <v>225465</v>
      </c>
      <c r="E19" s="21" t="n">
        <f aca="false">D19/C19</f>
        <v>0.679440933705803</v>
      </c>
      <c r="F19" s="20" t="n">
        <v>155237</v>
      </c>
      <c r="G19" s="21" t="n">
        <f aca="false">F19/C19</f>
        <v>0.467808184089272</v>
      </c>
      <c r="H19" s="20" t="n">
        <v>193771</v>
      </c>
      <c r="I19" s="21" t="n">
        <f aca="false">H19/C19</f>
        <v>0.583930761604272</v>
      </c>
      <c r="J19" s="20" t="n">
        <v>133749</v>
      </c>
      <c r="K19" s="20" t="n">
        <v>66987</v>
      </c>
      <c r="L19" s="22" t="n">
        <f aca="false">K19/C19</f>
        <v>0.20186596512164</v>
      </c>
    </row>
    <row r="21" customFormat="false" ht="15" hidden="false" customHeight="false" outlineLevel="0" collapsed="false">
      <c r="A21" s="2" t="s">
        <v>33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30" hidden="false" customHeight="true" outlineLevel="0" collapsed="false">
      <c r="A22" s="3" t="s">
        <v>4</v>
      </c>
      <c r="B22" s="4" t="s">
        <v>5</v>
      </c>
      <c r="C22" s="4" t="s">
        <v>34</v>
      </c>
      <c r="D22" s="4" t="s">
        <v>35</v>
      </c>
      <c r="E22" s="4" t="s">
        <v>36</v>
      </c>
      <c r="F22" s="4" t="s">
        <v>37</v>
      </c>
      <c r="G22" s="4" t="s">
        <v>38</v>
      </c>
      <c r="H22" s="4" t="s">
        <v>39</v>
      </c>
      <c r="I22" s="4" t="s">
        <v>40</v>
      </c>
      <c r="J22" s="4" t="s">
        <v>41</v>
      </c>
      <c r="K22" s="4" t="s">
        <v>42</v>
      </c>
      <c r="L22" s="5" t="s">
        <v>43</v>
      </c>
    </row>
    <row r="23" customFormat="false" ht="15" hidden="false" customHeight="false" outlineLevel="0" collapsed="false">
      <c r="A23" s="6" t="s">
        <v>16</v>
      </c>
      <c r="B23" s="7" t="s">
        <v>17</v>
      </c>
      <c r="C23" s="23" t="n">
        <v>347.64</v>
      </c>
      <c r="D23" s="8" t="n">
        <v>12230</v>
      </c>
      <c r="E23" s="24" t="n">
        <f aca="false">C23*D23</f>
        <v>4251637.2</v>
      </c>
      <c r="F23" s="8" t="n">
        <v>120790</v>
      </c>
      <c r="G23" s="8" t="n">
        <v>242470</v>
      </c>
      <c r="H23" s="24" t="n">
        <f aca="false">E23+F23-G23</f>
        <v>4129957.2</v>
      </c>
      <c r="I23" s="25" t="n">
        <f aca="false">H23/C7</f>
        <v>9.26269361024514</v>
      </c>
      <c r="J23" s="25" t="n">
        <f aca="false">H23/H7</f>
        <v>23.8505266805267</v>
      </c>
      <c r="K23" s="25" t="n">
        <f aca="false">E23/J7</f>
        <v>17.4161772898574</v>
      </c>
      <c r="L23" s="10" t="n">
        <f aca="false">K7/E23</f>
        <v>0.0125292910693321</v>
      </c>
    </row>
    <row r="24" customFormat="false" ht="15" hidden="false" customHeight="false" outlineLevel="0" collapsed="false">
      <c r="A24" s="6" t="s">
        <v>18</v>
      </c>
      <c r="B24" s="7" t="s">
        <v>19</v>
      </c>
      <c r="C24" s="23" t="n">
        <v>254.08</v>
      </c>
      <c r="D24" s="8" t="n">
        <v>10790</v>
      </c>
      <c r="E24" s="24" t="n">
        <f aca="false">C24*D24</f>
        <v>2741523.2</v>
      </c>
      <c r="F24" s="8" t="n">
        <v>251640</v>
      </c>
      <c r="G24" s="8" t="n">
        <v>122990</v>
      </c>
      <c r="H24" s="24" t="n">
        <f aca="false">E24+F24-G24</f>
        <v>2870173.2</v>
      </c>
      <c r="I24" s="25" t="n">
        <f aca="false">H24/C8</f>
        <v>3.70020266089109</v>
      </c>
      <c r="J24" s="25" t="n">
        <f aca="false">H24/H8</f>
        <v>16.99232253863</v>
      </c>
      <c r="K24" s="25" t="n">
        <f aca="false">E24/J8</f>
        <v>20.2655470136014</v>
      </c>
      <c r="L24" s="10" t="n">
        <f aca="false">K8/E24</f>
        <v>-0.0042421672740176</v>
      </c>
    </row>
    <row r="25" customFormat="false" ht="15" hidden="false" customHeight="false" outlineLevel="0" collapsed="false">
      <c r="A25" s="6" t="s">
        <v>20</v>
      </c>
      <c r="B25" s="7" t="s">
        <v>21</v>
      </c>
      <c r="C25" s="23" t="n">
        <v>737.54</v>
      </c>
      <c r="D25" s="8" t="n">
        <v>2550</v>
      </c>
      <c r="E25" s="24" t="n">
        <f aca="false">C25*D25</f>
        <v>1880727</v>
      </c>
      <c r="F25" s="8" t="n">
        <v>112320</v>
      </c>
      <c r="G25" s="8" t="n">
        <v>90260</v>
      </c>
      <c r="H25" s="24" t="n">
        <f aca="false">E25+F25-G25</f>
        <v>1902787</v>
      </c>
      <c r="I25" s="25" t="n">
        <f aca="false">H25/C9</f>
        <v>8.33641621029573</v>
      </c>
      <c r="J25" s="25" t="n">
        <f aca="false">H25/H9</f>
        <v>17.3516961517418</v>
      </c>
      <c r="K25" s="25" t="n">
        <f aca="false">E25/J9</f>
        <v>27.6171365638767</v>
      </c>
      <c r="L25" s="10" t="n">
        <f aca="false">K9/E25</f>
        <v>0.0217894463151749</v>
      </c>
    </row>
    <row r="26" customFormat="false" ht="15" hidden="false" customHeight="false" outlineLevel="0" collapsed="false">
      <c r="A26" s="6" t="s">
        <v>22</v>
      </c>
      <c r="B26" s="7" t="s">
        <v>23</v>
      </c>
      <c r="C26" s="23" t="n">
        <v>342.96</v>
      </c>
      <c r="D26" s="8" t="n">
        <v>14590</v>
      </c>
      <c r="E26" s="24" t="n">
        <f aca="false">C26*D26</f>
        <v>5003786.4</v>
      </c>
      <c r="F26" s="8" t="n">
        <v>84340</v>
      </c>
      <c r="G26" s="8" t="n">
        <v>146520</v>
      </c>
      <c r="H26" s="24" t="n">
        <f aca="false">E26+F26-G26</f>
        <v>4941606.4</v>
      </c>
      <c r="I26" s="25" t="n">
        <f aca="false">H26/C10</f>
        <v>10.5856784199477</v>
      </c>
      <c r="J26" s="25" t="n">
        <f aca="false">H26/H10</f>
        <v>29.4213288878304</v>
      </c>
      <c r="K26" s="25" t="n">
        <f aca="false">E26/J10</f>
        <v>38.8101016055224</v>
      </c>
      <c r="L26" s="10" t="n">
        <f aca="false">K10/E26</f>
        <v>0.0273153146585154</v>
      </c>
    </row>
    <row r="27" customFormat="false" ht="15" hidden="false" customHeight="false" outlineLevel="0" collapsed="false">
      <c r="A27" s="6" t="s">
        <v>24</v>
      </c>
      <c r="B27" s="7" t="s">
        <v>25</v>
      </c>
      <c r="C27" s="23" t="n">
        <v>130.55</v>
      </c>
      <c r="D27" s="8" t="n">
        <v>3030</v>
      </c>
      <c r="E27" s="24" t="n">
        <f aca="false">C27*D27</f>
        <v>395566.5</v>
      </c>
      <c r="F27" s="8" t="n">
        <v>169140</v>
      </c>
      <c r="G27" s="8" t="n">
        <v>37080</v>
      </c>
      <c r="H27" s="24" t="n">
        <f aca="false">E27+F27-G27</f>
        <v>527626.5</v>
      </c>
      <c r="I27" s="25" t="n">
        <f aca="false">H27/C11</f>
        <v>7.35060601838952</v>
      </c>
      <c r="J27" s="25" t="n">
        <f aca="false">H27/H11</f>
        <v>15.3246151611966</v>
      </c>
      <c r="K27" s="25" t="n">
        <f aca="false">E27/J11</f>
        <v>21.1081376734258</v>
      </c>
      <c r="L27" s="10" t="n">
        <f aca="false">K11/E27</f>
        <v>-0.0726047327061316</v>
      </c>
    </row>
    <row r="28" customFormat="false" ht="15" hidden="false" customHeight="false" outlineLevel="0" collapsed="false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3"/>
    </row>
    <row r="29" customFormat="false" ht="15" hidden="false" customHeight="false" outlineLevel="0" collapsed="false">
      <c r="A29" s="14" t="s">
        <v>26</v>
      </c>
      <c r="B29" s="15"/>
      <c r="C29" s="15"/>
      <c r="D29" s="15"/>
      <c r="E29" s="15"/>
      <c r="F29" s="15"/>
      <c r="G29" s="15"/>
      <c r="H29" s="15"/>
      <c r="I29" s="26" t="n">
        <f aca="false">MAX(I23:I27)</f>
        <v>10.5856784199477</v>
      </c>
      <c r="J29" s="26" t="n">
        <f aca="false">MAX(J23:J27)</f>
        <v>29.4213288878304</v>
      </c>
      <c r="K29" s="26" t="n">
        <f aca="false">MAX(K23:K27)</f>
        <v>38.8101016055224</v>
      </c>
      <c r="L29" s="17" t="n">
        <f aca="false">MAX(L23:L27)</f>
        <v>0.0273153146585154</v>
      </c>
    </row>
    <row r="30" customFormat="false" ht="15" hidden="false" customHeight="false" outlineLevel="0" collapsed="false">
      <c r="A30" s="14" t="s">
        <v>27</v>
      </c>
      <c r="B30" s="15"/>
      <c r="C30" s="15"/>
      <c r="D30" s="15"/>
      <c r="E30" s="15"/>
      <c r="F30" s="15"/>
      <c r="G30" s="15"/>
      <c r="H30" s="15"/>
      <c r="I30" s="26" t="n">
        <f aca="false">QUARTILE(I23:I27,3)</f>
        <v>9.26269361024514</v>
      </c>
      <c r="J30" s="26" t="n">
        <f aca="false">QUARTILE(J23:J27,3)</f>
        <v>23.8505266805267</v>
      </c>
      <c r="K30" s="26" t="n">
        <f aca="false">QUARTILE(K23:K27,3)</f>
        <v>27.6171365638767</v>
      </c>
      <c r="L30" s="17" t="n">
        <f aca="false">QUARTILE(L23:L27,3)</f>
        <v>0.0217894463151749</v>
      </c>
    </row>
    <row r="31" customFormat="false" ht="15" hidden="false" customHeight="false" outlineLevel="0" collapsed="false">
      <c r="A31" s="14" t="s">
        <v>28</v>
      </c>
      <c r="B31" s="15"/>
      <c r="C31" s="15"/>
      <c r="D31" s="15"/>
      <c r="E31" s="15"/>
      <c r="F31" s="15"/>
      <c r="G31" s="15"/>
      <c r="H31" s="15"/>
      <c r="I31" s="27" t="n">
        <f aca="false">MEDIAN(I23:I27)</f>
        <v>8.33641621029573</v>
      </c>
      <c r="J31" s="27" t="n">
        <f aca="false">MEDIAN(J23:J27)</f>
        <v>17.3516961517418</v>
      </c>
      <c r="K31" s="26" t="n">
        <f aca="false">MEDIAN(K23:K27)</f>
        <v>21.1081376734258</v>
      </c>
      <c r="L31" s="17" t="n">
        <f aca="false">MEDIAN(L23:L27)</f>
        <v>0.0125292910693321</v>
      </c>
    </row>
    <row r="32" customFormat="false" ht="15" hidden="false" customHeight="false" outlineLevel="0" collapsed="false">
      <c r="A32" s="14" t="s">
        <v>29</v>
      </c>
      <c r="B32" s="15"/>
      <c r="C32" s="15"/>
      <c r="D32" s="15"/>
      <c r="E32" s="15"/>
      <c r="F32" s="15"/>
      <c r="G32" s="15"/>
      <c r="H32" s="15"/>
      <c r="I32" s="26" t="n">
        <f aca="false">QUARTILE(I23:I27,1)</f>
        <v>7.35060601838952</v>
      </c>
      <c r="J32" s="26" t="n">
        <f aca="false">QUARTILE(J23:J27,1)</f>
        <v>16.99232253863</v>
      </c>
      <c r="K32" s="26" t="n">
        <f aca="false">QUARTILE(K23:K27,1)</f>
        <v>20.2655470136014</v>
      </c>
      <c r="L32" s="17" t="n">
        <f aca="false">QUARTILE(L23:L27,1)</f>
        <v>-0.0042421672740176</v>
      </c>
    </row>
    <row r="33" customFormat="false" ht="15" hidden="false" customHeight="false" outlineLevel="0" collapsed="false">
      <c r="A33" s="14" t="s">
        <v>30</v>
      </c>
      <c r="B33" s="15"/>
      <c r="C33" s="15"/>
      <c r="D33" s="15"/>
      <c r="E33" s="15"/>
      <c r="F33" s="15"/>
      <c r="G33" s="15"/>
      <c r="H33" s="15"/>
      <c r="I33" s="26" t="n">
        <f aca="false">MIN(I23:I27)</f>
        <v>3.70020266089109</v>
      </c>
      <c r="J33" s="26" t="n">
        <f aca="false">MIN(J23:J27)</f>
        <v>15.3246151611966</v>
      </c>
      <c r="K33" s="26" t="n">
        <f aca="false">MIN(K23:K27)</f>
        <v>17.4161772898574</v>
      </c>
      <c r="L33" s="17" t="n">
        <f aca="false">MIN(L23:L27)</f>
        <v>-0.0726047327061316</v>
      </c>
    </row>
    <row r="34" customFormat="false" ht="15" hidden="false" customHeight="false" outlineLevel="0" collapsed="false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3"/>
    </row>
    <row r="35" customFormat="false" ht="15" hidden="false" customHeight="false" outlineLevel="0" collapsed="false">
      <c r="A35" s="18" t="s">
        <v>31</v>
      </c>
      <c r="B35" s="19" t="s">
        <v>32</v>
      </c>
      <c r="C35" s="28" t="n">
        <v>533.69</v>
      </c>
      <c r="D35" s="20" t="n">
        <v>7430</v>
      </c>
      <c r="E35" s="29" t="n">
        <f aca="false">C35*D35</f>
        <v>3965316.7</v>
      </c>
      <c r="F35" s="20" t="n">
        <v>128810</v>
      </c>
      <c r="G35" s="20" t="n">
        <v>76843</v>
      </c>
      <c r="H35" s="29" t="n">
        <f aca="false">E35+F35-G35</f>
        <v>4017283.7</v>
      </c>
      <c r="I35" s="30" t="n">
        <f aca="false">H35/C19</f>
        <v>12.1061228487309</v>
      </c>
      <c r="J35" s="30" t="n">
        <f aca="false">H35/H19</f>
        <v>20.732120389532</v>
      </c>
      <c r="K35" s="30" t="n">
        <f aca="false">E35/J19</f>
        <v>29.6474493267239</v>
      </c>
      <c r="L35" s="22" t="n">
        <f aca="false">K19/E35</f>
        <v>0.0168932282256295</v>
      </c>
    </row>
    <row r="38" customFormat="false" ht="15" hidden="false" customHeight="false" outlineLevel="0" collapsed="false">
      <c r="A38" s="31" t="s">
        <v>44</v>
      </c>
    </row>
    <row r="39" customFormat="false" ht="15" hidden="false" customHeight="false" outlineLevel="0" collapsed="false">
      <c r="A39" s="32" t="s">
        <v>45</v>
      </c>
    </row>
    <row r="40" customFormat="false" ht="15" hidden="false" customHeight="false" outlineLevel="0" collapsed="false">
      <c r="A40" s="32" t="s">
        <v>46</v>
      </c>
    </row>
    <row r="41" customFormat="false" ht="15" hidden="false" customHeight="false" outlineLevel="0" collapsed="false">
      <c r="A41" s="32" t="s">
        <v>47</v>
      </c>
    </row>
    <row r="42" customFormat="false" ht="15" hidden="false" customHeight="false" outlineLevel="0" collapsed="false">
      <c r="A42" s="32" t="s">
        <v>48</v>
      </c>
    </row>
  </sheetData>
  <mergeCells count="2">
    <mergeCell ref="A5:L5"/>
    <mergeCell ref="A21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2026-10-15T02:11:48Z</dcterms:created>
  <dc:creator>openpyxl</dc:creator>
  <dc:description/>
  <dc:language>en-US</dc:language>
  <cp:lastModifiedBy/>
  <dcterms:modified xsi:type="dcterms:W3CDTF">2026-10-15T02:11:48Z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