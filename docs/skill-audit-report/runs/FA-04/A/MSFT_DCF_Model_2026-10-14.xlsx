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comments2.xml" ContentType="application/vnd.openxmlformats-officedocument.spreadsheetml.comments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CF" sheetId="1" state="visible" r:id="rId3"/>
    <sheet name="WACC" sheetId="2" state="visible" r:id="rId4"/>
    <sheet name="Beta" sheetId="3" state="visible" r:id="rId5"/>
    <sheet name="Scenarios" sheetId="4" state="visible" r:id="rId6"/>
    <sheet name="Comp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29" authorId="0">
      <text>
        <r>
          <rPr>
            <sz val="10"/>
            <rFont val="Arial"/>
            <family val="2"/>
          </rPr>
          <t xml:space="preserve">Sensitivity axis: pp shift applied to revenue growth in every projection year</t>
        </r>
      </text>
    </comment>
    <comment ref="B4" authorId="0">
      <text>
        <r>
          <rPr>
            <sz val="10"/>
            <rFont val="Arial"/>
            <family val="2"/>
          </rPr>
          <t xml:space="preserve">Input: 1 = Bear, 2 = Base, 3 = Bull</t>
        </r>
      </text>
    </comment>
    <comment ref="B8" authorId="0">
      <text>
        <r>
          <rPr>
            <sz val="10"/>
            <rFont val="Arial"/>
            <family val="2"/>
          </rPr>
          <t xml:space="preserve">Source: stockanalysis.com / Yahoo Finance, MSFT close 2026-10-14</t>
        </r>
      </text>
    </comment>
    <comment ref="B9" authorId="0">
      <text>
        <r>
          <rPr>
            <sz val="10"/>
            <rFont val="Arial"/>
            <family val="2"/>
          </rPr>
          <t xml:space="preserve">Source: Microsoft FY26 Q4 earnings release (8-K exhibit 99.1), 2026-07-29, financial statements, https://microsoft.gcs-web.com/node/35101/html: FY26 diluted weighted average shares 7,453M</t>
        </r>
      </text>
    </comment>
    <comment ref="B26" authorId="0">
      <text>
        <r>
          <rPr>
            <sz val="10"/>
            <rFont val="Arial"/>
            <family val="2"/>
          </rPr>
          <t xml:space="preserve">Assumption: scenario risk adjustment to CAPM WACC (Bear +0.5pp, Bull -0.5pp)</t>
        </r>
      </text>
    </comment>
    <comment ref="B27" authorId="0">
      <text>
        <r>
          <rPr>
            <sz val="10"/>
            <rFont val="Arial"/>
            <family val="2"/>
          </rPr>
          <t xml:space="preserve">Assumption: Bear 2.5% / Base 3.0% / Bull 3.5%; below 10Y UST (5.19%) and nominal GDP</t>
        </r>
      </text>
    </comment>
    <comment ref="B37" authorId="0">
      <text>
        <r>
          <rPr>
            <sz val="10"/>
            <rFont val="Arial"/>
            <family val="2"/>
          </rPr>
          <t xml:space="preserve">Assumption: scenario risk adjustment to CAPM WACC (Bear +0.5pp, Bull -0.5pp)</t>
        </r>
      </text>
    </comment>
    <comment ref="B38" authorId="0">
      <text>
        <r>
          <rPr>
            <sz val="10"/>
            <rFont val="Arial"/>
            <family val="2"/>
          </rPr>
          <t xml:space="preserve">Assumption: Bear 2.5% / Base 3.0% / Bull 3.5%; below 10Y UST (5.19%) and nominal GDP</t>
        </r>
      </text>
    </comment>
    <comment ref="B48" authorId="0">
      <text>
        <r>
          <rPr>
            <sz val="10"/>
            <rFont val="Arial"/>
            <family val="2"/>
          </rPr>
          <t xml:space="preserve">Assumption: scenario risk adjustment to CAPM WACC (Bear +0.5pp, Bull -0.5pp)</t>
        </r>
      </text>
    </comment>
    <comment ref="B49" authorId="0">
      <text>
        <r>
          <rPr>
            <sz val="10"/>
            <rFont val="Arial"/>
            <family val="2"/>
          </rPr>
          <t xml:space="preserve">Assumption: Bear 2.5% / Base 3.0% / Bull 3.5%; below 10Y UST (5.19%) and nominal GDP</t>
        </r>
      </text>
    </comment>
    <comment ref="B108" authorId="0">
      <text>
        <r>
          <rPr>
            <sz val="10"/>
            <rFont val="Arial"/>
            <family val="2"/>
          </rPr>
          <t xml:space="preserve">Source: Microsoft FY26 Q4 earnings release (8-K exhibit 99.1), 2026-07-29, financial statements, https://microsoft.gcs-web.com/node/35101/html: FY26 net income</t>
        </r>
      </text>
    </comment>
    <comment ref="B128" authorId="0">
      <text>
        <r>
          <rPr>
            <sz val="10"/>
            <rFont val="Arial"/>
            <family val="2"/>
          </rPr>
          <t xml:space="preserve">Sensitivity axis: pp shift applied to EBIT margin in every projection year</t>
        </r>
      </text>
    </comment>
    <comment ref="C64" authorId="0">
      <text>
        <r>
          <rPr>
            <sz val="10"/>
            <rFont val="Arial"/>
            <family val="2"/>
          </rPr>
          <t xml:space="preserve">Source: Microsoft FY2024 10-K (filed 2024-07-30); model knowledge, cross-checked to stockanalysis.com</t>
        </r>
      </text>
    </comment>
    <comment ref="C66" authorId="0">
      <text>
        <r>
          <rPr>
            <sz val="10"/>
            <rFont val="Arial"/>
            <family val="2"/>
          </rPr>
          <t xml:space="preserve">Source: Microsoft FY2024 10-K (filed 2024-07-30); model knowledge, cross-checked to stockanalysis.com</t>
        </r>
      </text>
    </comment>
    <comment ref="C70" authorId="0">
      <text>
        <r>
          <rPr>
            <sz val="10"/>
            <rFont val="Arial"/>
            <family val="2"/>
          </rPr>
          <t xml:space="preserve">Source: Microsoft FY2024 10-K (filed 2024-07-30); model knowledge, cross-checked to stockanalysis.com (D&amp;A = "depreciation, amortization, and other") ; FY24 D&amp;A 22,287 from model knowledge</t>
        </r>
      </text>
    </comment>
    <comment ref="C73" authorId="0">
      <text>
        <r>
          <rPr>
            <sz val="10"/>
            <rFont val="Arial"/>
            <family val="2"/>
          </rPr>
          <t xml:space="preserve">Source: Microsoft FY2024 10-K (filed 2024-07-30); model knowledge, cross-checked to stockanalysis.com</t>
        </r>
      </text>
    </comment>
    <comment ref="C77" authorId="0">
      <text>
        <r>
          <rPr>
            <sz val="10"/>
            <rFont val="Arial"/>
            <family val="2"/>
          </rPr>
          <t xml:space="preserve">Source: Microsoft FY2024 10-K (filed 2024-07-30); model knowledge, cross-checked to stockanalysis.com</t>
        </r>
      </text>
    </comment>
    <comment ref="D64" authorId="0">
      <text>
        <r>
          <rPr>
            <sz val="10"/>
            <rFont val="Arial"/>
            <family val="2"/>
          </rPr>
          <t xml:space="preserve">Source: Microsoft FY2025 10-K (filed 2025-07-30) / FY26 Q4 release comparatives</t>
        </r>
      </text>
    </comment>
    <comment ref="D66" authorId="0">
      <text>
        <r>
          <rPr>
            <sz val="10"/>
            <rFont val="Arial"/>
            <family val="2"/>
          </rPr>
          <t xml:space="preserve">Source: Microsoft FY2025 10-K (filed 2025-07-30) / FY26 Q4 release comparatives</t>
        </r>
      </text>
    </comment>
    <comment ref="D70" authorId="0">
      <text>
        <r>
          <rPr>
            <sz val="10"/>
            <rFont val="Arial"/>
            <family val="2"/>
          </rPr>
          <t xml:space="preserve">Source: Microsoft FY2025 10-K (filed 2025-07-30) / FY26 Q4 release comparatives (D&amp;A = "depreciation, amortization, and other")</t>
        </r>
      </text>
    </comment>
    <comment ref="D73" authorId="0">
      <text>
        <r>
          <rPr>
            <sz val="10"/>
            <rFont val="Arial"/>
            <family val="2"/>
          </rPr>
          <t xml:space="preserve">Source: Microsoft FY2025 10-K (filed 2025-07-30) / FY26 Q4 release comparatives</t>
        </r>
      </text>
    </comment>
    <comment ref="D77" authorId="0">
      <text>
        <r>
          <rPr>
            <sz val="10"/>
            <rFont val="Arial"/>
            <family val="2"/>
          </rPr>
          <t xml:space="preserve">Source: Microsoft FY2025 10-K (filed 2025-07-30) / FY26 Q4 release comparatives</t>
        </r>
      </text>
    </comment>
    <comment ref="E64" authorId="0">
      <text>
        <r>
          <rPr>
            <sz val="10"/>
            <rFont val="Arial"/>
            <family val="2"/>
          </rPr>
          <t xml:space="preserve">Source: Microsoft FY26 Q4 earnings release (8-K exhibit 99.1), 2026-07-29, financial statements, https://microsoft.gcs-web.com/node/35101/html</t>
        </r>
      </text>
    </comment>
    <comment ref="E66" authorId="0">
      <text>
        <r>
          <rPr>
            <sz val="10"/>
            <rFont val="Arial"/>
            <family val="2"/>
          </rPr>
          <t xml:space="preserve">Source: Microsoft FY26 Q4 earnings release (8-K exhibit 99.1), 2026-07-29, financial statements, https://microsoft.gcs-web.com/node/35101/html</t>
        </r>
      </text>
    </comment>
    <comment ref="E70" authorId="0">
      <text>
        <r>
          <rPr>
            <sz val="10"/>
            <rFont val="Arial"/>
            <family val="2"/>
          </rPr>
          <t xml:space="preserve">Source: Microsoft FY26 Q4 earnings release (8-K exhibit 99.1), 2026-07-29, financial statements, https://microsoft.gcs-web.com/node/35101/html (D&amp;A = "depreciation, amortization, and other")</t>
        </r>
      </text>
    </comment>
    <comment ref="E73" authorId="0">
      <text>
        <r>
          <rPr>
            <sz val="10"/>
            <rFont val="Arial"/>
            <family val="2"/>
          </rPr>
          <t xml:space="preserve">Source: Microsoft FY26 Q4 earnings release (8-K exhibit 99.1), 2026-07-29, financial statements, https://microsoft.gcs-web.com/node/35101/html</t>
        </r>
      </text>
    </comment>
    <comment ref="E77" authorId="0">
      <text>
        <r>
          <rPr>
            <sz val="10"/>
            <rFont val="Arial"/>
            <family val="2"/>
          </rPr>
          <t xml:space="preserve">Source: Microsoft FY26 Q4 earnings release (8-K exhibit 99.1), 2026-07-29, financial statements, https://microsoft.gcs-web.com/node/35101/html</t>
        </r>
      </text>
    </comment>
    <comment ref="F20" authorId="0">
      <text>
        <r>
          <rPr>
            <sz val="10"/>
            <rFont val="Arial"/>
            <family val="2"/>
          </rPr>
          <t xml:space="preserve">Bear: AI monetisation disappoints / Azure decelerates to high-single digits by FY30; margins compress on depreciation of AI capex; capex stays elevated longer.</t>
        </r>
      </text>
    </comment>
    <comment ref="F21" authorId="0">
      <text>
        <r>
          <rPr>
            <sz val="10"/>
            <rFont val="Arial"/>
            <family val="2"/>
          </rPr>
          <t xml:space="preserve">Bear: AI monetisation disappoints / Azure decelerates to high-single digits by FY30; margins compress on depreciation of AI capex; capex stays elevated longer.</t>
        </r>
      </text>
    </comment>
    <comment ref="F22" authorId="0">
      <text>
        <r>
          <rPr>
            <sz val="10"/>
            <rFont val="Arial"/>
            <family val="2"/>
          </rPr>
          <t xml:space="preserve">Bear: AI monetisation disappoints / Azure decelerates to high-single digits by FY30; margins compress on depreciation of AI capex; capex stays elevated longer.</t>
        </r>
      </text>
    </comment>
    <comment ref="F23" authorId="0">
      <text>
        <r>
          <rPr>
            <sz val="10"/>
            <rFont val="Arial"/>
            <family val="2"/>
          </rPr>
          <t xml:space="preserve">Bear: AI monetisation disappoints / Azure decelerates to high-single digits by FY30; margins compress on depreciation of AI capex; capex stays elevated longer.</t>
        </r>
      </text>
    </comment>
    <comment ref="F24" authorId="0">
      <text>
        <r>
          <rPr>
            <sz val="10"/>
            <rFont val="Arial"/>
            <family val="2"/>
          </rPr>
          <t xml:space="preserve">Assumption: MSFT working capital use ~10% of revenue growth in FY26 (-4,895 / +50,115); 8% assumed</t>
        </r>
      </text>
    </comment>
    <comment ref="F25" authorId="0">
      <text>
        <r>
          <rPr>
            <sz val="10"/>
            <rFont val="Arial"/>
            <family val="2"/>
          </rPr>
          <t xml:space="preserve">Assumption: 19% normalised tax rate (FY26 effective 19.4%)</t>
        </r>
      </text>
    </comment>
    <comment ref="F31" authorId="0">
      <text>
        <r>
          <rPr>
            <sz val="10"/>
            <rFont val="Arial"/>
            <family val="2"/>
          </rPr>
          <t xml:space="preserve">Base: FY27 growth ~16% (FY26 +17.8%, Azure &gt;35%), decelerating to 4.5% by FY36; EBIT margin ~46.5-48% (FY26 46.8%); capex/revenue normalises from 35% (FY26) to 13% as AI build-out matures; D&amp;A rises to 14% then fades.</t>
        </r>
      </text>
    </comment>
    <comment ref="F32" authorId="0">
      <text>
        <r>
          <rPr>
            <sz val="10"/>
            <rFont val="Arial"/>
            <family val="2"/>
          </rPr>
          <t xml:space="preserve">Base: FY27 growth ~16% (FY26 +17.8%, Azure &gt;35%), decelerating to 4.5% by FY36; EBIT margin ~46.5-48% (FY26 46.8%); capex/revenue normalises from 35% (FY26) to 13% as AI build-out matures; D&amp;A rises to 14% then fades.</t>
        </r>
      </text>
    </comment>
    <comment ref="F33" authorId="0">
      <text>
        <r>
          <rPr>
            <sz val="10"/>
            <rFont val="Arial"/>
            <family val="2"/>
          </rPr>
          <t xml:space="preserve">Base: FY27 growth ~16% (FY26 +17.8%, Azure &gt;35%), decelerating to 4.5% by FY36; EBIT margin ~46.5-48% (FY26 46.8%); capex/revenue normalises from 35% (FY26) to 13% as AI build-out matures; D&amp;A rises to 14% then fades.</t>
        </r>
      </text>
    </comment>
    <comment ref="F34" authorId="0">
      <text>
        <r>
          <rPr>
            <sz val="10"/>
            <rFont val="Arial"/>
            <family val="2"/>
          </rPr>
          <t xml:space="preserve">Base: FY27 growth ~16% (FY26 +17.8%, Azure &gt;35%), decelerating to 4.5% by FY36; EBIT margin ~46.5-48% (FY26 46.8%); capex/revenue normalises from 35% (FY26) to 13% as AI build-out matures; D&amp;A rises to 14% then fades.</t>
        </r>
      </text>
    </comment>
    <comment ref="F35" authorId="0">
      <text>
        <r>
          <rPr>
            <sz val="10"/>
            <rFont val="Arial"/>
            <family val="2"/>
          </rPr>
          <t xml:space="preserve">Assumption: MSFT working capital use ~10% of revenue growth in FY26 (-4,895 / +50,115); 8% assumed</t>
        </r>
      </text>
    </comment>
    <comment ref="F36" authorId="0">
      <text>
        <r>
          <rPr>
            <sz val="10"/>
            <rFont val="Arial"/>
            <family val="2"/>
          </rPr>
          <t xml:space="preserve">Assumption: 19% normalised tax rate (FY26 effective 19.4%)</t>
        </r>
      </text>
    </comment>
    <comment ref="F42" authorId="0">
      <text>
        <r>
          <rPr>
            <sz val="10"/>
            <rFont val="Arial"/>
            <family val="2"/>
          </rPr>
          <t xml:space="preserve">Bull: Copilot/Azure AI sustain high-teens growth through FY31; operating leverage lifts EBIT margin to 50%; capex intensity falls faster.</t>
        </r>
      </text>
    </comment>
    <comment ref="F43" authorId="0">
      <text>
        <r>
          <rPr>
            <sz val="10"/>
            <rFont val="Arial"/>
            <family val="2"/>
          </rPr>
          <t xml:space="preserve">Bull: Copilot/Azure AI sustain high-teens growth through FY31; operating leverage lifts EBIT margin to 50%; capex intensity falls faster.</t>
        </r>
      </text>
    </comment>
    <comment ref="F44" authorId="0">
      <text>
        <r>
          <rPr>
            <sz val="10"/>
            <rFont val="Arial"/>
            <family val="2"/>
          </rPr>
          <t xml:space="preserve">Bull: Copilot/Azure AI sustain high-teens growth through FY31; operating leverage lifts EBIT margin to 50%; capex intensity falls faster.</t>
        </r>
      </text>
    </comment>
    <comment ref="F45" authorId="0">
      <text>
        <r>
          <rPr>
            <sz val="10"/>
            <rFont val="Arial"/>
            <family val="2"/>
          </rPr>
          <t xml:space="preserve">Bull: Copilot/Azure AI sustain high-teens growth through FY31; operating leverage lifts EBIT margin to 50%; capex intensity falls faster.</t>
        </r>
      </text>
    </comment>
    <comment ref="F46" authorId="0">
      <text>
        <r>
          <rPr>
            <sz val="10"/>
            <rFont val="Arial"/>
            <family val="2"/>
          </rPr>
          <t xml:space="preserve">Assumption: MSFT working capital use ~10% of revenue growth in FY26 (-4,895 / +50,115); 8% assumed</t>
        </r>
      </text>
    </comment>
    <comment ref="F47" authorId="0">
      <text>
        <r>
          <rPr>
            <sz val="10"/>
            <rFont val="Arial"/>
            <family val="2"/>
          </rPr>
          <t xml:space="preserve">Assumption: 19% normalised tax rate (FY26 effective 19.4%)</t>
        </r>
      </text>
    </comment>
    <comment ref="F82" authorId="0">
      <text>
        <r>
          <rPr>
            <sz val="10"/>
            <rFont val="Arial"/>
            <family val="2"/>
          </rPr>
          <t xml:space="preserve">Assumption: mid-year convention from start of FY27 (2026-07-01); no stub adjustment for the 3.5 months elapsed to the valuation date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Source: U.S. Treasury Daily Par Yield Curve, 10 Yr = 5.19% on 2026-10-14, https://home.treasury.gov/resource-center/data-chart-center/interest-rates/TextView?type=daily_treasury_yield_curve&amp;field_tdr_date_value_month=202610 (matches ycharts)</t>
        </r>
      </text>
    </comment>
    <comment ref="B5" authorId="0">
      <text>
        <r>
          <rPr>
            <sz val="10"/>
            <rFont val="Arial"/>
            <family val="2"/>
          </rPr>
          <t xml:space="preserve">Date of 10Y yield observation</t>
        </r>
      </text>
    </comment>
    <comment ref="B8" authorId="0">
      <text>
        <r>
          <rPr>
            <sz val="10"/>
            <rFont val="Arial"/>
            <family val="2"/>
          </rPr>
          <t xml:space="preserve">Assumption: 5.0% mature-market ERP (mid-point of 4.5-5.5% practitioner range; Damodaran implied ERP ~4.3-4.6% in 2025-26). Not verified for Oct-2026.</t>
        </r>
      </text>
    </comment>
    <comment ref="B12" authorId="0">
      <text>
        <r>
          <rPr>
            <sz val="10"/>
            <rFont val="Arial"/>
            <family val="2"/>
          </rPr>
          <t xml:space="preserve">Source: model knowledge - MSFT rated AAA (S&amp;P) / Aaa (Moody's)</t>
        </r>
      </text>
    </comment>
    <comment ref="B13" authorId="0">
      <text>
        <r>
          <rPr>
            <sz val="10"/>
            <rFont val="Arial"/>
            <family val="2"/>
          </rPr>
          <t xml:space="preserve">Assumption: ~40bp long-dated AAA industrial spread; MSFT bonds not quoted directly</t>
        </r>
      </text>
    </comment>
    <comment ref="B15" authorId="0">
      <text>
        <r>
          <rPr>
            <sz val="10"/>
            <rFont val="Arial"/>
            <family val="2"/>
          </rPr>
          <t xml:space="preserve">Assumption: FY26 effective rate 19.4% (32,185 / 165,934, FY26 Q4 release); 19.0% normalised</t>
        </r>
      </text>
    </comment>
    <comment ref="B22" authorId="0">
      <text>
        <r>
          <rPr>
            <sz val="10"/>
            <rFont val="Arial"/>
            <family val="2"/>
          </rPr>
          <t xml:space="preserve">Source: stockanalysis.com MSFT statistics (total debt 128.81bn incl. finance &amp; operating lease liabilities, as of 2026-06-30), accessed 2026-10-14</t>
        </r>
      </text>
    </comment>
    <comment ref="B23" authorId="0">
      <text>
        <r>
          <rPr>
            <sz val="10"/>
            <rFont val="Arial"/>
            <family val="2"/>
          </rPr>
          <t xml:space="preserve">Source: Microsoft FY26 Q4 earnings release (8-K exhibit 99.1), 2026-07-29, financial statements, https://microsoft.gcs-web.com/node/35101/html: current portion of LTD 9,227 + long-term debt 31,067</t>
        </r>
      </text>
    </comment>
    <comment ref="B25" authorId="0">
      <text>
        <r>
          <rPr>
            <sz val="10"/>
            <rFont val="Arial"/>
            <family val="2"/>
          </rPr>
          <t xml:space="preserve">Source: Microsoft FY26 Q4 earnings release (8-K exhibit 99.1), 2026-07-29, financial statements, https://microsoft.gcs-web.com/node/35101/html: cash 20,935 + short-term investments 55,908 at 2026-06-30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Source: Yahoo Finance MSFT monthly history (adjusted close), accessed 2026-10-14</t>
        </r>
      </text>
    </comment>
    <comment ref="C5" authorId="0">
      <text>
        <r>
          <rPr>
            <sz val="10"/>
            <rFont val="Arial"/>
            <family val="2"/>
          </rPr>
          <t xml:space="preserve">Source: Yahoo Finance ^GSPC monthly history (price index), accessed 2026-10-14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7" authorId="0">
      <text>
        <r>
          <rPr>
            <sz val="10"/>
            <rFont val="Arial"/>
            <family val="2"/>
          </rPr>
          <t xml:space="preserve">Source: stockanalysis.com /stocks/googl/statistics/, accessed 2026-10-14; close 2026-10-14; LTM through latest reported quarter</t>
        </r>
      </text>
    </comment>
    <comment ref="C8" authorId="0">
      <text>
        <r>
          <rPr>
            <sz val="10"/>
            <rFont val="Arial"/>
            <family val="2"/>
          </rPr>
          <t xml:space="preserve">Source: stockanalysis.com /stocks/amzn/statistics/, accessed 2026-10-14; close 2026-10-14; LTM through latest reported quarter</t>
        </r>
      </text>
    </comment>
    <comment ref="C9" authorId="0">
      <text>
        <r>
          <rPr>
            <sz val="10"/>
            <rFont val="Arial"/>
            <family val="2"/>
          </rPr>
          <t xml:space="preserve">Source: stockanalysis.com /stocks/meta/statistics/, accessed 2026-10-14; close 2026-10-14; LTM through latest reported quarter</t>
        </r>
      </text>
    </comment>
    <comment ref="C10" authorId="0">
      <text>
        <r>
          <rPr>
            <sz val="10"/>
            <rFont val="Arial"/>
            <family val="2"/>
          </rPr>
          <t xml:space="preserve">Source: stockanalysis.com /stocks/aapl/statistics/, accessed 2026-10-14; close 2026-10-14; LTM through latest reported quarter</t>
        </r>
      </text>
    </comment>
    <comment ref="C11" authorId="0">
      <text>
        <r>
          <rPr>
            <sz val="10"/>
            <rFont val="Arial"/>
            <family val="2"/>
          </rPr>
          <t xml:space="preserve">Source: stockanalysis.com /stocks/orcl/statistics/, accessed 2026-10-14; close 2026-10-14; LTM through latest reported quarter</t>
        </r>
      </text>
    </comment>
    <comment ref="C19" authorId="0">
      <text>
        <r>
          <rPr>
            <sz val="10"/>
            <rFont val="Arial"/>
            <family val="2"/>
          </rPr>
          <t xml:space="preserve">Source: Microsoft FY26 Q4 earnings release (8-K exhibit 99.1), 2026-07-29, financial statements, https://microsoft.gcs-web.com/node/35101/html (EBITDA = operating income 155,237 + D&amp;A 38,534)</t>
        </r>
      </text>
    </comment>
    <comment ref="C23" authorId="0">
      <text>
        <r>
          <rPr>
            <sz val="10"/>
            <rFont val="Arial"/>
            <family val="2"/>
          </rPr>
          <t xml:space="preserve">Source: stockanalysis.com /stocks/googl/statistics/, accessed 2026-10-14; close 2026-10-14; LTM through latest reported quarter</t>
        </r>
      </text>
    </comment>
    <comment ref="C24" authorId="0">
      <text>
        <r>
          <rPr>
            <sz val="10"/>
            <rFont val="Arial"/>
            <family val="2"/>
          </rPr>
          <t xml:space="preserve">Source: stockanalysis.com /stocks/amzn/statistics/, accessed 2026-10-14; close 2026-10-14; LTM through latest reported quarter</t>
        </r>
      </text>
    </comment>
    <comment ref="C25" authorId="0">
      <text>
        <r>
          <rPr>
            <sz val="10"/>
            <rFont val="Arial"/>
            <family val="2"/>
          </rPr>
          <t xml:space="preserve">Source: stockanalysis.com /stocks/meta/statistics/, accessed 2026-10-14; close 2026-10-14; LTM through latest reported quarter</t>
        </r>
      </text>
    </comment>
    <comment ref="C26" authorId="0">
      <text>
        <r>
          <rPr>
            <sz val="10"/>
            <rFont val="Arial"/>
            <family val="2"/>
          </rPr>
          <t xml:space="preserve">Source: stockanalysis.com /stocks/aapl/statistics/, accessed 2026-10-14; close 2026-10-14; LTM through latest reported quarter</t>
        </r>
      </text>
    </comment>
    <comment ref="C27" authorId="0">
      <text>
        <r>
          <rPr>
            <sz val="10"/>
            <rFont val="Arial"/>
            <family val="2"/>
          </rPr>
          <t xml:space="preserve">Source: stockanalysis.com /stocks/orcl/statistics/, accessed 2026-10-14; close 2026-10-14; LTM through latest reported quarter</t>
        </r>
      </text>
    </comment>
    <comment ref="C35" authorId="0">
      <text>
        <r>
          <rPr>
            <sz val="10"/>
            <rFont val="Arial"/>
            <family val="2"/>
          </rPr>
          <t xml:space="preserve">Source: stockanalysis.com /stocks/msft/statistics/ (price close 2026-10-14, 7.43bn shares, total debt incl. leases 128.81bn); cash+STI from FY26 Q4 release (20,935 + 55,908)</t>
        </r>
      </text>
    </comment>
    <comment ref="D7" authorId="0">
      <text>
        <r>
          <rPr>
            <sz val="10"/>
            <rFont val="Arial"/>
            <family val="2"/>
          </rPr>
          <t xml:space="preserve">Source: stockanalysis.com /stocks/googl/statistics/, accessed 2026-10-14; close 2026-10-14; LTM through latest reported quarter</t>
        </r>
      </text>
    </comment>
    <comment ref="D8" authorId="0">
      <text>
        <r>
          <rPr>
            <sz val="10"/>
            <rFont val="Arial"/>
            <family val="2"/>
          </rPr>
          <t xml:space="preserve">Source: stockanalysis.com /stocks/amzn/statistics/, accessed 2026-10-14; close 2026-10-14; LTM through latest reported quarter</t>
        </r>
      </text>
    </comment>
    <comment ref="D9" authorId="0">
      <text>
        <r>
          <rPr>
            <sz val="10"/>
            <rFont val="Arial"/>
            <family val="2"/>
          </rPr>
          <t xml:space="preserve">Source: stockanalysis.com /stocks/meta/statistics/, accessed 2026-10-14; close 2026-10-14; LTM through latest reported quarter</t>
        </r>
      </text>
    </comment>
    <comment ref="D10" authorId="0">
      <text>
        <r>
          <rPr>
            <sz val="10"/>
            <rFont val="Arial"/>
            <family val="2"/>
          </rPr>
          <t xml:space="preserve">Source: stockanalysis.com /stocks/aapl/statistics/, accessed 2026-10-14; close 2026-10-14; LTM through latest reported quarter</t>
        </r>
      </text>
    </comment>
    <comment ref="D11" authorId="0">
      <text>
        <r>
          <rPr>
            <sz val="10"/>
            <rFont val="Arial"/>
            <family val="2"/>
          </rPr>
          <t xml:space="preserve">Source: stockanalysis.com /stocks/orcl/statistics/, accessed 2026-10-14; close 2026-10-14; LTM through latest reported quarter</t>
        </r>
      </text>
    </comment>
    <comment ref="D19" authorId="0">
      <text>
        <r>
          <rPr>
            <sz val="10"/>
            <rFont val="Arial"/>
            <family val="2"/>
          </rPr>
          <t xml:space="preserve">Source: Microsoft FY26 Q4 earnings release (8-K exhibit 99.1), 2026-07-29, financial statements, https://microsoft.gcs-web.com/node/35101/html (EBITDA = operating income 155,237 + D&amp;A 38,534)</t>
        </r>
      </text>
    </comment>
    <comment ref="D23" authorId="0">
      <text>
        <r>
          <rPr>
            <sz val="10"/>
            <rFont val="Arial"/>
            <family val="2"/>
          </rPr>
          <t xml:space="preserve">Source: stockanalysis.com /stocks/googl/statistics/, accessed 2026-10-14; close 2026-10-14; LTM through latest reported quarter</t>
        </r>
      </text>
    </comment>
    <comment ref="D24" authorId="0">
      <text>
        <r>
          <rPr>
            <sz val="10"/>
            <rFont val="Arial"/>
            <family val="2"/>
          </rPr>
          <t xml:space="preserve">Source: stockanalysis.com /stocks/amzn/statistics/, accessed 2026-10-14; close 2026-10-14; LTM through latest reported quarter</t>
        </r>
      </text>
    </comment>
    <comment ref="D25" authorId="0">
      <text>
        <r>
          <rPr>
            <sz val="10"/>
            <rFont val="Arial"/>
            <family val="2"/>
          </rPr>
          <t xml:space="preserve">Source: stockanalysis.com /stocks/meta/statistics/, accessed 2026-10-14; close 2026-10-14; LTM through latest reported quarter</t>
        </r>
      </text>
    </comment>
    <comment ref="D26" authorId="0">
      <text>
        <r>
          <rPr>
            <sz val="10"/>
            <rFont val="Arial"/>
            <family val="2"/>
          </rPr>
          <t xml:space="preserve">Source: stockanalysis.com /stocks/aapl/statistics/, accessed 2026-10-14; close 2026-10-14; LTM through latest reported quarter</t>
        </r>
      </text>
    </comment>
    <comment ref="D27" authorId="0">
      <text>
        <r>
          <rPr>
            <sz val="10"/>
            <rFont val="Arial"/>
            <family val="2"/>
          </rPr>
          <t xml:space="preserve">Source: stockanalysis.com /stocks/orcl/statistics/, accessed 2026-10-14; close 2026-10-14; LTM through latest reported quarter</t>
        </r>
      </text>
    </comment>
    <comment ref="D35" authorId="0">
      <text>
        <r>
          <rPr>
            <sz val="10"/>
            <rFont val="Arial"/>
            <family val="2"/>
          </rPr>
          <t xml:space="preserve">Source: stockanalysis.com /stocks/msft/statistics/ (price close 2026-10-14, 7.43bn shares, total debt incl. leases 128.81bn); cash+STI from FY26 Q4 release (20,935 + 55,908)</t>
        </r>
      </text>
    </comment>
    <comment ref="F7" authorId="0">
      <text>
        <r>
          <rPr>
            <sz val="10"/>
            <rFont val="Arial"/>
            <family val="2"/>
          </rPr>
          <t xml:space="preserve">Source: stockanalysis.com /stocks/googl/statistics/, accessed 2026-10-14; close 2026-10-14; LTM through latest reported quarter</t>
        </r>
      </text>
    </comment>
    <comment ref="F8" authorId="0">
      <text>
        <r>
          <rPr>
            <sz val="10"/>
            <rFont val="Arial"/>
            <family val="2"/>
          </rPr>
          <t xml:space="preserve">Source: stockanalysis.com /stocks/amzn/statistics/, accessed 2026-10-14; close 2026-10-14; LTM through latest reported quarter</t>
        </r>
      </text>
    </comment>
    <comment ref="F9" authorId="0">
      <text>
        <r>
          <rPr>
            <sz val="10"/>
            <rFont val="Arial"/>
            <family val="2"/>
          </rPr>
          <t xml:space="preserve">Source: stockanalysis.com /stocks/meta/statistics/, accessed 2026-10-14; close 2026-10-14; LTM through latest reported quarter</t>
        </r>
      </text>
    </comment>
    <comment ref="F10" authorId="0">
      <text>
        <r>
          <rPr>
            <sz val="10"/>
            <rFont val="Arial"/>
            <family val="2"/>
          </rPr>
          <t xml:space="preserve">Source: stockanalysis.com /stocks/aapl/statistics/, accessed 2026-10-14; close 2026-10-14; LTM through latest reported quarter</t>
        </r>
      </text>
    </comment>
    <comment ref="F11" authorId="0">
      <text>
        <r>
          <rPr>
            <sz val="10"/>
            <rFont val="Arial"/>
            <family val="2"/>
          </rPr>
          <t xml:space="preserve">Source: stockanalysis.com /stocks/orcl/statistics/, accessed 2026-10-14; close 2026-10-14; LTM through latest reported quarter</t>
        </r>
      </text>
    </comment>
    <comment ref="F19" authorId="0">
      <text>
        <r>
          <rPr>
            <sz val="10"/>
            <rFont val="Arial"/>
            <family val="2"/>
          </rPr>
          <t xml:space="preserve">Source: Microsoft FY26 Q4 earnings release (8-K exhibit 99.1), 2026-07-29, financial statements, https://microsoft.gcs-web.com/node/35101/html (EBITDA = operating income 155,237 + D&amp;A 38,534)</t>
        </r>
      </text>
    </comment>
    <comment ref="F23" authorId="0">
      <text>
        <r>
          <rPr>
            <sz val="10"/>
            <rFont val="Arial"/>
            <family val="2"/>
          </rPr>
          <t xml:space="preserve">Source: stockanalysis.com /stocks/googl/statistics/, accessed 2026-10-14; close 2026-10-14; LTM through latest reported quarter; total debt incl. lease liabilities</t>
        </r>
      </text>
    </comment>
    <comment ref="F24" authorId="0">
      <text>
        <r>
          <rPr>
            <sz val="10"/>
            <rFont val="Arial"/>
            <family val="2"/>
          </rPr>
          <t xml:space="preserve">Source: stockanalysis.com /stocks/amzn/statistics/, accessed 2026-10-14; close 2026-10-14; LTM through latest reported quarter; total debt incl. lease liabilities</t>
        </r>
      </text>
    </comment>
    <comment ref="F25" authorId="0">
      <text>
        <r>
          <rPr>
            <sz val="10"/>
            <rFont val="Arial"/>
            <family val="2"/>
          </rPr>
          <t xml:space="preserve">Source: stockanalysis.com /stocks/meta/statistics/, accessed 2026-10-14; close 2026-10-14; LTM through latest reported quarter; total debt incl. lease liabilities</t>
        </r>
      </text>
    </comment>
    <comment ref="F26" authorId="0">
      <text>
        <r>
          <rPr>
            <sz val="10"/>
            <rFont val="Arial"/>
            <family val="2"/>
          </rPr>
          <t xml:space="preserve">Source: stockanalysis.com /stocks/aapl/statistics/, accessed 2026-10-14; close 2026-10-14; LTM through latest reported quarter; total debt incl. lease liabilities</t>
        </r>
      </text>
    </comment>
    <comment ref="F27" authorId="0">
      <text>
        <r>
          <rPr>
            <sz val="10"/>
            <rFont val="Arial"/>
            <family val="2"/>
          </rPr>
          <t xml:space="preserve">Source: stockanalysis.com /stocks/orcl/statistics/, accessed 2026-10-14; close 2026-10-14; LTM through latest reported quarter; total debt incl. lease liabilities</t>
        </r>
      </text>
    </comment>
    <comment ref="F35" authorId="0">
      <text>
        <r>
          <rPr>
            <sz val="10"/>
            <rFont val="Arial"/>
            <family val="2"/>
          </rPr>
          <t xml:space="preserve">Source: stockanalysis.com /stocks/msft/statistics/ (price close 2026-10-14, 7.43bn shares, total debt incl. leases 128.81bn); cash+STI from FY26 Q4 release (20,935 + 55,908); total debt incl. lease liabilities</t>
        </r>
      </text>
    </comment>
    <comment ref="G23" authorId="0">
      <text>
        <r>
          <rPr>
            <sz val="10"/>
            <rFont val="Arial"/>
            <family val="2"/>
          </rPr>
          <t xml:space="preserve">Source: stockanalysis.com /stocks/googl/statistics/, accessed 2026-10-14; close 2026-10-14; LTM through latest reported quarter</t>
        </r>
      </text>
    </comment>
    <comment ref="G24" authorId="0">
      <text>
        <r>
          <rPr>
            <sz val="10"/>
            <rFont val="Arial"/>
            <family val="2"/>
          </rPr>
          <t xml:space="preserve">Source: stockanalysis.com /stocks/amzn/statistics/, accessed 2026-10-14; close 2026-10-14; LTM through latest reported quarter</t>
        </r>
      </text>
    </comment>
    <comment ref="G25" authorId="0">
      <text>
        <r>
          <rPr>
            <sz val="10"/>
            <rFont val="Arial"/>
            <family val="2"/>
          </rPr>
          <t xml:space="preserve">Source: stockanalysis.com /stocks/meta/statistics/, accessed 2026-10-14; close 2026-10-14; LTM through latest reported quarter</t>
        </r>
      </text>
    </comment>
    <comment ref="G26" authorId="0">
      <text>
        <r>
          <rPr>
            <sz val="10"/>
            <rFont val="Arial"/>
            <family val="2"/>
          </rPr>
          <t xml:space="preserve">Source: stockanalysis.com /stocks/aapl/statistics/, accessed 2026-10-14; close 2026-10-14; LTM through latest reported quarter</t>
        </r>
      </text>
    </comment>
    <comment ref="G27" authorId="0">
      <text>
        <r>
          <rPr>
            <sz val="10"/>
            <rFont val="Arial"/>
            <family val="2"/>
          </rPr>
          <t xml:space="preserve">Source: stockanalysis.com /stocks/orcl/statistics/, accessed 2026-10-14; close 2026-10-14; LTM through latest reported quarter</t>
        </r>
      </text>
    </comment>
    <comment ref="G35" authorId="0">
      <text>
        <r>
          <rPr>
            <sz val="10"/>
            <rFont val="Arial"/>
            <family val="2"/>
          </rPr>
          <t xml:space="preserve">Source: stockanalysis.com /stocks/msft/statistics/ (price close 2026-10-14, 7.43bn shares, total debt incl. leases 128.81bn); cash+STI from FY26 Q4 release (20,935 + 55,908)</t>
        </r>
      </text>
    </comment>
    <comment ref="H7" authorId="0">
      <text>
        <r>
          <rPr>
            <sz val="10"/>
            <rFont val="Arial"/>
            <family val="2"/>
          </rPr>
          <t xml:space="preserve">Source: stockanalysis.com /stocks/googl/statistics/, accessed 2026-10-14; close 2026-10-14; LTM through latest reported quarter</t>
        </r>
      </text>
    </comment>
    <comment ref="H8" authorId="0">
      <text>
        <r>
          <rPr>
            <sz val="10"/>
            <rFont val="Arial"/>
            <family val="2"/>
          </rPr>
          <t xml:space="preserve">Source: stockanalysis.com /stocks/amzn/statistics/, accessed 2026-10-14; close 2026-10-14; LTM through latest reported quarter</t>
        </r>
      </text>
    </comment>
    <comment ref="H9" authorId="0">
      <text>
        <r>
          <rPr>
            <sz val="10"/>
            <rFont val="Arial"/>
            <family val="2"/>
          </rPr>
          <t xml:space="preserve">Source: stockanalysis.com /stocks/meta/statistics/, accessed 2026-10-14; close 2026-10-14; LTM through latest reported quarter</t>
        </r>
      </text>
    </comment>
    <comment ref="H10" authorId="0">
      <text>
        <r>
          <rPr>
            <sz val="10"/>
            <rFont val="Arial"/>
            <family val="2"/>
          </rPr>
          <t xml:space="preserve">Source: stockanalysis.com /stocks/aapl/statistics/, accessed 2026-10-14; close 2026-10-14; LTM through latest reported quarter</t>
        </r>
      </text>
    </comment>
    <comment ref="H11" authorId="0">
      <text>
        <r>
          <rPr>
            <sz val="10"/>
            <rFont val="Arial"/>
            <family val="2"/>
          </rPr>
          <t xml:space="preserve">Source: stockanalysis.com /stocks/orcl/statistics/, accessed 2026-10-14; close 2026-10-14; LTM through latest reported quarter</t>
        </r>
      </text>
    </comment>
    <comment ref="H19" authorId="0">
      <text>
        <r>
          <rPr>
            <sz val="10"/>
            <rFont val="Arial"/>
            <family val="2"/>
          </rPr>
          <t xml:space="preserve">Source: Microsoft FY26 Q4 earnings release (8-K exhibit 99.1), 2026-07-29, financial statements, https://microsoft.gcs-web.com/node/35101/html (EBITDA = operating income 155,237 + D&amp;A 38,534)</t>
        </r>
      </text>
    </comment>
    <comment ref="J7" authorId="0">
      <text>
        <r>
          <rPr>
            <sz val="10"/>
            <rFont val="Arial"/>
            <family val="2"/>
          </rPr>
          <t xml:space="preserve">Source: stockanalysis.com /stocks/googl/statistics/, accessed 2026-10-14; close 2026-10-14; LTM through latest reported quarter</t>
        </r>
      </text>
    </comment>
    <comment ref="J8" authorId="0">
      <text>
        <r>
          <rPr>
            <sz val="10"/>
            <rFont val="Arial"/>
            <family val="2"/>
          </rPr>
          <t xml:space="preserve">Source: stockanalysis.com /stocks/amzn/statistics/, accessed 2026-10-14; close 2026-10-14; LTM through latest reported quarter</t>
        </r>
      </text>
    </comment>
    <comment ref="J9" authorId="0">
      <text>
        <r>
          <rPr>
            <sz val="10"/>
            <rFont val="Arial"/>
            <family val="2"/>
          </rPr>
          <t xml:space="preserve">Source: stockanalysis.com /stocks/meta/statistics/, accessed 2026-10-14; close 2026-10-14; LTM through latest reported quarter</t>
        </r>
      </text>
    </comment>
    <comment ref="J10" authorId="0">
      <text>
        <r>
          <rPr>
            <sz val="10"/>
            <rFont val="Arial"/>
            <family val="2"/>
          </rPr>
          <t xml:space="preserve">Source: stockanalysis.com /stocks/aapl/statistics/, accessed 2026-10-14; close 2026-10-14; LTM through latest reported quarter</t>
        </r>
      </text>
    </comment>
    <comment ref="J11" authorId="0">
      <text>
        <r>
          <rPr>
            <sz val="10"/>
            <rFont val="Arial"/>
            <family val="2"/>
          </rPr>
          <t xml:space="preserve">Source: stockanalysis.com /stocks/orcl/statistics/, accessed 2026-10-14; close 2026-10-14; LTM through latest reported quarter</t>
        </r>
      </text>
    </comment>
    <comment ref="J19" authorId="0">
      <text>
        <r>
          <rPr>
            <sz val="10"/>
            <rFont val="Arial"/>
            <family val="2"/>
          </rPr>
          <t xml:space="preserve">Source: Microsoft FY26 Q4 earnings release (8-K exhibit 99.1), 2026-07-29, financial statements, https://microsoft.gcs-web.com/node/35101/html (EBITDA = operating income 155,237 + D&amp;A 38,534)</t>
        </r>
      </text>
    </comment>
    <comment ref="K7" authorId="0">
      <text>
        <r>
          <rPr>
            <sz val="10"/>
            <rFont val="Arial"/>
            <family val="2"/>
          </rPr>
          <t xml:space="preserve">Source: stockanalysis.com /stocks/googl/statistics/, accessed 2026-10-14; close 2026-10-14; LTM through latest reported quarter</t>
        </r>
      </text>
    </comment>
    <comment ref="K8" authorId="0">
      <text>
        <r>
          <rPr>
            <sz val="10"/>
            <rFont val="Arial"/>
            <family val="2"/>
          </rPr>
          <t xml:space="preserve">Source: stockanalysis.com /stocks/amzn/statistics/, accessed 2026-10-14; close 2026-10-14; LTM through latest reported quarter</t>
        </r>
      </text>
    </comment>
    <comment ref="K9" authorId="0">
      <text>
        <r>
          <rPr>
            <sz val="10"/>
            <rFont val="Arial"/>
            <family val="2"/>
          </rPr>
          <t xml:space="preserve">Source: stockanalysis.com /stocks/meta/statistics/, accessed 2026-10-14; close 2026-10-14; LTM through latest reported quarter</t>
        </r>
      </text>
    </comment>
    <comment ref="K10" authorId="0">
      <text>
        <r>
          <rPr>
            <sz val="10"/>
            <rFont val="Arial"/>
            <family val="2"/>
          </rPr>
          <t xml:space="preserve">Source: stockanalysis.com /stocks/aapl/statistics/, accessed 2026-10-14; close 2026-10-14; LTM through latest reported quarter</t>
        </r>
      </text>
    </comment>
    <comment ref="K11" authorId="0">
      <text>
        <r>
          <rPr>
            <sz val="10"/>
            <rFont val="Arial"/>
            <family val="2"/>
          </rPr>
          <t xml:space="preserve">Source: stockanalysis.com /stocks/orcl/statistics/, accessed 2026-10-14; close 2026-10-14; LTM through latest reported quarter</t>
        </r>
      </text>
    </comment>
    <comment ref="K19" authorId="0">
      <text>
        <r>
          <rPr>
            <sz val="10"/>
            <rFont val="Arial"/>
            <family val="2"/>
          </rPr>
          <t xml:space="preserve">Source: Microsoft FY26 Q4 earnings release (8-K exhibit 99.1), 2026-07-29, financial statements, https://microsoft.gcs-web.com/node/35101/html (EBITDA = operating income 155,237 + D&amp;A 38,534)</t>
        </r>
      </text>
    </comment>
  </commentList>
</comments>
</file>

<file path=xl/sharedStrings.xml><?xml version="1.0" encoding="utf-8"?>
<sst xmlns="http://schemas.openxmlformats.org/spreadsheetml/2006/main" count="459" uniqueCount="273">
  <si>
    <t xml:space="preserve">MICROSOFT CORPORATION (MSFT) - DCF MODEL</t>
  </si>
  <si>
    <t xml:space="preserve">Ticker: MSFT | Valuation date: 2026-10-14 | Fiscal year end: June 30 | USD millions except per share</t>
  </si>
  <si>
    <t xml:space="preserve">Case selector (1=Bear, 2=Base, 3=Bull)</t>
  </si>
  <si>
    <t xml:space="preserve">Active case</t>
  </si>
  <si>
    <t xml:space="preserve">MARKET DATA &amp; CAPITAL STRUCTURE</t>
  </si>
  <si>
    <t xml:space="preserve">Current share price ($)</t>
  </si>
  <si>
    <t xml:space="preserve">Diluted shares (M)</t>
  </si>
  <si>
    <t xml:space="preserve">Market cap</t>
  </si>
  <si>
    <t xml:space="preserve">Cash + short-term investments</t>
  </si>
  <si>
    <t xml:space="preserve">Total debt incl. leases</t>
  </si>
  <si>
    <t xml:space="preserve">Net debt / (net cash)</t>
  </si>
  <si>
    <t xml:space="preserve">WACC (active case)</t>
  </si>
  <si>
    <t xml:space="preserve">Terminal growth (active case)</t>
  </si>
  <si>
    <t xml:space="preserve">BEAR CASE ASSUMPTIONS</t>
  </si>
  <si>
    <t xml:space="preserve">Assumption</t>
  </si>
  <si>
    <t xml:space="preserve">FY2027E</t>
  </si>
  <si>
    <t xml:space="preserve">FY2028E</t>
  </si>
  <si>
    <t xml:space="preserve">FY2029E</t>
  </si>
  <si>
    <t xml:space="preserve">FY2030E</t>
  </si>
  <si>
    <t xml:space="preserve">FY2031E</t>
  </si>
  <si>
    <t xml:space="preserve">FY2032E</t>
  </si>
  <si>
    <t xml:space="preserve">FY2033E</t>
  </si>
  <si>
    <t xml:space="preserve">FY2034E</t>
  </si>
  <si>
    <t xml:space="preserve">FY2035E</t>
  </si>
  <si>
    <t xml:space="preserve">FY2036E</t>
  </si>
  <si>
    <t xml:space="preserve">Revenue growth</t>
  </si>
  <si>
    <t xml:space="preserve">EBIT margin</t>
  </si>
  <si>
    <t xml:space="preserve">D&amp;A % of revenue</t>
  </si>
  <si>
    <t xml:space="preserve">CapEx % of revenue</t>
  </si>
  <si>
    <t xml:space="preserve">Change in NWC % of change in revenue</t>
  </si>
  <si>
    <t xml:space="preserve">Tax rate</t>
  </si>
  <si>
    <t xml:space="preserve">WACC adjustment vs. CAPM WACC</t>
  </si>
  <si>
    <t xml:space="preserve">Terminal growth rate</t>
  </si>
  <si>
    <t xml:space="preserve">BASE CASE ASSUMPTIONS</t>
  </si>
  <si>
    <t xml:space="preserve">BULL CASE ASSUMPTIONS</t>
  </si>
  <si>
    <t xml:space="preserve">SELECTED CASE (consolidation - drives projections)</t>
  </si>
  <si>
    <t xml:space="preserve">WACC adjustment</t>
  </si>
  <si>
    <t xml:space="preserve">Terminal growth</t>
  </si>
  <si>
    <t xml:space="preserve">HISTORICAL &amp; PROJECTED FINANCIALS / UNLEVERED FREE CASH FLOW</t>
  </si>
  <si>
    <t xml:space="preserve">USD millions</t>
  </si>
  <si>
    <t xml:space="preserve">FY2024A</t>
  </si>
  <si>
    <t xml:space="preserve">FY2025A</t>
  </si>
  <si>
    <t xml:space="preserve">FY2026A</t>
  </si>
  <si>
    <t xml:space="preserve">Revenue</t>
  </si>
  <si>
    <t xml:space="preserve">  % growth</t>
  </si>
  <si>
    <t xml:space="preserve">EBIT (operating income)</t>
  </si>
  <si>
    <t xml:space="preserve">  % margin</t>
  </si>
  <si>
    <t xml:space="preserve">(-) Taxes on EBIT</t>
  </si>
  <si>
    <t xml:space="preserve">NOPAT</t>
  </si>
  <si>
    <t xml:space="preserve">(+) D&amp;A</t>
  </si>
  <si>
    <t xml:space="preserve">  % of revenue</t>
  </si>
  <si>
    <t xml:space="preserve">EBITDA</t>
  </si>
  <si>
    <t xml:space="preserve">(-) Capital expenditures</t>
  </si>
  <si>
    <t xml:space="preserve">(-) Increase in NWC</t>
  </si>
  <si>
    <t xml:space="preserve">Unlevered free cash flow</t>
  </si>
  <si>
    <t xml:space="preserve">Memo: operating cash flow (reported)</t>
  </si>
  <si>
    <t xml:space="preserve">Memo: reported FCF (CFO - capex)</t>
  </si>
  <si>
    <t xml:space="preserve">DISCOUNTING (mid-year convention)</t>
  </si>
  <si>
    <t xml:space="preserve">Discount period (years)</t>
  </si>
  <si>
    <t xml:space="preserve">Discount factor</t>
  </si>
  <si>
    <t xml:space="preserve">PV of unlevered FCF</t>
  </si>
  <si>
    <t xml:space="preserve">TERMINAL VALUE &amp; VALUATION SUMMARY</t>
  </si>
  <si>
    <t xml:space="preserve">Terminal-year FCF (FY2037)</t>
  </si>
  <si>
    <t xml:space="preserve">Terminal value (Gordon growth)</t>
  </si>
  <si>
    <t xml:space="preserve">PV of terminal value</t>
  </si>
  <si>
    <t xml:space="preserve">Sum of PV of FCF (FY27-FY36)</t>
  </si>
  <si>
    <t xml:space="preserve">Enterprise value</t>
  </si>
  <si>
    <t xml:space="preserve">(-) Total debt incl. leases</t>
  </si>
  <si>
    <t xml:space="preserve">(+) Cash + short-term investments</t>
  </si>
  <si>
    <t xml:space="preserve">Equity value</t>
  </si>
  <si>
    <t xml:space="preserve">IMPLIED VALUE PER SHARE ($)</t>
  </si>
  <si>
    <t xml:space="preserve">Implied upside / (downside)</t>
  </si>
  <si>
    <t xml:space="preserve">Terminal value as % of EV</t>
  </si>
  <si>
    <t xml:space="preserve">COMPS CROSS-CHECK</t>
  </si>
  <si>
    <t xml:space="preserve">Metric</t>
  </si>
  <si>
    <t xml:space="preserve">MSFT (DCF)</t>
  </si>
  <si>
    <t xml:space="preserve">Peer median</t>
  </si>
  <si>
    <t xml:space="preserve">Comment</t>
  </si>
  <si>
    <t xml:space="preserve">EV / LTM EBITDA (FY26A)</t>
  </si>
  <si>
    <t xml:space="preserve">DCF EV vs peer LTM median</t>
  </si>
  <si>
    <t xml:space="preserve">EV / NTM EBITDA (FY27E)</t>
  </si>
  <si>
    <t xml:space="preserve">Forward basis</t>
  </si>
  <si>
    <t xml:space="preserve">Implied terminal exit multiple (TV / FY36 EBITDA)</t>
  </si>
  <si>
    <t xml:space="preserve">Gordon TV expressed as EBITDA multiple</t>
  </si>
  <si>
    <t xml:space="preserve">P / E (FY26A net income)</t>
  </si>
  <si>
    <t xml:space="preserve">Peer P/E distorted by AI-stake gains</t>
  </si>
  <si>
    <t xml:space="preserve">EV / LTM revenue</t>
  </si>
  <si>
    <t xml:space="preserve">Memo: FY26A net income</t>
  </si>
  <si>
    <t xml:space="preserve">Exit-multiple cross-check: value/share at peer median EV/EBITDA on FY36 EBITDA ($)</t>
  </si>
  <si>
    <t xml:space="preserve">Market-implied EV / LTM EBITDA (current)</t>
  </si>
  <si>
    <t xml:space="preserve">SCENARIO SUMMARY (all cases computed simultaneously on Scenarios sheet)</t>
  </si>
  <si>
    <t xml:space="preserve">Case</t>
  </si>
  <si>
    <t xml:space="preserve">Value / share ($)</t>
  </si>
  <si>
    <t xml:space="preserve">Upside / (downside)</t>
  </si>
  <si>
    <t xml:space="preserve">WACC</t>
  </si>
  <si>
    <t xml:space="preserve">TV % of EV</t>
  </si>
  <si>
    <t xml:space="preserve">Bear</t>
  </si>
  <si>
    <t xml:space="preserve">Base</t>
  </si>
  <si>
    <t xml:space="preserve">Bull</t>
  </si>
  <si>
    <t xml:space="preserve">Check: active case value = Scenarios sheet (should be 0)</t>
  </si>
  <si>
    <t xml:space="preserve">SENSITIVITY 1: VALUE PER SHARE ($) - WACC (rows) x TERMINAL GROWTH (columns)</t>
  </si>
  <si>
    <t xml:space="preserve">WACC \ g</t>
  </si>
  <si>
    <t xml:space="preserve">SENSITIVITY 2: VALUE PER SHARE ($) - REVENUE GROWTH SHIFT (rows, pp added to every year) x EBIT MARGIN SHIFT (columns, pp added to every year)</t>
  </si>
  <si>
    <t xml:space="preserve">Growth Δ \ Margin Δ</t>
  </si>
  <si>
    <t xml:space="preserve">Helper: revenue &amp; FCF (at selected-case margin) for each growth shift</t>
  </si>
  <si>
    <t xml:space="preserve">Growth shift</t>
  </si>
  <si>
    <t xml:space="preserve">Row type</t>
  </si>
  <si>
    <t xml:space="preserve">UFCF</t>
  </si>
  <si>
    <t xml:space="preserve">SENSITIVITY 3: VALUE PER SHARE ($) - BETA (rows) x RISK-FREE RATE (columns); cost of debt moves with Rf</t>
  </si>
  <si>
    <t xml:space="preserve">Beta \ Rf</t>
  </si>
  <si>
    <t xml:space="preserve">MICROSOFT - WEIGHTED AVERAGE COST OF CAPITAL</t>
  </si>
  <si>
    <t xml:space="preserve">As of 2026-10-14 | USD millions</t>
  </si>
  <si>
    <t xml:space="preserve">COST OF EQUITY (CAPM)</t>
  </si>
  <si>
    <t xml:space="preserve">Risk-free rate (10Y UST par yield)</t>
  </si>
  <si>
    <t xml:space="preserve">Risk-free rate date</t>
  </si>
  <si>
    <t xml:space="preserve">2026-10-14</t>
  </si>
  <si>
    <t xml:space="preserve">Beta (5Y monthly vs S&amp;P 500)</t>
  </si>
  <si>
    <t xml:space="preserve">Beta observations (months)</t>
  </si>
  <si>
    <t xml:space="preserve">Equity risk premium</t>
  </si>
  <si>
    <t xml:space="preserve">Cost of equity</t>
  </si>
  <si>
    <t xml:space="preserve">COST OF DEBT</t>
  </si>
  <si>
    <t xml:space="preserve">Credit rating (S&amp;P / Moody's)</t>
  </si>
  <si>
    <t xml:space="preserve">AAA / Aaa</t>
  </si>
  <si>
    <t xml:space="preserve">Spread over 10Y UST</t>
  </si>
  <si>
    <t xml:space="preserve">Pre-tax cost of debt</t>
  </si>
  <si>
    <t xml:space="preserve">After-tax cost of debt</t>
  </si>
  <si>
    <t xml:space="preserve">CAPITAL STRUCTURE (market values)</t>
  </si>
  <si>
    <t xml:space="preserve">Share price ($)</t>
  </si>
  <si>
    <t xml:space="preserve">Market capitalisation</t>
  </si>
  <si>
    <t xml:space="preserve">Total debt incl. lease liabilities</t>
  </si>
  <si>
    <t xml:space="preserve">  memo: financial debt (bonds)</t>
  </si>
  <si>
    <t xml:space="preserve">  memo: lease liabilities (derived)</t>
  </si>
  <si>
    <t xml:space="preserve">Enterprise value (market)</t>
  </si>
  <si>
    <t xml:space="preserve">WACC CALCULATION</t>
  </si>
  <si>
    <t xml:space="preserve">Component</t>
  </si>
  <si>
    <t xml:space="preserve">Weight</t>
  </si>
  <si>
    <t xml:space="preserve">Cost</t>
  </si>
  <si>
    <t xml:space="preserve">Contribution</t>
  </si>
  <si>
    <t xml:space="preserve">Equity</t>
  </si>
  <si>
    <t xml:space="preserve">Debt (gross)</t>
  </si>
  <si>
    <t xml:space="preserve">Note: weights use gross debt (incl. leases) and market equity. Scenario WACC adjustments (Bear +0.5pp / Bull -0.5pp) are applied on the DCF sheet.</t>
  </si>
  <si>
    <t xml:space="preserve">MSFT 5-YEAR MONTHLY BETA vs S&amp;P 500</t>
  </si>
  <si>
    <t xml:space="preserve">Month-end adjusted closes Sep-2021 to Sep-2026 (61 prices -&gt; 60 monthly returns). Oct-2026 partial month excluded.</t>
  </si>
  <si>
    <t xml:space="preserve">Month</t>
  </si>
  <si>
    <t xml:space="preserve">MSFT Adj Close</t>
  </si>
  <si>
    <t xml:space="preserve">S&amp;P 500 Close</t>
  </si>
  <si>
    <t xml:space="preserve">MSFT Return</t>
  </si>
  <si>
    <t xml:space="preserve">S&amp;P 500 Return</t>
  </si>
  <si>
    <t xml:space="preserve">Regression output</t>
  </si>
  <si>
    <t xml:space="preserve">2021-09-01</t>
  </si>
  <si>
    <t xml:space="preserve">Beta (SLOPE)</t>
  </si>
  <si>
    <t xml:space="preserve">2021-10-01</t>
  </si>
  <si>
    <t xml:space="preserve">Observations</t>
  </si>
  <si>
    <t xml:space="preserve">2021-11-01</t>
  </si>
  <si>
    <t xml:space="preserve">Correlation</t>
  </si>
  <si>
    <t xml:space="preserve">2021-12-01</t>
  </si>
  <si>
    <t xml:space="preserve">R-squared</t>
  </si>
  <si>
    <t xml:space="preserve">2022-01-01</t>
  </si>
  <si>
    <t xml:space="preserve">Blume-adjusted beta (memo)</t>
  </si>
  <si>
    <t xml:space="preserve">2022-02-01</t>
  </si>
  <si>
    <t xml:space="preserve">2022-03-01</t>
  </si>
  <si>
    <t xml:space="preserve">2022-04-01</t>
  </si>
  <si>
    <t xml:space="preserve">2022-05-01</t>
  </si>
  <si>
    <t xml:space="preserve">2022-06-01</t>
  </si>
  <si>
    <t xml:space="preserve">2022-07-01</t>
  </si>
  <si>
    <t xml:space="preserve">2022-08-01</t>
  </si>
  <si>
    <t xml:space="preserve">2022-09-01</t>
  </si>
  <si>
    <t xml:space="preserve">2022-10-01</t>
  </si>
  <si>
    <t xml:space="preserve">2022-11-01</t>
  </si>
  <si>
    <t xml:space="preserve">2022-12-01</t>
  </si>
  <si>
    <t xml:space="preserve">2023-01-01</t>
  </si>
  <si>
    <t xml:space="preserve">2023-02-01</t>
  </si>
  <si>
    <t xml:space="preserve">2023-03-01</t>
  </si>
  <si>
    <t xml:space="preserve">2023-04-01</t>
  </si>
  <si>
    <t xml:space="preserve">2023-05-01</t>
  </si>
  <si>
    <t xml:space="preserve">2023-06-01</t>
  </si>
  <si>
    <t xml:space="preserve">2023-07-01</t>
  </si>
  <si>
    <t xml:space="preserve">2023-08-01</t>
  </si>
  <si>
    <t xml:space="preserve">2023-09-01</t>
  </si>
  <si>
    <t xml:space="preserve">2023-10-01</t>
  </si>
  <si>
    <t xml:space="preserve">2023-11-01</t>
  </si>
  <si>
    <t xml:space="preserve">2023-12-01</t>
  </si>
  <si>
    <t xml:space="preserve">2024-01-01</t>
  </si>
  <si>
    <t xml:space="preserve">2024-02-01</t>
  </si>
  <si>
    <t xml:space="preserve">2024-03-01</t>
  </si>
  <si>
    <t xml:space="preserve">2024-04-01</t>
  </si>
  <si>
    <t xml:space="preserve">2024-05-01</t>
  </si>
  <si>
    <t xml:space="preserve">2024-06-01</t>
  </si>
  <si>
    <t xml:space="preserve">2024-07-01</t>
  </si>
  <si>
    <t xml:space="preserve">2024-08-01</t>
  </si>
  <si>
    <t xml:space="preserve">2024-09-01</t>
  </si>
  <si>
    <t xml:space="preserve">2024-10-01</t>
  </si>
  <si>
    <t xml:space="preserve">2024-11-01</t>
  </si>
  <si>
    <t xml:space="preserve">2024-12-01</t>
  </si>
  <si>
    <t xml:space="preserve">2025-01-01</t>
  </si>
  <si>
    <t xml:space="preserve">2025-02-01</t>
  </si>
  <si>
    <t xml:space="preserve">2025-03-01</t>
  </si>
  <si>
    <t xml:space="preserve">2025-04-01</t>
  </si>
  <si>
    <t xml:space="preserve">2025-05-01</t>
  </si>
  <si>
    <t xml:space="preserve">2025-06-01</t>
  </si>
  <si>
    <t xml:space="preserve">2025-07-01</t>
  </si>
  <si>
    <t xml:space="preserve">2025-08-01</t>
  </si>
  <si>
    <t xml:space="preserve">2025-09-01</t>
  </si>
  <si>
    <t xml:space="preserve">2025-10-01</t>
  </si>
  <si>
    <t xml:space="preserve">2025-11-01</t>
  </si>
  <si>
    <t xml:space="preserve">2025-12-01</t>
  </si>
  <si>
    <t xml:space="preserve">2026-01-01</t>
  </si>
  <si>
    <t xml:space="preserve">2026-02-01</t>
  </si>
  <si>
    <t xml:space="preserve">2026-03-01</t>
  </si>
  <si>
    <t xml:space="preserve">2026-04-01</t>
  </si>
  <si>
    <t xml:space="preserve">2026-05-01</t>
  </si>
  <si>
    <t xml:space="preserve">2026-06-01</t>
  </si>
  <si>
    <t xml:space="preserve">2026-07-01</t>
  </si>
  <si>
    <t xml:space="preserve">2026-08-01</t>
  </si>
  <si>
    <t xml:space="preserve">2026-09-01</t>
  </si>
  <si>
    <t xml:space="preserve">SCENARIO ENGINE - full DCF recomputed for each case (reads DCF scenario blocks)</t>
  </si>
  <si>
    <t xml:space="preserve">Sum PV FCF</t>
  </si>
  <si>
    <t xml:space="preserve">PV terminal value</t>
  </si>
  <si>
    <t xml:space="preserve">Value per share ($)</t>
  </si>
  <si>
    <t xml:space="preserve">BEAR CASE CASH FLOWS</t>
  </si>
  <si>
    <t xml:space="preserve">Item</t>
  </si>
  <si>
    <t xml:space="preserve">EBIT</t>
  </si>
  <si>
    <t xml:space="preserve">PV UFCF</t>
  </si>
  <si>
    <t xml:space="preserve">Period</t>
  </si>
  <si>
    <t xml:space="preserve">BASE CASE CASH FLOWS</t>
  </si>
  <si>
    <t xml:space="preserve">BULL CASE CASH FLOWS</t>
  </si>
  <si>
    <t xml:space="preserve">BIG TECH - COMPARABLE COMPANY ANALYSIS (peer set for MSFT DCF)</t>
  </si>
  <si>
    <t xml:space="preserve">Alphabet (GOOGL) • Amazon (AMZN) • Meta Platforms (META) • Apple (AAPL) • Oracle (ORCL) | Target: Microsoft (MSFT)</t>
  </si>
  <si>
    <t xml:space="preserve">Prices as of 2026-10-14 close | LTM financials through each company's latest reported quarter | USD millions except per-share amounts and ratios</t>
  </si>
  <si>
    <t xml:space="preserve">OPERATING METRICS (LTM)</t>
  </si>
  <si>
    <t xml:space="preserve">Company</t>
  </si>
  <si>
    <t xml:space="preserve">Ticker</t>
  </si>
  <si>
    <t xml:space="preserve">Gross Profit</t>
  </si>
  <si>
    <t xml:space="preserve">Gross Margin</t>
  </si>
  <si>
    <t xml:space="preserve">Operating Income</t>
  </si>
  <si>
    <t xml:space="preserve">Operating Margin</t>
  </si>
  <si>
    <t xml:space="preserve">EBITDA Margin</t>
  </si>
  <si>
    <t xml:space="preserve">Net Income</t>
  </si>
  <si>
    <t xml:space="preserve">Free Cash Flow</t>
  </si>
  <si>
    <t xml:space="preserve">FCF Margin</t>
  </si>
  <si>
    <t xml:space="preserve">Alphabet</t>
  </si>
  <si>
    <t xml:space="preserve">GOOGL</t>
  </si>
  <si>
    <t xml:space="preserve">Amazon</t>
  </si>
  <si>
    <t xml:space="preserve">AMZN</t>
  </si>
  <si>
    <t xml:space="preserve">Meta Platforms</t>
  </si>
  <si>
    <t xml:space="preserve">META</t>
  </si>
  <si>
    <t xml:space="preserve">Apple</t>
  </si>
  <si>
    <t xml:space="preserve">AAPL</t>
  </si>
  <si>
    <t xml:space="preserve">Oracle</t>
  </si>
  <si>
    <t xml:space="preserve">ORCL</t>
  </si>
  <si>
    <t xml:space="preserve">Maximum</t>
  </si>
  <si>
    <t xml:space="preserve">75th Percentile</t>
  </si>
  <si>
    <t xml:space="preserve">Median</t>
  </si>
  <si>
    <t xml:space="preserve">25th Percentile</t>
  </si>
  <si>
    <t xml:space="preserve">Minimum</t>
  </si>
  <si>
    <t xml:space="preserve">Microsoft (target, excluded from stats)</t>
  </si>
  <si>
    <t xml:space="preserve">MSFT</t>
  </si>
  <si>
    <t xml:space="preserve">VALUATION MULTIPLES</t>
  </si>
  <si>
    <t xml:space="preserve">Share Price ($)</t>
  </si>
  <si>
    <t xml:space="preserve">Shares Out (M)</t>
  </si>
  <si>
    <t xml:space="preserve">Market Cap</t>
  </si>
  <si>
    <t xml:space="preserve">Total Debt</t>
  </si>
  <si>
    <t xml:space="preserve">Cash &amp; ST Inv.</t>
  </si>
  <si>
    <t xml:space="preserve">Enterprise Value</t>
  </si>
  <si>
    <t xml:space="preserve">EV / Revenue</t>
  </si>
  <si>
    <t xml:space="preserve">EV / EBITDA</t>
  </si>
  <si>
    <t xml:space="preserve">P / E</t>
  </si>
  <si>
    <t xml:space="preserve">FCF Yield</t>
  </si>
  <si>
    <t xml:space="preserve">NOTES &amp; METHODOLOGY</t>
  </si>
  <si>
    <t xml:space="preserve">Data: peer LTM financials, prices, shares, debt and cash from stockanalysis.com statistics pages accessed 2026-10-14 (close 2026-10-14). MSFT financials from FY26 (June 30, 2026) earnings release.</t>
  </si>
  <si>
    <t xml:space="preserve">EBITDA = operating income + D&amp;A (provider definition for peers). FCF = operating cash flow - capex. EV = market cap + total debt (incl. lease liabilities) - cash &amp; short-term investments.</t>
  </si>
  <si>
    <t xml:space="preserve">Statistics exclude MSFT. Peer GOOGL/AMZN net income includes large unrealised gains on AI-lab investments, which depresses their P/E; EV/EBITDA is the primary multiple.</t>
  </si>
  <si>
    <t xml:space="preserve">Peer fiscal periods differ (AAPL Sep FYE, ORCL May FYE, MSFT Jun FYE); LTM basis used for all. AMZN and ORCL FCF negative due to AI capex.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</si>
</sst>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"/>
    <numFmt numFmtId="166" formatCode="\$#,##0.00"/>
    <numFmt numFmtId="167" formatCode="#,##0;\(#,##0\);\-"/>
    <numFmt numFmtId="168" formatCode="0.00%"/>
    <numFmt numFmtId="169" formatCode="0.0%"/>
    <numFmt numFmtId="170" formatCode="0.0%;\(0.0%\);\-"/>
    <numFmt numFmtId="171" formatCode="\+0.0%;\-0.0%;0.0%"/>
    <numFmt numFmtId="172" formatCode="0.0"/>
    <numFmt numFmtId="173" formatCode="0.0000"/>
    <numFmt numFmtId="174" formatCode="0.0\x"/>
    <numFmt numFmtId="175" formatCode="0.000000"/>
    <numFmt numFmtId="176" formatCode="0.00"/>
    <numFmt numFmtId="177" formatCode="#,##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libri"/>
      <family val="0"/>
      <charset val="1"/>
    </font>
    <font>
      <b val="true"/>
      <sz val="10"/>
      <name val="Calibri"/>
      <family val="0"/>
      <charset val="1"/>
    </font>
    <font>
      <sz val="10"/>
      <color rgb="FF0000FF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color rgb="FF008000"/>
      <name val="Calibri"/>
      <family val="0"/>
      <charset val="1"/>
    </font>
    <font>
      <b val="true"/>
      <sz val="10"/>
      <color rgb="FF0000FF"/>
      <name val="Calibri"/>
      <family val="0"/>
      <charset val="1"/>
    </font>
    <font>
      <sz val="10"/>
      <name val="Arial"/>
      <family val="2"/>
    </font>
    <font>
      <b val="true"/>
      <sz val="13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1F4E79"/>
        <bgColor rgb="FF003366"/>
      </patternFill>
    </fill>
    <fill>
      <patternFill patternType="solid">
        <fgColor rgb="FFD9E1F2"/>
        <bgColor rgb="FFBDD7EE"/>
      </patternFill>
    </fill>
    <fill>
      <patternFill patternType="solid">
        <fgColor rgb="FFBDD7EE"/>
        <bgColor rgb="FFD9E1F2"/>
      </patternFill>
    </fill>
  </fills>
  <borders count="18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4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4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0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7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9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7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0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0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0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4" borderId="1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1" fontId="7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7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5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5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8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5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4" borderId="1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4" borderId="1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5" fillId="5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7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6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5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7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D9E1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5" min="2" style="0" width="13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4" customFormat="false" ht="15" hidden="false" customHeight="false" outlineLevel="0" collapsed="false">
      <c r="A4" s="2" t="s">
        <v>2</v>
      </c>
      <c r="B4" s="3" t="n">
        <v>2</v>
      </c>
    </row>
    <row r="5" customFormat="false" ht="15" hidden="false" customHeight="false" outlineLevel="0" collapsed="false">
      <c r="A5" s="4" t="s">
        <v>3</v>
      </c>
      <c r="B5" s="5" t="str">
        <f aca="false">CHOOSE(B4,"Bear","Base","Bull")</f>
        <v>Base</v>
      </c>
    </row>
    <row r="7" customFormat="false" ht="15" hidden="false" customHeight="false" outlineLevel="0" collapsed="false">
      <c r="A7" s="6" t="s">
        <v>4</v>
      </c>
      <c r="B7" s="6"/>
      <c r="C7" s="6"/>
      <c r="D7" s="6"/>
    </row>
    <row r="8" customFormat="false" ht="15" hidden="false" customHeight="false" outlineLevel="0" collapsed="false">
      <c r="A8" s="7" t="s">
        <v>5</v>
      </c>
      <c r="B8" s="8" t="n">
        <v>533.69</v>
      </c>
      <c r="C8" s="9"/>
      <c r="D8" s="10"/>
    </row>
    <row r="9" customFormat="false" ht="15" hidden="false" customHeight="false" outlineLevel="0" collapsed="false">
      <c r="A9" s="7" t="s">
        <v>6</v>
      </c>
      <c r="B9" s="11" t="n">
        <v>7453</v>
      </c>
      <c r="C9" s="9"/>
      <c r="D9" s="10"/>
    </row>
    <row r="10" customFormat="false" ht="15" hidden="false" customHeight="false" outlineLevel="0" collapsed="false">
      <c r="A10" s="7" t="s">
        <v>7</v>
      </c>
      <c r="B10" s="12" t="n">
        <f aca="false">B8*B9</f>
        <v>3977591.57</v>
      </c>
      <c r="C10" s="9"/>
      <c r="D10" s="10"/>
    </row>
    <row r="11" customFormat="false" ht="15" hidden="false" customHeight="false" outlineLevel="0" collapsed="false">
      <c r="A11" s="7" t="s">
        <v>8</v>
      </c>
      <c r="B11" s="13" t="n">
        <f aca="false">WACC!B25</f>
        <v>76843</v>
      </c>
      <c r="C11" s="9"/>
      <c r="D11" s="10"/>
    </row>
    <row r="12" customFormat="false" ht="15" hidden="false" customHeight="false" outlineLevel="0" collapsed="false">
      <c r="A12" s="7" t="s">
        <v>9</v>
      </c>
      <c r="B12" s="13" t="n">
        <f aca="false">WACC!B22</f>
        <v>128810</v>
      </c>
      <c r="C12" s="9"/>
      <c r="D12" s="10"/>
    </row>
    <row r="13" customFormat="false" ht="15" hidden="false" customHeight="false" outlineLevel="0" collapsed="false">
      <c r="A13" s="7" t="s">
        <v>10</v>
      </c>
      <c r="B13" s="12" t="n">
        <f aca="false">B12-B11</f>
        <v>51967</v>
      </c>
      <c r="C13" s="9"/>
      <c r="D13" s="10"/>
    </row>
    <row r="14" customFormat="false" ht="15" hidden="false" customHeight="false" outlineLevel="0" collapsed="false">
      <c r="A14" s="14" t="s">
        <v>11</v>
      </c>
      <c r="B14" s="15" t="n">
        <f aca="false">WACC!D33+B59</f>
        <v>0.105052777134481</v>
      </c>
      <c r="C14" s="9"/>
      <c r="D14" s="10"/>
    </row>
    <row r="15" customFormat="false" ht="15" hidden="false" customHeight="false" outlineLevel="0" collapsed="false">
      <c r="A15" s="16" t="s">
        <v>12</v>
      </c>
      <c r="B15" s="17" t="n">
        <f aca="false">B60</f>
        <v>0.03</v>
      </c>
      <c r="C15" s="18"/>
      <c r="D15" s="19"/>
    </row>
    <row r="18" customFormat="false" ht="15" hidden="false" customHeight="false" outlineLevel="0" collapsed="false">
      <c r="A18" s="6" t="s">
        <v>13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customFormat="false" ht="15" hidden="false" customHeight="false" outlineLevel="0" collapsed="false">
      <c r="A19" s="20" t="s">
        <v>14</v>
      </c>
      <c r="B19" s="21"/>
      <c r="C19" s="21"/>
      <c r="D19" s="21"/>
      <c r="E19" s="21"/>
      <c r="F19" s="21" t="s">
        <v>15</v>
      </c>
      <c r="G19" s="21" t="s">
        <v>16</v>
      </c>
      <c r="H19" s="21" t="s">
        <v>17</v>
      </c>
      <c r="I19" s="21" t="s">
        <v>18</v>
      </c>
      <c r="J19" s="21" t="s">
        <v>19</v>
      </c>
      <c r="K19" s="21" t="s">
        <v>20</v>
      </c>
      <c r="L19" s="21" t="s">
        <v>21</v>
      </c>
      <c r="M19" s="21" t="s">
        <v>22</v>
      </c>
      <c r="N19" s="21" t="s">
        <v>23</v>
      </c>
      <c r="O19" s="22" t="s">
        <v>24</v>
      </c>
    </row>
    <row r="20" customFormat="false" ht="15" hidden="false" customHeight="false" outlineLevel="0" collapsed="false">
      <c r="A20" s="7" t="s">
        <v>25</v>
      </c>
      <c r="B20" s="9"/>
      <c r="C20" s="9"/>
      <c r="D20" s="9"/>
      <c r="E20" s="9"/>
      <c r="F20" s="23" t="n">
        <v>0.12</v>
      </c>
      <c r="G20" s="23" t="n">
        <v>0.1</v>
      </c>
      <c r="H20" s="23" t="n">
        <v>0.09</v>
      </c>
      <c r="I20" s="23" t="n">
        <v>0.08</v>
      </c>
      <c r="J20" s="23" t="n">
        <v>0.07</v>
      </c>
      <c r="K20" s="23" t="n">
        <v>0.06</v>
      </c>
      <c r="L20" s="23" t="n">
        <v>0.05</v>
      </c>
      <c r="M20" s="23" t="n">
        <v>0.045</v>
      </c>
      <c r="N20" s="23" t="n">
        <v>0.04</v>
      </c>
      <c r="O20" s="24" t="n">
        <v>0.035</v>
      </c>
    </row>
    <row r="21" customFormat="false" ht="15" hidden="false" customHeight="false" outlineLevel="0" collapsed="false">
      <c r="A21" s="7" t="s">
        <v>26</v>
      </c>
      <c r="B21" s="9"/>
      <c r="C21" s="9"/>
      <c r="D21" s="9"/>
      <c r="E21" s="9"/>
      <c r="F21" s="23" t="n">
        <v>0.45</v>
      </c>
      <c r="G21" s="23" t="n">
        <v>0.445</v>
      </c>
      <c r="H21" s="23" t="n">
        <v>0.44</v>
      </c>
      <c r="I21" s="23" t="n">
        <v>0.44</v>
      </c>
      <c r="J21" s="23" t="n">
        <v>0.44</v>
      </c>
      <c r="K21" s="23" t="n">
        <v>0.435</v>
      </c>
      <c r="L21" s="23" t="n">
        <v>0.435</v>
      </c>
      <c r="M21" s="23" t="n">
        <v>0.43</v>
      </c>
      <c r="N21" s="23" t="n">
        <v>0.43</v>
      </c>
      <c r="O21" s="24" t="n">
        <v>0.43</v>
      </c>
    </row>
    <row r="22" customFormat="false" ht="15" hidden="false" customHeight="false" outlineLevel="0" collapsed="false">
      <c r="A22" s="7" t="s">
        <v>27</v>
      </c>
      <c r="B22" s="9"/>
      <c r="C22" s="9"/>
      <c r="D22" s="9"/>
      <c r="E22" s="9"/>
      <c r="F22" s="23" t="n">
        <v>0.125</v>
      </c>
      <c r="G22" s="23" t="n">
        <v>0.135</v>
      </c>
      <c r="H22" s="23" t="n">
        <v>0.14</v>
      </c>
      <c r="I22" s="23" t="n">
        <v>0.145</v>
      </c>
      <c r="J22" s="23" t="n">
        <v>0.145</v>
      </c>
      <c r="K22" s="23" t="n">
        <v>0.14</v>
      </c>
      <c r="L22" s="23" t="n">
        <v>0.135</v>
      </c>
      <c r="M22" s="23" t="n">
        <v>0.13</v>
      </c>
      <c r="N22" s="23" t="n">
        <v>0.13</v>
      </c>
      <c r="O22" s="24" t="n">
        <v>0.13</v>
      </c>
    </row>
    <row r="23" customFormat="false" ht="15" hidden="false" customHeight="false" outlineLevel="0" collapsed="false">
      <c r="A23" s="7" t="s">
        <v>28</v>
      </c>
      <c r="B23" s="9"/>
      <c r="C23" s="9"/>
      <c r="D23" s="9"/>
      <c r="E23" s="9"/>
      <c r="F23" s="23" t="n">
        <v>0.35</v>
      </c>
      <c r="G23" s="23" t="n">
        <v>0.33</v>
      </c>
      <c r="H23" s="23" t="n">
        <v>0.29</v>
      </c>
      <c r="I23" s="23" t="n">
        <v>0.25</v>
      </c>
      <c r="J23" s="23" t="n">
        <v>0.22</v>
      </c>
      <c r="K23" s="23" t="n">
        <v>0.19</v>
      </c>
      <c r="L23" s="23" t="n">
        <v>0.17</v>
      </c>
      <c r="M23" s="23" t="n">
        <v>0.16</v>
      </c>
      <c r="N23" s="23" t="n">
        <v>0.15</v>
      </c>
      <c r="O23" s="24" t="n">
        <v>0.145</v>
      </c>
    </row>
    <row r="24" customFormat="false" ht="15" hidden="false" customHeight="false" outlineLevel="0" collapsed="false">
      <c r="A24" s="7" t="s">
        <v>29</v>
      </c>
      <c r="B24" s="9"/>
      <c r="C24" s="9"/>
      <c r="D24" s="9"/>
      <c r="E24" s="9"/>
      <c r="F24" s="23" t="n">
        <v>0.08</v>
      </c>
      <c r="G24" s="23" t="n">
        <v>0.08</v>
      </c>
      <c r="H24" s="23" t="n">
        <v>0.08</v>
      </c>
      <c r="I24" s="23" t="n">
        <v>0.08</v>
      </c>
      <c r="J24" s="23" t="n">
        <v>0.08</v>
      </c>
      <c r="K24" s="23" t="n">
        <v>0.08</v>
      </c>
      <c r="L24" s="23" t="n">
        <v>0.08</v>
      </c>
      <c r="M24" s="23" t="n">
        <v>0.08</v>
      </c>
      <c r="N24" s="23" t="n">
        <v>0.08</v>
      </c>
      <c r="O24" s="24" t="n">
        <v>0.08</v>
      </c>
    </row>
    <row r="25" customFormat="false" ht="15" hidden="false" customHeight="false" outlineLevel="0" collapsed="false">
      <c r="A25" s="7" t="s">
        <v>30</v>
      </c>
      <c r="B25" s="9"/>
      <c r="C25" s="9"/>
      <c r="D25" s="9"/>
      <c r="E25" s="9"/>
      <c r="F25" s="23" t="n">
        <v>0.19</v>
      </c>
      <c r="G25" s="23" t="n">
        <v>0.19</v>
      </c>
      <c r="H25" s="23" t="n">
        <v>0.19</v>
      </c>
      <c r="I25" s="23" t="n">
        <v>0.19</v>
      </c>
      <c r="J25" s="23" t="n">
        <v>0.19</v>
      </c>
      <c r="K25" s="23" t="n">
        <v>0.19</v>
      </c>
      <c r="L25" s="23" t="n">
        <v>0.19</v>
      </c>
      <c r="M25" s="23" t="n">
        <v>0.19</v>
      </c>
      <c r="N25" s="23" t="n">
        <v>0.19</v>
      </c>
      <c r="O25" s="24" t="n">
        <v>0.19</v>
      </c>
    </row>
    <row r="26" customFormat="false" ht="15" hidden="false" customHeight="false" outlineLevel="0" collapsed="false">
      <c r="A26" s="7" t="s">
        <v>31</v>
      </c>
      <c r="B26" s="25" t="n">
        <v>0.005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10"/>
    </row>
    <row r="27" customFormat="false" ht="15" hidden="false" customHeight="false" outlineLevel="0" collapsed="false">
      <c r="A27" s="26" t="s">
        <v>32</v>
      </c>
      <c r="B27" s="27" t="n">
        <v>0.025</v>
      </c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9"/>
    </row>
    <row r="29" customFormat="false" ht="15" hidden="false" customHeight="false" outlineLevel="0" collapsed="false">
      <c r="A29" s="6" t="s">
        <v>33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</row>
    <row r="30" customFormat="false" ht="15" hidden="false" customHeight="false" outlineLevel="0" collapsed="false">
      <c r="A30" s="20" t="s">
        <v>14</v>
      </c>
      <c r="B30" s="21"/>
      <c r="C30" s="21"/>
      <c r="D30" s="21"/>
      <c r="E30" s="21"/>
      <c r="F30" s="21" t="s">
        <v>15</v>
      </c>
      <c r="G30" s="21" t="s">
        <v>16</v>
      </c>
      <c r="H30" s="21" t="s">
        <v>17</v>
      </c>
      <c r="I30" s="21" t="s">
        <v>18</v>
      </c>
      <c r="J30" s="21" t="s">
        <v>19</v>
      </c>
      <c r="K30" s="21" t="s">
        <v>20</v>
      </c>
      <c r="L30" s="21" t="s">
        <v>21</v>
      </c>
      <c r="M30" s="21" t="s">
        <v>22</v>
      </c>
      <c r="N30" s="21" t="s">
        <v>23</v>
      </c>
      <c r="O30" s="22" t="s">
        <v>24</v>
      </c>
    </row>
    <row r="31" customFormat="false" ht="15" hidden="false" customHeight="false" outlineLevel="0" collapsed="false">
      <c r="A31" s="7" t="s">
        <v>25</v>
      </c>
      <c r="B31" s="9"/>
      <c r="C31" s="9"/>
      <c r="D31" s="9"/>
      <c r="E31" s="9"/>
      <c r="F31" s="23" t="n">
        <v>0.16</v>
      </c>
      <c r="G31" s="23" t="n">
        <v>0.15</v>
      </c>
      <c r="H31" s="23" t="n">
        <v>0.14</v>
      </c>
      <c r="I31" s="23" t="n">
        <v>0.13</v>
      </c>
      <c r="J31" s="23" t="n">
        <v>0.12</v>
      </c>
      <c r="K31" s="23" t="n">
        <v>0.11</v>
      </c>
      <c r="L31" s="23" t="n">
        <v>0.1</v>
      </c>
      <c r="M31" s="23" t="n">
        <v>0.08</v>
      </c>
      <c r="N31" s="23" t="n">
        <v>0.06</v>
      </c>
      <c r="O31" s="24" t="n">
        <v>0.045</v>
      </c>
    </row>
    <row r="32" customFormat="false" ht="15" hidden="false" customHeight="false" outlineLevel="0" collapsed="false">
      <c r="A32" s="7" t="s">
        <v>26</v>
      </c>
      <c r="B32" s="9"/>
      <c r="C32" s="9"/>
      <c r="D32" s="9"/>
      <c r="E32" s="9"/>
      <c r="F32" s="23" t="n">
        <v>0.465</v>
      </c>
      <c r="G32" s="23" t="n">
        <v>0.465</v>
      </c>
      <c r="H32" s="23" t="n">
        <v>0.47</v>
      </c>
      <c r="I32" s="23" t="n">
        <v>0.475</v>
      </c>
      <c r="J32" s="23" t="n">
        <v>0.48</v>
      </c>
      <c r="K32" s="23" t="n">
        <v>0.48</v>
      </c>
      <c r="L32" s="23" t="n">
        <v>0.48</v>
      </c>
      <c r="M32" s="23" t="n">
        <v>0.48</v>
      </c>
      <c r="N32" s="23" t="n">
        <v>0.48</v>
      </c>
      <c r="O32" s="24" t="n">
        <v>0.48</v>
      </c>
    </row>
    <row r="33" customFormat="false" ht="15" hidden="false" customHeight="false" outlineLevel="0" collapsed="false">
      <c r="A33" s="7" t="s">
        <v>27</v>
      </c>
      <c r="B33" s="9"/>
      <c r="C33" s="9"/>
      <c r="D33" s="9"/>
      <c r="E33" s="9"/>
      <c r="F33" s="23" t="n">
        <v>0.125</v>
      </c>
      <c r="G33" s="23" t="n">
        <v>0.135</v>
      </c>
      <c r="H33" s="23" t="n">
        <v>0.14</v>
      </c>
      <c r="I33" s="23" t="n">
        <v>0.14</v>
      </c>
      <c r="J33" s="23" t="n">
        <v>0.14</v>
      </c>
      <c r="K33" s="23" t="n">
        <v>0.135</v>
      </c>
      <c r="L33" s="23" t="n">
        <v>0.13</v>
      </c>
      <c r="M33" s="23" t="n">
        <v>0.125</v>
      </c>
      <c r="N33" s="23" t="n">
        <v>0.12</v>
      </c>
      <c r="O33" s="24" t="n">
        <v>0.12</v>
      </c>
    </row>
    <row r="34" customFormat="false" ht="15" hidden="false" customHeight="false" outlineLevel="0" collapsed="false">
      <c r="A34" s="7" t="s">
        <v>28</v>
      </c>
      <c r="B34" s="9"/>
      <c r="C34" s="9"/>
      <c r="D34" s="9"/>
      <c r="E34" s="9"/>
      <c r="F34" s="23" t="n">
        <v>0.33</v>
      </c>
      <c r="G34" s="23" t="n">
        <v>0.3</v>
      </c>
      <c r="H34" s="23" t="n">
        <v>0.26</v>
      </c>
      <c r="I34" s="23" t="n">
        <v>0.22</v>
      </c>
      <c r="J34" s="23" t="n">
        <v>0.19</v>
      </c>
      <c r="K34" s="23" t="n">
        <v>0.17</v>
      </c>
      <c r="L34" s="23" t="n">
        <v>0.155</v>
      </c>
      <c r="M34" s="23" t="n">
        <v>0.145</v>
      </c>
      <c r="N34" s="23" t="n">
        <v>0.135</v>
      </c>
      <c r="O34" s="24" t="n">
        <v>0.13</v>
      </c>
    </row>
    <row r="35" customFormat="false" ht="15" hidden="false" customHeight="false" outlineLevel="0" collapsed="false">
      <c r="A35" s="7" t="s">
        <v>29</v>
      </c>
      <c r="B35" s="9"/>
      <c r="C35" s="9"/>
      <c r="D35" s="9"/>
      <c r="E35" s="9"/>
      <c r="F35" s="23" t="n">
        <v>0.08</v>
      </c>
      <c r="G35" s="23" t="n">
        <v>0.08</v>
      </c>
      <c r="H35" s="23" t="n">
        <v>0.08</v>
      </c>
      <c r="I35" s="23" t="n">
        <v>0.08</v>
      </c>
      <c r="J35" s="23" t="n">
        <v>0.08</v>
      </c>
      <c r="K35" s="23" t="n">
        <v>0.08</v>
      </c>
      <c r="L35" s="23" t="n">
        <v>0.08</v>
      </c>
      <c r="M35" s="23" t="n">
        <v>0.08</v>
      </c>
      <c r="N35" s="23" t="n">
        <v>0.08</v>
      </c>
      <c r="O35" s="24" t="n">
        <v>0.08</v>
      </c>
    </row>
    <row r="36" customFormat="false" ht="15" hidden="false" customHeight="false" outlineLevel="0" collapsed="false">
      <c r="A36" s="7" t="s">
        <v>30</v>
      </c>
      <c r="B36" s="9"/>
      <c r="C36" s="9"/>
      <c r="D36" s="9"/>
      <c r="E36" s="9"/>
      <c r="F36" s="23" t="n">
        <v>0.19</v>
      </c>
      <c r="G36" s="23" t="n">
        <v>0.19</v>
      </c>
      <c r="H36" s="23" t="n">
        <v>0.19</v>
      </c>
      <c r="I36" s="23" t="n">
        <v>0.19</v>
      </c>
      <c r="J36" s="23" t="n">
        <v>0.19</v>
      </c>
      <c r="K36" s="23" t="n">
        <v>0.19</v>
      </c>
      <c r="L36" s="23" t="n">
        <v>0.19</v>
      </c>
      <c r="M36" s="23" t="n">
        <v>0.19</v>
      </c>
      <c r="N36" s="23" t="n">
        <v>0.19</v>
      </c>
      <c r="O36" s="24" t="n">
        <v>0.19</v>
      </c>
    </row>
    <row r="37" customFormat="false" ht="15" hidden="false" customHeight="false" outlineLevel="0" collapsed="false">
      <c r="A37" s="7" t="s">
        <v>31</v>
      </c>
      <c r="B37" s="25" t="n">
        <v>0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10"/>
    </row>
    <row r="38" customFormat="false" ht="15" hidden="false" customHeight="false" outlineLevel="0" collapsed="false">
      <c r="A38" s="26" t="s">
        <v>32</v>
      </c>
      <c r="B38" s="27" t="n">
        <v>0.03</v>
      </c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9"/>
    </row>
    <row r="40" customFormat="false" ht="15" hidden="false" customHeight="false" outlineLevel="0" collapsed="false">
      <c r="A40" s="6" t="s">
        <v>34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</row>
    <row r="41" customFormat="false" ht="15" hidden="false" customHeight="false" outlineLevel="0" collapsed="false">
      <c r="A41" s="20" t="s">
        <v>14</v>
      </c>
      <c r="B41" s="21"/>
      <c r="C41" s="21"/>
      <c r="D41" s="21"/>
      <c r="E41" s="21"/>
      <c r="F41" s="21" t="s">
        <v>15</v>
      </c>
      <c r="G41" s="21" t="s">
        <v>16</v>
      </c>
      <c r="H41" s="21" t="s">
        <v>17</v>
      </c>
      <c r="I41" s="21" t="s">
        <v>18</v>
      </c>
      <c r="J41" s="21" t="s">
        <v>19</v>
      </c>
      <c r="K41" s="21" t="s">
        <v>20</v>
      </c>
      <c r="L41" s="21" t="s">
        <v>21</v>
      </c>
      <c r="M41" s="21" t="s">
        <v>22</v>
      </c>
      <c r="N41" s="21" t="s">
        <v>23</v>
      </c>
      <c r="O41" s="22" t="s">
        <v>24</v>
      </c>
    </row>
    <row r="42" customFormat="false" ht="15" hidden="false" customHeight="false" outlineLevel="0" collapsed="false">
      <c r="A42" s="7" t="s">
        <v>25</v>
      </c>
      <c r="B42" s="9"/>
      <c r="C42" s="9"/>
      <c r="D42" s="9"/>
      <c r="E42" s="9"/>
      <c r="F42" s="23" t="n">
        <v>0.19</v>
      </c>
      <c r="G42" s="23" t="n">
        <v>0.18</v>
      </c>
      <c r="H42" s="23" t="n">
        <v>0.17</v>
      </c>
      <c r="I42" s="23" t="n">
        <v>0.16</v>
      </c>
      <c r="J42" s="23" t="n">
        <v>0.15</v>
      </c>
      <c r="K42" s="23" t="n">
        <v>0.13</v>
      </c>
      <c r="L42" s="23" t="n">
        <v>0.12</v>
      </c>
      <c r="M42" s="23" t="n">
        <v>0.1</v>
      </c>
      <c r="N42" s="23" t="n">
        <v>0.08</v>
      </c>
      <c r="O42" s="24" t="n">
        <v>0.06</v>
      </c>
    </row>
    <row r="43" customFormat="false" ht="15" hidden="false" customHeight="false" outlineLevel="0" collapsed="false">
      <c r="A43" s="7" t="s">
        <v>26</v>
      </c>
      <c r="B43" s="9"/>
      <c r="C43" s="9"/>
      <c r="D43" s="9"/>
      <c r="E43" s="9"/>
      <c r="F43" s="23" t="n">
        <v>0.475</v>
      </c>
      <c r="G43" s="23" t="n">
        <v>0.48</v>
      </c>
      <c r="H43" s="23" t="n">
        <v>0.485</v>
      </c>
      <c r="I43" s="23" t="n">
        <v>0.49</v>
      </c>
      <c r="J43" s="23" t="n">
        <v>0.495</v>
      </c>
      <c r="K43" s="23" t="n">
        <v>0.5</v>
      </c>
      <c r="L43" s="23" t="n">
        <v>0.5</v>
      </c>
      <c r="M43" s="23" t="n">
        <v>0.5</v>
      </c>
      <c r="N43" s="23" t="n">
        <v>0.5</v>
      </c>
      <c r="O43" s="24" t="n">
        <v>0.5</v>
      </c>
    </row>
    <row r="44" customFormat="false" ht="15" hidden="false" customHeight="false" outlineLevel="0" collapsed="false">
      <c r="A44" s="7" t="s">
        <v>27</v>
      </c>
      <c r="B44" s="9"/>
      <c r="C44" s="9"/>
      <c r="D44" s="9"/>
      <c r="E44" s="9"/>
      <c r="F44" s="23" t="n">
        <v>0.125</v>
      </c>
      <c r="G44" s="23" t="n">
        <v>0.13</v>
      </c>
      <c r="H44" s="23" t="n">
        <v>0.135</v>
      </c>
      <c r="I44" s="23" t="n">
        <v>0.135</v>
      </c>
      <c r="J44" s="23" t="n">
        <v>0.135</v>
      </c>
      <c r="K44" s="23" t="n">
        <v>0.13</v>
      </c>
      <c r="L44" s="23" t="n">
        <v>0.125</v>
      </c>
      <c r="M44" s="23" t="n">
        <v>0.12</v>
      </c>
      <c r="N44" s="23" t="n">
        <v>0.115</v>
      </c>
      <c r="O44" s="24" t="n">
        <v>0.115</v>
      </c>
    </row>
    <row r="45" customFormat="false" ht="15" hidden="false" customHeight="false" outlineLevel="0" collapsed="false">
      <c r="A45" s="7" t="s">
        <v>28</v>
      </c>
      <c r="B45" s="9"/>
      <c r="C45" s="9"/>
      <c r="D45" s="9"/>
      <c r="E45" s="9"/>
      <c r="F45" s="23" t="n">
        <v>0.31</v>
      </c>
      <c r="G45" s="23" t="n">
        <v>0.27</v>
      </c>
      <c r="H45" s="23" t="n">
        <v>0.23</v>
      </c>
      <c r="I45" s="23" t="n">
        <v>0.19</v>
      </c>
      <c r="J45" s="23" t="n">
        <v>0.16</v>
      </c>
      <c r="K45" s="23" t="n">
        <v>0.145</v>
      </c>
      <c r="L45" s="23" t="n">
        <v>0.135</v>
      </c>
      <c r="M45" s="23" t="n">
        <v>0.125</v>
      </c>
      <c r="N45" s="23" t="n">
        <v>0.12</v>
      </c>
      <c r="O45" s="24" t="n">
        <v>0.115</v>
      </c>
    </row>
    <row r="46" customFormat="false" ht="15" hidden="false" customHeight="false" outlineLevel="0" collapsed="false">
      <c r="A46" s="7" t="s">
        <v>29</v>
      </c>
      <c r="B46" s="9"/>
      <c r="C46" s="9"/>
      <c r="D46" s="9"/>
      <c r="E46" s="9"/>
      <c r="F46" s="23" t="n">
        <v>0.08</v>
      </c>
      <c r="G46" s="23" t="n">
        <v>0.08</v>
      </c>
      <c r="H46" s="23" t="n">
        <v>0.08</v>
      </c>
      <c r="I46" s="23" t="n">
        <v>0.08</v>
      </c>
      <c r="J46" s="23" t="n">
        <v>0.08</v>
      </c>
      <c r="K46" s="23" t="n">
        <v>0.08</v>
      </c>
      <c r="L46" s="23" t="n">
        <v>0.08</v>
      </c>
      <c r="M46" s="23" t="n">
        <v>0.08</v>
      </c>
      <c r="N46" s="23" t="n">
        <v>0.08</v>
      </c>
      <c r="O46" s="24" t="n">
        <v>0.08</v>
      </c>
    </row>
    <row r="47" customFormat="false" ht="15" hidden="false" customHeight="false" outlineLevel="0" collapsed="false">
      <c r="A47" s="7" t="s">
        <v>30</v>
      </c>
      <c r="B47" s="9"/>
      <c r="C47" s="9"/>
      <c r="D47" s="9"/>
      <c r="E47" s="9"/>
      <c r="F47" s="23" t="n">
        <v>0.19</v>
      </c>
      <c r="G47" s="23" t="n">
        <v>0.19</v>
      </c>
      <c r="H47" s="23" t="n">
        <v>0.19</v>
      </c>
      <c r="I47" s="23" t="n">
        <v>0.19</v>
      </c>
      <c r="J47" s="23" t="n">
        <v>0.19</v>
      </c>
      <c r="K47" s="23" t="n">
        <v>0.19</v>
      </c>
      <c r="L47" s="23" t="n">
        <v>0.19</v>
      </c>
      <c r="M47" s="23" t="n">
        <v>0.19</v>
      </c>
      <c r="N47" s="23" t="n">
        <v>0.19</v>
      </c>
      <c r="O47" s="24" t="n">
        <v>0.19</v>
      </c>
    </row>
    <row r="48" customFormat="false" ht="15" hidden="false" customHeight="false" outlineLevel="0" collapsed="false">
      <c r="A48" s="7" t="s">
        <v>31</v>
      </c>
      <c r="B48" s="25" t="n">
        <v>-0.005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10"/>
    </row>
    <row r="49" customFormat="false" ht="15" hidden="false" customHeight="false" outlineLevel="0" collapsed="false">
      <c r="A49" s="26" t="s">
        <v>32</v>
      </c>
      <c r="B49" s="27" t="n">
        <v>0.035</v>
      </c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9"/>
    </row>
    <row r="51" customFormat="false" ht="15" hidden="false" customHeight="false" outlineLevel="0" collapsed="false">
      <c r="A51" s="6" t="s">
        <v>35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</row>
    <row r="52" customFormat="false" ht="15" hidden="false" customHeight="false" outlineLevel="0" collapsed="false">
      <c r="A52" s="20" t="s">
        <v>14</v>
      </c>
      <c r="B52" s="21"/>
      <c r="C52" s="21"/>
      <c r="D52" s="21"/>
      <c r="E52" s="21"/>
      <c r="F52" s="21" t="s">
        <v>15</v>
      </c>
      <c r="G52" s="21" t="s">
        <v>16</v>
      </c>
      <c r="H52" s="21" t="s">
        <v>17</v>
      </c>
      <c r="I52" s="21" t="s">
        <v>18</v>
      </c>
      <c r="J52" s="21" t="s">
        <v>19</v>
      </c>
      <c r="K52" s="21" t="s">
        <v>20</v>
      </c>
      <c r="L52" s="21" t="s">
        <v>21</v>
      </c>
      <c r="M52" s="21" t="s">
        <v>22</v>
      </c>
      <c r="N52" s="21" t="s">
        <v>23</v>
      </c>
      <c r="O52" s="22" t="s">
        <v>24</v>
      </c>
    </row>
    <row r="53" customFormat="false" ht="15" hidden="false" customHeight="false" outlineLevel="0" collapsed="false">
      <c r="A53" s="7" t="s">
        <v>25</v>
      </c>
      <c r="B53" s="9"/>
      <c r="C53" s="9"/>
      <c r="D53" s="9"/>
      <c r="E53" s="9"/>
      <c r="F53" s="28" t="n">
        <f aca="false">CHOOSE($B$4,F20,F31,F42)</f>
        <v>0.16</v>
      </c>
      <c r="G53" s="28" t="n">
        <f aca="false">CHOOSE($B$4,G20,G31,G42)</f>
        <v>0.15</v>
      </c>
      <c r="H53" s="28" t="n">
        <f aca="false">CHOOSE($B$4,H20,H31,H42)</f>
        <v>0.14</v>
      </c>
      <c r="I53" s="28" t="n">
        <f aca="false">CHOOSE($B$4,I20,I31,I42)</f>
        <v>0.13</v>
      </c>
      <c r="J53" s="28" t="n">
        <f aca="false">CHOOSE($B$4,J20,J31,J42)</f>
        <v>0.12</v>
      </c>
      <c r="K53" s="28" t="n">
        <f aca="false">CHOOSE($B$4,K20,K31,K42)</f>
        <v>0.11</v>
      </c>
      <c r="L53" s="28" t="n">
        <f aca="false">CHOOSE($B$4,L20,L31,L42)</f>
        <v>0.1</v>
      </c>
      <c r="M53" s="28" t="n">
        <f aca="false">CHOOSE($B$4,M20,M31,M42)</f>
        <v>0.08</v>
      </c>
      <c r="N53" s="28" t="n">
        <f aca="false">CHOOSE($B$4,N20,N31,N42)</f>
        <v>0.06</v>
      </c>
      <c r="O53" s="29" t="n">
        <f aca="false">CHOOSE($B$4,O20,O31,O42)</f>
        <v>0.045</v>
      </c>
    </row>
    <row r="54" customFormat="false" ht="15" hidden="false" customHeight="false" outlineLevel="0" collapsed="false">
      <c r="A54" s="7" t="s">
        <v>26</v>
      </c>
      <c r="B54" s="9"/>
      <c r="C54" s="9"/>
      <c r="D54" s="9"/>
      <c r="E54" s="9"/>
      <c r="F54" s="28" t="n">
        <f aca="false">CHOOSE($B$4,F21,F32,F43)</f>
        <v>0.465</v>
      </c>
      <c r="G54" s="28" t="n">
        <f aca="false">CHOOSE($B$4,G21,G32,G43)</f>
        <v>0.465</v>
      </c>
      <c r="H54" s="28" t="n">
        <f aca="false">CHOOSE($B$4,H21,H32,H43)</f>
        <v>0.47</v>
      </c>
      <c r="I54" s="28" t="n">
        <f aca="false">CHOOSE($B$4,I21,I32,I43)</f>
        <v>0.475</v>
      </c>
      <c r="J54" s="28" t="n">
        <f aca="false">CHOOSE($B$4,J21,J32,J43)</f>
        <v>0.48</v>
      </c>
      <c r="K54" s="28" t="n">
        <f aca="false">CHOOSE($B$4,K21,K32,K43)</f>
        <v>0.48</v>
      </c>
      <c r="L54" s="28" t="n">
        <f aca="false">CHOOSE($B$4,L21,L32,L43)</f>
        <v>0.48</v>
      </c>
      <c r="M54" s="28" t="n">
        <f aca="false">CHOOSE($B$4,M21,M32,M43)</f>
        <v>0.48</v>
      </c>
      <c r="N54" s="28" t="n">
        <f aca="false">CHOOSE($B$4,N21,N32,N43)</f>
        <v>0.48</v>
      </c>
      <c r="O54" s="29" t="n">
        <f aca="false">CHOOSE($B$4,O21,O32,O43)</f>
        <v>0.48</v>
      </c>
    </row>
    <row r="55" customFormat="false" ht="15" hidden="false" customHeight="false" outlineLevel="0" collapsed="false">
      <c r="A55" s="7" t="s">
        <v>27</v>
      </c>
      <c r="B55" s="9"/>
      <c r="C55" s="9"/>
      <c r="D55" s="9"/>
      <c r="E55" s="9"/>
      <c r="F55" s="28" t="n">
        <f aca="false">CHOOSE($B$4,F22,F33,F44)</f>
        <v>0.125</v>
      </c>
      <c r="G55" s="28" t="n">
        <f aca="false">CHOOSE($B$4,G22,G33,G44)</f>
        <v>0.135</v>
      </c>
      <c r="H55" s="28" t="n">
        <f aca="false">CHOOSE($B$4,H22,H33,H44)</f>
        <v>0.14</v>
      </c>
      <c r="I55" s="28" t="n">
        <f aca="false">CHOOSE($B$4,I22,I33,I44)</f>
        <v>0.14</v>
      </c>
      <c r="J55" s="28" t="n">
        <f aca="false">CHOOSE($B$4,J22,J33,J44)</f>
        <v>0.14</v>
      </c>
      <c r="K55" s="28" t="n">
        <f aca="false">CHOOSE($B$4,K22,K33,K44)</f>
        <v>0.135</v>
      </c>
      <c r="L55" s="28" t="n">
        <f aca="false">CHOOSE($B$4,L22,L33,L44)</f>
        <v>0.13</v>
      </c>
      <c r="M55" s="28" t="n">
        <f aca="false">CHOOSE($B$4,M22,M33,M44)</f>
        <v>0.125</v>
      </c>
      <c r="N55" s="28" t="n">
        <f aca="false">CHOOSE($B$4,N22,N33,N44)</f>
        <v>0.12</v>
      </c>
      <c r="O55" s="29" t="n">
        <f aca="false">CHOOSE($B$4,O22,O33,O44)</f>
        <v>0.12</v>
      </c>
    </row>
    <row r="56" customFormat="false" ht="15" hidden="false" customHeight="false" outlineLevel="0" collapsed="false">
      <c r="A56" s="7" t="s">
        <v>28</v>
      </c>
      <c r="B56" s="9"/>
      <c r="C56" s="9"/>
      <c r="D56" s="9"/>
      <c r="E56" s="9"/>
      <c r="F56" s="28" t="n">
        <f aca="false">CHOOSE($B$4,F23,F34,F45)</f>
        <v>0.33</v>
      </c>
      <c r="G56" s="28" t="n">
        <f aca="false">CHOOSE($B$4,G23,G34,G45)</f>
        <v>0.3</v>
      </c>
      <c r="H56" s="28" t="n">
        <f aca="false">CHOOSE($B$4,H23,H34,H45)</f>
        <v>0.26</v>
      </c>
      <c r="I56" s="28" t="n">
        <f aca="false">CHOOSE($B$4,I23,I34,I45)</f>
        <v>0.22</v>
      </c>
      <c r="J56" s="28" t="n">
        <f aca="false">CHOOSE($B$4,J23,J34,J45)</f>
        <v>0.19</v>
      </c>
      <c r="K56" s="28" t="n">
        <f aca="false">CHOOSE($B$4,K23,K34,K45)</f>
        <v>0.17</v>
      </c>
      <c r="L56" s="28" t="n">
        <f aca="false">CHOOSE($B$4,L23,L34,L45)</f>
        <v>0.155</v>
      </c>
      <c r="M56" s="28" t="n">
        <f aca="false">CHOOSE($B$4,M23,M34,M45)</f>
        <v>0.145</v>
      </c>
      <c r="N56" s="28" t="n">
        <f aca="false">CHOOSE($B$4,N23,N34,N45)</f>
        <v>0.135</v>
      </c>
      <c r="O56" s="29" t="n">
        <f aca="false">CHOOSE($B$4,O23,O34,O45)</f>
        <v>0.13</v>
      </c>
    </row>
    <row r="57" customFormat="false" ht="15" hidden="false" customHeight="false" outlineLevel="0" collapsed="false">
      <c r="A57" s="7" t="s">
        <v>29</v>
      </c>
      <c r="B57" s="9"/>
      <c r="C57" s="9"/>
      <c r="D57" s="9"/>
      <c r="E57" s="9"/>
      <c r="F57" s="28" t="n">
        <f aca="false">CHOOSE($B$4,F24,F35,F46)</f>
        <v>0.08</v>
      </c>
      <c r="G57" s="28" t="n">
        <f aca="false">CHOOSE($B$4,G24,G35,G46)</f>
        <v>0.08</v>
      </c>
      <c r="H57" s="28" t="n">
        <f aca="false">CHOOSE($B$4,H24,H35,H46)</f>
        <v>0.08</v>
      </c>
      <c r="I57" s="28" t="n">
        <f aca="false">CHOOSE($B$4,I24,I35,I46)</f>
        <v>0.08</v>
      </c>
      <c r="J57" s="28" t="n">
        <f aca="false">CHOOSE($B$4,J24,J35,J46)</f>
        <v>0.08</v>
      </c>
      <c r="K57" s="28" t="n">
        <f aca="false">CHOOSE($B$4,K24,K35,K46)</f>
        <v>0.08</v>
      </c>
      <c r="L57" s="28" t="n">
        <f aca="false">CHOOSE($B$4,L24,L35,L46)</f>
        <v>0.08</v>
      </c>
      <c r="M57" s="28" t="n">
        <f aca="false">CHOOSE($B$4,M24,M35,M46)</f>
        <v>0.08</v>
      </c>
      <c r="N57" s="28" t="n">
        <f aca="false">CHOOSE($B$4,N24,N35,N46)</f>
        <v>0.08</v>
      </c>
      <c r="O57" s="29" t="n">
        <f aca="false">CHOOSE($B$4,O24,O35,O46)</f>
        <v>0.08</v>
      </c>
    </row>
    <row r="58" customFormat="false" ht="15" hidden="false" customHeight="false" outlineLevel="0" collapsed="false">
      <c r="A58" s="7" t="s">
        <v>30</v>
      </c>
      <c r="B58" s="9"/>
      <c r="C58" s="9"/>
      <c r="D58" s="9"/>
      <c r="E58" s="9"/>
      <c r="F58" s="28" t="n">
        <f aca="false">CHOOSE($B$4,F25,F36,F47)</f>
        <v>0.19</v>
      </c>
      <c r="G58" s="28" t="n">
        <f aca="false">CHOOSE($B$4,G25,G36,G47)</f>
        <v>0.19</v>
      </c>
      <c r="H58" s="28" t="n">
        <f aca="false">CHOOSE($B$4,H25,H36,H47)</f>
        <v>0.19</v>
      </c>
      <c r="I58" s="28" t="n">
        <f aca="false">CHOOSE($B$4,I25,I36,I47)</f>
        <v>0.19</v>
      </c>
      <c r="J58" s="28" t="n">
        <f aca="false">CHOOSE($B$4,J25,J36,J47)</f>
        <v>0.19</v>
      </c>
      <c r="K58" s="28" t="n">
        <f aca="false">CHOOSE($B$4,K25,K36,K47)</f>
        <v>0.19</v>
      </c>
      <c r="L58" s="28" t="n">
        <f aca="false">CHOOSE($B$4,L25,L36,L47)</f>
        <v>0.19</v>
      </c>
      <c r="M58" s="28" t="n">
        <f aca="false">CHOOSE($B$4,M25,M36,M47)</f>
        <v>0.19</v>
      </c>
      <c r="N58" s="28" t="n">
        <f aca="false">CHOOSE($B$4,N25,N36,N47)</f>
        <v>0.19</v>
      </c>
      <c r="O58" s="29" t="n">
        <f aca="false">CHOOSE($B$4,O25,O36,O47)</f>
        <v>0.19</v>
      </c>
    </row>
    <row r="59" customFormat="false" ht="15" hidden="false" customHeight="false" outlineLevel="0" collapsed="false">
      <c r="A59" s="7" t="s">
        <v>36</v>
      </c>
      <c r="B59" s="30" t="n">
        <f aca="false">CHOOSE($B$4,B26,B37,B48)</f>
        <v>0</v>
      </c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10"/>
    </row>
    <row r="60" customFormat="false" ht="15" hidden="false" customHeight="false" outlineLevel="0" collapsed="false">
      <c r="A60" s="26" t="s">
        <v>37</v>
      </c>
      <c r="B60" s="31" t="n">
        <f aca="false">CHOOSE($B$4,B27,B38,B49)</f>
        <v>0.03</v>
      </c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9"/>
    </row>
    <row r="62" customFormat="false" ht="15" hidden="false" customHeight="false" outlineLevel="0" collapsed="false">
      <c r="A62" s="6" t="s">
        <v>38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</row>
    <row r="63" customFormat="false" ht="15" hidden="false" customHeight="false" outlineLevel="0" collapsed="false">
      <c r="A63" s="20" t="s">
        <v>39</v>
      </c>
      <c r="B63" s="21"/>
      <c r="C63" s="21" t="s">
        <v>40</v>
      </c>
      <c r="D63" s="21" t="s">
        <v>41</v>
      </c>
      <c r="E63" s="21" t="s">
        <v>42</v>
      </c>
      <c r="F63" s="21" t="s">
        <v>15</v>
      </c>
      <c r="G63" s="21" t="s">
        <v>16</v>
      </c>
      <c r="H63" s="21" t="s">
        <v>17</v>
      </c>
      <c r="I63" s="21" t="s">
        <v>18</v>
      </c>
      <c r="J63" s="21" t="s">
        <v>19</v>
      </c>
      <c r="K63" s="21" t="s">
        <v>20</v>
      </c>
      <c r="L63" s="21" t="s">
        <v>21</v>
      </c>
      <c r="M63" s="21" t="s">
        <v>22</v>
      </c>
      <c r="N63" s="21" t="s">
        <v>23</v>
      </c>
      <c r="O63" s="22" t="s">
        <v>24</v>
      </c>
    </row>
    <row r="64" customFormat="false" ht="15" hidden="false" customHeight="false" outlineLevel="0" collapsed="false">
      <c r="A64" s="14" t="s">
        <v>43</v>
      </c>
      <c r="B64" s="9"/>
      <c r="C64" s="11" t="n">
        <v>245122</v>
      </c>
      <c r="D64" s="11" t="n">
        <v>281724</v>
      </c>
      <c r="E64" s="11" t="n">
        <v>331839</v>
      </c>
      <c r="F64" s="12" t="n">
        <f aca="false">E64*(1+F53)</f>
        <v>384933.24</v>
      </c>
      <c r="G64" s="12" t="n">
        <f aca="false">F64*(1+G53)</f>
        <v>442673.226</v>
      </c>
      <c r="H64" s="12" t="n">
        <f aca="false">G64*(1+H53)</f>
        <v>504647.47764</v>
      </c>
      <c r="I64" s="12" t="n">
        <f aca="false">H64*(1+I53)</f>
        <v>570251.6497332</v>
      </c>
      <c r="J64" s="12" t="n">
        <f aca="false">I64*(1+J53)</f>
        <v>638681.847701184</v>
      </c>
      <c r="K64" s="12" t="n">
        <f aca="false">J64*(1+K53)</f>
        <v>708936.850948314</v>
      </c>
      <c r="L64" s="12" t="n">
        <f aca="false">K64*(1+L53)</f>
        <v>779830.536043146</v>
      </c>
      <c r="M64" s="12" t="n">
        <f aca="false">L64*(1+M53)</f>
        <v>842216.978926598</v>
      </c>
      <c r="N64" s="12" t="n">
        <f aca="false">M64*(1+N53)</f>
        <v>892749.997662193</v>
      </c>
      <c r="O64" s="32" t="n">
        <f aca="false">N64*(1+O53)</f>
        <v>932923.747556992</v>
      </c>
    </row>
    <row r="65" customFormat="false" ht="15" hidden="false" customHeight="false" outlineLevel="0" collapsed="false">
      <c r="A65" s="7" t="s">
        <v>44</v>
      </c>
      <c r="B65" s="9"/>
      <c r="C65" s="9"/>
      <c r="D65" s="28" t="n">
        <f aca="false">D64/C64-1</f>
        <v>0.149321562324067</v>
      </c>
      <c r="E65" s="28" t="n">
        <f aca="false">E64/D64-1</f>
        <v>0.177886867998467</v>
      </c>
      <c r="F65" s="28" t="n">
        <f aca="false">F64/E64-1</f>
        <v>0.16</v>
      </c>
      <c r="G65" s="28" t="n">
        <f aca="false">G64/F64-1</f>
        <v>0.15</v>
      </c>
      <c r="H65" s="28" t="n">
        <f aca="false">H64/G64-1</f>
        <v>0.14</v>
      </c>
      <c r="I65" s="28" t="n">
        <f aca="false">I64/H64-1</f>
        <v>0.13</v>
      </c>
      <c r="J65" s="28" t="n">
        <f aca="false">J64/I64-1</f>
        <v>0.12</v>
      </c>
      <c r="K65" s="28" t="n">
        <f aca="false">K64/J64-1</f>
        <v>0.11</v>
      </c>
      <c r="L65" s="28" t="n">
        <f aca="false">L64/K64-1</f>
        <v>0.1</v>
      </c>
      <c r="M65" s="28" t="n">
        <f aca="false">M64/L64-1</f>
        <v>0.0800000000000001</v>
      </c>
      <c r="N65" s="28" t="n">
        <f aca="false">N64/M64-1</f>
        <v>0.0600000000000001</v>
      </c>
      <c r="O65" s="29" t="n">
        <f aca="false">O64/N64-1</f>
        <v>0.0449999999999999</v>
      </c>
    </row>
    <row r="66" customFormat="false" ht="15" hidden="false" customHeight="false" outlineLevel="0" collapsed="false">
      <c r="A66" s="14" t="s">
        <v>45</v>
      </c>
      <c r="B66" s="9"/>
      <c r="C66" s="11" t="n">
        <v>109433</v>
      </c>
      <c r="D66" s="11" t="n">
        <v>128528</v>
      </c>
      <c r="E66" s="11" t="n">
        <v>155237</v>
      </c>
      <c r="F66" s="12" t="n">
        <f aca="false">F64*F54</f>
        <v>178993.9566</v>
      </c>
      <c r="G66" s="12" t="n">
        <f aca="false">G64*G54</f>
        <v>205843.05009</v>
      </c>
      <c r="H66" s="12" t="n">
        <f aca="false">H64*H54</f>
        <v>237184.3144908</v>
      </c>
      <c r="I66" s="12" t="n">
        <f aca="false">I64*I54</f>
        <v>270869.53362327</v>
      </c>
      <c r="J66" s="12" t="n">
        <f aca="false">J64*J54</f>
        <v>306567.286896568</v>
      </c>
      <c r="K66" s="12" t="n">
        <f aca="false">K64*K54</f>
        <v>340289.688455191</v>
      </c>
      <c r="L66" s="12" t="n">
        <f aca="false">L64*L54</f>
        <v>374318.65730071</v>
      </c>
      <c r="M66" s="12" t="n">
        <f aca="false">M64*M54</f>
        <v>404264.149884767</v>
      </c>
      <c r="N66" s="12" t="n">
        <f aca="false">N64*N54</f>
        <v>428519.998877853</v>
      </c>
      <c r="O66" s="32" t="n">
        <f aca="false">O64*O54</f>
        <v>447803.398827356</v>
      </c>
    </row>
    <row r="67" customFormat="false" ht="15" hidden="false" customHeight="false" outlineLevel="0" collapsed="false">
      <c r="A67" s="7" t="s">
        <v>46</v>
      </c>
      <c r="B67" s="9"/>
      <c r="C67" s="28" t="n">
        <f aca="false">C66/C64</f>
        <v>0.446442995732737</v>
      </c>
      <c r="D67" s="28" t="n">
        <f aca="false">D66/D64</f>
        <v>0.456219562408599</v>
      </c>
      <c r="E67" s="28" t="n">
        <f aca="false">E66/E64</f>
        <v>0.467808184089272</v>
      </c>
      <c r="F67" s="28" t="n">
        <f aca="false">F66/F64</f>
        <v>0.465</v>
      </c>
      <c r="G67" s="28" t="n">
        <f aca="false">G66/G64</f>
        <v>0.465</v>
      </c>
      <c r="H67" s="28" t="n">
        <f aca="false">H66/H64</f>
        <v>0.47</v>
      </c>
      <c r="I67" s="28" t="n">
        <f aca="false">I66/I64</f>
        <v>0.475</v>
      </c>
      <c r="J67" s="28" t="n">
        <f aca="false">J66/J64</f>
        <v>0.48</v>
      </c>
      <c r="K67" s="28" t="n">
        <f aca="false">K66/K64</f>
        <v>0.48</v>
      </c>
      <c r="L67" s="28" t="n">
        <f aca="false">L66/L64</f>
        <v>0.48</v>
      </c>
      <c r="M67" s="28" t="n">
        <f aca="false">M66/M64</f>
        <v>0.48</v>
      </c>
      <c r="N67" s="28" t="n">
        <f aca="false">N66/N64</f>
        <v>0.48</v>
      </c>
      <c r="O67" s="29" t="n">
        <f aca="false">O66/O64</f>
        <v>0.48</v>
      </c>
    </row>
    <row r="68" customFormat="false" ht="15" hidden="false" customHeight="false" outlineLevel="0" collapsed="false">
      <c r="A68" s="7" t="s">
        <v>47</v>
      </c>
      <c r="B68" s="9"/>
      <c r="C68" s="9"/>
      <c r="D68" s="9"/>
      <c r="E68" s="9"/>
      <c r="F68" s="12" t="n">
        <f aca="false">F66*F58</f>
        <v>34008.851754</v>
      </c>
      <c r="G68" s="12" t="n">
        <f aca="false">G66*G58</f>
        <v>39110.1795171</v>
      </c>
      <c r="H68" s="12" t="n">
        <f aca="false">H66*H58</f>
        <v>45065.019753252</v>
      </c>
      <c r="I68" s="12" t="n">
        <f aca="false">I66*I58</f>
        <v>51465.2113884213</v>
      </c>
      <c r="J68" s="12" t="n">
        <f aca="false">J66*J58</f>
        <v>58247.784510348</v>
      </c>
      <c r="K68" s="12" t="n">
        <f aca="false">K66*K58</f>
        <v>64655.0408064863</v>
      </c>
      <c r="L68" s="12" t="n">
        <f aca="false">L66*L58</f>
        <v>71120.5448871349</v>
      </c>
      <c r="M68" s="12" t="n">
        <f aca="false">M66*M58</f>
        <v>76810.1884781057</v>
      </c>
      <c r="N68" s="12" t="n">
        <f aca="false">N66*N58</f>
        <v>81418.799786792</v>
      </c>
      <c r="O68" s="32" t="n">
        <f aca="false">O66*O58</f>
        <v>85082.6457771977</v>
      </c>
    </row>
    <row r="69" customFormat="false" ht="15" hidden="false" customHeight="false" outlineLevel="0" collapsed="false">
      <c r="A69" s="14" t="s">
        <v>48</v>
      </c>
      <c r="B69" s="9"/>
      <c r="C69" s="9"/>
      <c r="D69" s="9"/>
      <c r="E69" s="9"/>
      <c r="F69" s="12" t="n">
        <f aca="false">F66-F68</f>
        <v>144985.104846</v>
      </c>
      <c r="G69" s="12" t="n">
        <f aca="false">G66-G68</f>
        <v>166732.8705729</v>
      </c>
      <c r="H69" s="12" t="n">
        <f aca="false">H66-H68</f>
        <v>192119.294737548</v>
      </c>
      <c r="I69" s="12" t="n">
        <f aca="false">I66-I68</f>
        <v>219404.322234849</v>
      </c>
      <c r="J69" s="12" t="n">
        <f aca="false">J66-J68</f>
        <v>248319.50238622</v>
      </c>
      <c r="K69" s="12" t="n">
        <f aca="false">K66-K68</f>
        <v>275634.647648705</v>
      </c>
      <c r="L69" s="12" t="n">
        <f aca="false">L66-L68</f>
        <v>303198.112413575</v>
      </c>
      <c r="M69" s="12" t="n">
        <f aca="false">M66-M68</f>
        <v>327453.961406661</v>
      </c>
      <c r="N69" s="12" t="n">
        <f aca="false">N66-N68</f>
        <v>347101.199091061</v>
      </c>
      <c r="O69" s="32" t="n">
        <f aca="false">O66-O68</f>
        <v>362720.753050158</v>
      </c>
    </row>
    <row r="70" customFormat="false" ht="15" hidden="false" customHeight="false" outlineLevel="0" collapsed="false">
      <c r="A70" s="7" t="s">
        <v>49</v>
      </c>
      <c r="B70" s="9"/>
      <c r="C70" s="11" t="n">
        <v>22287</v>
      </c>
      <c r="D70" s="11" t="n">
        <v>29433</v>
      </c>
      <c r="E70" s="11" t="n">
        <v>38534</v>
      </c>
      <c r="F70" s="12" t="n">
        <f aca="false">F64*F55</f>
        <v>48116.655</v>
      </c>
      <c r="G70" s="12" t="n">
        <f aca="false">G64*G55</f>
        <v>59760.88551</v>
      </c>
      <c r="H70" s="12" t="n">
        <f aca="false">H64*H55</f>
        <v>70650.6468696</v>
      </c>
      <c r="I70" s="12" t="n">
        <f aca="false">I64*I55</f>
        <v>79835.230962648</v>
      </c>
      <c r="J70" s="12" t="n">
        <f aca="false">J64*J55</f>
        <v>89415.4586781658</v>
      </c>
      <c r="K70" s="12" t="n">
        <f aca="false">K64*K55</f>
        <v>95706.4748780224</v>
      </c>
      <c r="L70" s="12" t="n">
        <f aca="false">L64*L55</f>
        <v>101377.969685609</v>
      </c>
      <c r="M70" s="12" t="n">
        <f aca="false">M64*M55</f>
        <v>105277.122365825</v>
      </c>
      <c r="N70" s="12" t="n">
        <f aca="false">N64*N55</f>
        <v>107129.999719463</v>
      </c>
      <c r="O70" s="32" t="n">
        <f aca="false">O64*O55</f>
        <v>111950.849706839</v>
      </c>
    </row>
    <row r="71" customFormat="false" ht="15" hidden="false" customHeight="false" outlineLevel="0" collapsed="false">
      <c r="A71" s="7" t="s">
        <v>50</v>
      </c>
      <c r="B71" s="9"/>
      <c r="C71" s="28" t="n">
        <f aca="false">C70/C64</f>
        <v>0.0909220714582942</v>
      </c>
      <c r="D71" s="28" t="n">
        <f aca="false">D70/D64</f>
        <v>0.104474592154023</v>
      </c>
      <c r="E71" s="28" t="n">
        <f aca="false">E70/E64</f>
        <v>0.116122577515</v>
      </c>
      <c r="F71" s="28" t="n">
        <f aca="false">F70/F64</f>
        <v>0.125</v>
      </c>
      <c r="G71" s="28" t="n">
        <f aca="false">G70/G64</f>
        <v>0.135</v>
      </c>
      <c r="H71" s="28" t="n">
        <f aca="false">H70/H64</f>
        <v>0.14</v>
      </c>
      <c r="I71" s="28" t="n">
        <f aca="false">I70/I64</f>
        <v>0.14</v>
      </c>
      <c r="J71" s="28" t="n">
        <f aca="false">J70/J64</f>
        <v>0.14</v>
      </c>
      <c r="K71" s="28" t="n">
        <f aca="false">K70/K64</f>
        <v>0.135</v>
      </c>
      <c r="L71" s="28" t="n">
        <f aca="false">L70/L64</f>
        <v>0.13</v>
      </c>
      <c r="M71" s="28" t="n">
        <f aca="false">M70/M64</f>
        <v>0.125</v>
      </c>
      <c r="N71" s="28" t="n">
        <f aca="false">N70/N64</f>
        <v>0.12</v>
      </c>
      <c r="O71" s="29" t="n">
        <f aca="false">O70/O64</f>
        <v>0.12</v>
      </c>
    </row>
    <row r="72" customFormat="false" ht="15" hidden="false" customHeight="false" outlineLevel="0" collapsed="false">
      <c r="A72" s="7" t="s">
        <v>51</v>
      </c>
      <c r="B72" s="9"/>
      <c r="C72" s="12" t="n">
        <f aca="false">C66+C70</f>
        <v>131720</v>
      </c>
      <c r="D72" s="12" t="n">
        <f aca="false">D66+D70</f>
        <v>157961</v>
      </c>
      <c r="E72" s="12" t="n">
        <f aca="false">E66+E70</f>
        <v>193771</v>
      </c>
      <c r="F72" s="12" t="n">
        <f aca="false">F66+F70</f>
        <v>227110.6116</v>
      </c>
      <c r="G72" s="12" t="n">
        <f aca="false">G66+G70</f>
        <v>265603.9356</v>
      </c>
      <c r="H72" s="12" t="n">
        <f aca="false">H66+H70</f>
        <v>307834.9613604</v>
      </c>
      <c r="I72" s="12" t="n">
        <f aca="false">I66+I70</f>
        <v>350704.764585918</v>
      </c>
      <c r="J72" s="12" t="n">
        <f aca="false">J66+J70</f>
        <v>395982.745574734</v>
      </c>
      <c r="K72" s="12" t="n">
        <f aca="false">K66+K70</f>
        <v>435996.163333213</v>
      </c>
      <c r="L72" s="12" t="n">
        <f aca="false">L66+L70</f>
        <v>475696.626986319</v>
      </c>
      <c r="M72" s="12" t="n">
        <f aca="false">M66+M70</f>
        <v>509541.272250592</v>
      </c>
      <c r="N72" s="12" t="n">
        <f aca="false">N66+N70</f>
        <v>535649.998597316</v>
      </c>
      <c r="O72" s="32" t="n">
        <f aca="false">O66+O70</f>
        <v>559754.248534195</v>
      </c>
    </row>
    <row r="73" customFormat="false" ht="15" hidden="false" customHeight="false" outlineLevel="0" collapsed="false">
      <c r="A73" s="7" t="s">
        <v>52</v>
      </c>
      <c r="B73" s="9"/>
      <c r="C73" s="11" t="n">
        <v>44477</v>
      </c>
      <c r="D73" s="11" t="n">
        <v>64551</v>
      </c>
      <c r="E73" s="11" t="n">
        <v>115948</v>
      </c>
      <c r="F73" s="12" t="n">
        <f aca="false">F64*F56</f>
        <v>127027.9692</v>
      </c>
      <c r="G73" s="12" t="n">
        <f aca="false">G64*G56</f>
        <v>132801.9678</v>
      </c>
      <c r="H73" s="12" t="n">
        <f aca="false">H64*H56</f>
        <v>131208.3441864</v>
      </c>
      <c r="I73" s="12" t="n">
        <f aca="false">I64*I56</f>
        <v>125455.362941304</v>
      </c>
      <c r="J73" s="12" t="n">
        <f aca="false">J64*J56</f>
        <v>121349.551063225</v>
      </c>
      <c r="K73" s="12" t="n">
        <f aca="false">K64*K56</f>
        <v>120519.264661213</v>
      </c>
      <c r="L73" s="12" t="n">
        <f aca="false">L64*L56</f>
        <v>120873.733086688</v>
      </c>
      <c r="M73" s="12" t="n">
        <f aca="false">M64*M56</f>
        <v>122121.461944357</v>
      </c>
      <c r="N73" s="12" t="n">
        <f aca="false">N64*N56</f>
        <v>120521.249684396</v>
      </c>
      <c r="O73" s="32" t="n">
        <f aca="false">O64*O56</f>
        <v>121280.087182409</v>
      </c>
    </row>
    <row r="74" customFormat="false" ht="15" hidden="false" customHeight="false" outlineLevel="0" collapsed="false">
      <c r="A74" s="7" t="s">
        <v>50</v>
      </c>
      <c r="B74" s="9"/>
      <c r="C74" s="28" t="n">
        <f aca="false">C73/C64</f>
        <v>0.181448421602304</v>
      </c>
      <c r="D74" s="28" t="n">
        <f aca="false">D73/D64</f>
        <v>0.229128508753248</v>
      </c>
      <c r="E74" s="28" t="n">
        <f aca="false">E73/E64</f>
        <v>0.349410406853926</v>
      </c>
      <c r="F74" s="28" t="n">
        <f aca="false">F73/F64</f>
        <v>0.33</v>
      </c>
      <c r="G74" s="28" t="n">
        <f aca="false">G73/G64</f>
        <v>0.3</v>
      </c>
      <c r="H74" s="28" t="n">
        <f aca="false">H73/H64</f>
        <v>0.26</v>
      </c>
      <c r="I74" s="28" t="n">
        <f aca="false">I73/I64</f>
        <v>0.22</v>
      </c>
      <c r="J74" s="28" t="n">
        <f aca="false">J73/J64</f>
        <v>0.19</v>
      </c>
      <c r="K74" s="28" t="n">
        <f aca="false">K73/K64</f>
        <v>0.17</v>
      </c>
      <c r="L74" s="28" t="n">
        <f aca="false">L73/L64</f>
        <v>0.155</v>
      </c>
      <c r="M74" s="28" t="n">
        <f aca="false">M73/M64</f>
        <v>0.145</v>
      </c>
      <c r="N74" s="28" t="n">
        <f aca="false">N73/N64</f>
        <v>0.135</v>
      </c>
      <c r="O74" s="29" t="n">
        <f aca="false">O73/O64</f>
        <v>0.13</v>
      </c>
    </row>
    <row r="75" customFormat="false" ht="15" hidden="false" customHeight="false" outlineLevel="0" collapsed="false">
      <c r="A75" s="7" t="s">
        <v>53</v>
      </c>
      <c r="B75" s="9"/>
      <c r="C75" s="9"/>
      <c r="D75" s="9"/>
      <c r="E75" s="9"/>
      <c r="F75" s="12" t="n">
        <f aca="false">(F64-E64)*F57</f>
        <v>4247.5392</v>
      </c>
      <c r="G75" s="12" t="n">
        <f aca="false">(G64-F64)*G57</f>
        <v>4619.19888</v>
      </c>
      <c r="H75" s="12" t="n">
        <f aca="false">(H64-G64)*H57</f>
        <v>4957.9401312</v>
      </c>
      <c r="I75" s="12" t="n">
        <f aca="false">(I64-H64)*I57</f>
        <v>5248.333767456</v>
      </c>
      <c r="J75" s="12" t="n">
        <f aca="false">(J64-I64)*J57</f>
        <v>5474.41583743872</v>
      </c>
      <c r="K75" s="12" t="n">
        <f aca="false">(K64-J64)*K57</f>
        <v>5620.40025977043</v>
      </c>
      <c r="L75" s="12" t="n">
        <f aca="false">(L64-K64)*L57</f>
        <v>5671.49480758652</v>
      </c>
      <c r="M75" s="12" t="n">
        <f aca="false">(M64-L64)*M57</f>
        <v>4990.91543067614</v>
      </c>
      <c r="N75" s="12" t="n">
        <f aca="false">(N64-M64)*N57</f>
        <v>4042.64149884767</v>
      </c>
      <c r="O75" s="32" t="n">
        <f aca="false">(O64-N64)*O57</f>
        <v>3213.89999158389</v>
      </c>
    </row>
    <row r="76" customFormat="false" ht="15" hidden="false" customHeight="false" outlineLevel="0" collapsed="false">
      <c r="A76" s="14" t="s">
        <v>54</v>
      </c>
      <c r="B76" s="9"/>
      <c r="C76" s="9"/>
      <c r="D76" s="9"/>
      <c r="E76" s="9"/>
      <c r="F76" s="33" t="n">
        <f aca="false">F69+F70-F73-F75</f>
        <v>61826.251446</v>
      </c>
      <c r="G76" s="33" t="n">
        <f aca="false">G69+G70-G73-G75</f>
        <v>89072.5894029</v>
      </c>
      <c r="H76" s="33" t="n">
        <f aca="false">H69+H70-H73-H75</f>
        <v>126603.657289548</v>
      </c>
      <c r="I76" s="33" t="n">
        <f aca="false">I69+I70-I73-I75</f>
        <v>168535.856488737</v>
      </c>
      <c r="J76" s="33" t="n">
        <f aca="false">J69+J70-J73-J75</f>
        <v>210910.994163722</v>
      </c>
      <c r="K76" s="33" t="n">
        <f aca="false">K69+K70-K73-K75</f>
        <v>245201.457605743</v>
      </c>
      <c r="L76" s="33" t="n">
        <f aca="false">L69+L70-L73-L75</f>
        <v>278030.85420491</v>
      </c>
      <c r="M76" s="33" t="n">
        <f aca="false">M69+M70-M73-M75</f>
        <v>305618.706397453</v>
      </c>
      <c r="N76" s="33" t="n">
        <f aca="false">N69+N70-N73-N75</f>
        <v>329667.30762728</v>
      </c>
      <c r="O76" s="34" t="n">
        <f aca="false">O69+O70-O73-O75</f>
        <v>350177.615583005</v>
      </c>
    </row>
    <row r="77" customFormat="false" ht="15" hidden="false" customHeight="false" outlineLevel="0" collapsed="false">
      <c r="A77" s="7" t="s">
        <v>55</v>
      </c>
      <c r="B77" s="9"/>
      <c r="C77" s="11" t="n">
        <v>118548</v>
      </c>
      <c r="D77" s="11" t="n">
        <v>136162</v>
      </c>
      <c r="E77" s="11" t="n">
        <v>182935</v>
      </c>
      <c r="F77" s="9"/>
      <c r="G77" s="9"/>
      <c r="H77" s="9"/>
      <c r="I77" s="9"/>
      <c r="J77" s="9"/>
      <c r="K77" s="9"/>
      <c r="L77" s="9"/>
      <c r="M77" s="9"/>
      <c r="N77" s="9"/>
      <c r="O77" s="10"/>
    </row>
    <row r="78" customFormat="false" ht="15" hidden="false" customHeight="false" outlineLevel="0" collapsed="false">
      <c r="A78" s="26" t="s">
        <v>56</v>
      </c>
      <c r="B78" s="18"/>
      <c r="C78" s="35" t="n">
        <f aca="false">C77-C73</f>
        <v>74071</v>
      </c>
      <c r="D78" s="35" t="n">
        <f aca="false">D77-D73</f>
        <v>71611</v>
      </c>
      <c r="E78" s="35" t="n">
        <f aca="false">E77-E73</f>
        <v>66987</v>
      </c>
      <c r="F78" s="18"/>
      <c r="G78" s="18"/>
      <c r="H78" s="18"/>
      <c r="I78" s="18"/>
      <c r="J78" s="18"/>
      <c r="K78" s="18"/>
      <c r="L78" s="18"/>
      <c r="M78" s="18"/>
      <c r="N78" s="18"/>
      <c r="O78" s="19"/>
    </row>
    <row r="80" customFormat="false" ht="15" hidden="false" customHeight="false" outlineLevel="0" collapsed="false">
      <c r="A80" s="6" t="s">
        <v>57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</row>
    <row r="81" customFormat="false" ht="15" hidden="false" customHeight="false" outlineLevel="0" collapsed="false">
      <c r="A81" s="20"/>
      <c r="B81" s="21"/>
      <c r="C81" s="21"/>
      <c r="D81" s="21"/>
      <c r="E81" s="21"/>
      <c r="F81" s="21" t="s">
        <v>15</v>
      </c>
      <c r="G81" s="21" t="s">
        <v>16</v>
      </c>
      <c r="H81" s="21" t="s">
        <v>17</v>
      </c>
      <c r="I81" s="21" t="s">
        <v>18</v>
      </c>
      <c r="J81" s="21" t="s">
        <v>19</v>
      </c>
      <c r="K81" s="21" t="s">
        <v>20</v>
      </c>
      <c r="L81" s="21" t="s">
        <v>21</v>
      </c>
      <c r="M81" s="21" t="s">
        <v>22</v>
      </c>
      <c r="N81" s="21" t="s">
        <v>23</v>
      </c>
      <c r="O81" s="22" t="s">
        <v>24</v>
      </c>
    </row>
    <row r="82" customFormat="false" ht="15" hidden="false" customHeight="false" outlineLevel="0" collapsed="false">
      <c r="A82" s="7" t="s">
        <v>58</v>
      </c>
      <c r="B82" s="9"/>
      <c r="C82" s="9"/>
      <c r="D82" s="9"/>
      <c r="E82" s="9"/>
      <c r="F82" s="36" t="n">
        <v>0.5</v>
      </c>
      <c r="G82" s="37" t="n">
        <f aca="false">F82+1</f>
        <v>1.5</v>
      </c>
      <c r="H82" s="37" t="n">
        <f aca="false">G82+1</f>
        <v>2.5</v>
      </c>
      <c r="I82" s="37" t="n">
        <f aca="false">H82+1</f>
        <v>3.5</v>
      </c>
      <c r="J82" s="37" t="n">
        <f aca="false">I82+1</f>
        <v>4.5</v>
      </c>
      <c r="K82" s="37" t="n">
        <f aca="false">J82+1</f>
        <v>5.5</v>
      </c>
      <c r="L82" s="37" t="n">
        <f aca="false">K82+1</f>
        <v>6.5</v>
      </c>
      <c r="M82" s="37" t="n">
        <f aca="false">L82+1</f>
        <v>7.5</v>
      </c>
      <c r="N82" s="37" t="n">
        <f aca="false">M82+1</f>
        <v>8.5</v>
      </c>
      <c r="O82" s="38" t="n">
        <f aca="false">N82+1</f>
        <v>9.5</v>
      </c>
    </row>
    <row r="83" customFormat="false" ht="15" hidden="false" customHeight="false" outlineLevel="0" collapsed="false">
      <c r="A83" s="7" t="s">
        <v>59</v>
      </c>
      <c r="B83" s="9"/>
      <c r="C83" s="9"/>
      <c r="D83" s="9"/>
      <c r="E83" s="9"/>
      <c r="F83" s="39" t="n">
        <f aca="false">1/(1+$B$14)^F82</f>
        <v>0.951280271002508</v>
      </c>
      <c r="G83" s="39" t="n">
        <f aca="false">1/(1+$B$14)^G82</f>
        <v>0.860846007255218</v>
      </c>
      <c r="H83" s="39" t="n">
        <f aca="false">1/(1+$B$14)^H82</f>
        <v>0.779008953298577</v>
      </c>
      <c r="I83" s="39" t="n">
        <f aca="false">1/(1+$B$14)^I82</f>
        <v>0.704951808110586</v>
      </c>
      <c r="J83" s="39" t="n">
        <f aca="false">1/(1+$B$14)^J82</f>
        <v>0.63793496808234</v>
      </c>
      <c r="K83" s="39" t="n">
        <f aca="false">1/(1+$B$14)^K82</f>
        <v>0.577289140647719</v>
      </c>
      <c r="L83" s="39" t="n">
        <f aca="false">1/(1+$B$14)^L82</f>
        <v>0.522408660104625</v>
      </c>
      <c r="M83" s="39" t="n">
        <f aca="false">1/(1+$B$14)^M82</f>
        <v>0.472745438873324</v>
      </c>
      <c r="N83" s="39" t="n">
        <f aca="false">1/(1+$B$14)^N82</f>
        <v>0.42780349378353</v>
      </c>
      <c r="O83" s="40" t="n">
        <f aca="false">1/(1+$B$14)^O82</f>
        <v>0.387133992724646</v>
      </c>
    </row>
    <row r="84" customFormat="false" ht="15" hidden="false" customHeight="false" outlineLevel="0" collapsed="false">
      <c r="A84" s="16" t="s">
        <v>60</v>
      </c>
      <c r="B84" s="18"/>
      <c r="C84" s="18"/>
      <c r="D84" s="18"/>
      <c r="E84" s="18"/>
      <c r="F84" s="35" t="n">
        <f aca="false">F76*F83</f>
        <v>58814.0932306201</v>
      </c>
      <c r="G84" s="35" t="n">
        <f aca="false">G76*G83</f>
        <v>76677.7829433699</v>
      </c>
      <c r="H84" s="35" t="n">
        <f aca="false">H76*H83</f>
        <v>98625.3825489025</v>
      </c>
      <c r="I84" s="35" t="n">
        <f aca="false">I76*I83</f>
        <v>118809.656763201</v>
      </c>
      <c r="J84" s="35" t="n">
        <f aca="false">J76*J83</f>
        <v>134547.498330049</v>
      </c>
      <c r="K84" s="35" t="n">
        <f aca="false">K76*K83</f>
        <v>141552.138746788</v>
      </c>
      <c r="L84" s="35" t="n">
        <f aca="false">L76*L83</f>
        <v>145245.726012931</v>
      </c>
      <c r="M84" s="35" t="n">
        <f aca="false">M76*M83</f>
        <v>144479.849483761</v>
      </c>
      <c r="N84" s="35" t="n">
        <f aca="false">N76*N83</f>
        <v>141032.82598916</v>
      </c>
      <c r="O84" s="41" t="n">
        <f aca="false">O76*O83</f>
        <v>135565.658483445</v>
      </c>
    </row>
    <row r="86" customFormat="false" ht="15" hidden="false" customHeight="false" outlineLevel="0" collapsed="false">
      <c r="A86" s="6" t="s">
        <v>61</v>
      </c>
      <c r="B86" s="6"/>
      <c r="C86" s="6"/>
      <c r="D86" s="6"/>
    </row>
    <row r="87" customFormat="false" ht="15" hidden="false" customHeight="false" outlineLevel="0" collapsed="false">
      <c r="A87" s="7" t="s">
        <v>62</v>
      </c>
      <c r="B87" s="12" t="n">
        <f aca="false">O76*(1+B15)</f>
        <v>360682.944050495</v>
      </c>
      <c r="C87" s="9"/>
      <c r="D87" s="10"/>
    </row>
    <row r="88" customFormat="false" ht="15" hidden="false" customHeight="false" outlineLevel="0" collapsed="false">
      <c r="A88" s="7" t="s">
        <v>63</v>
      </c>
      <c r="B88" s="12" t="n">
        <f aca="false">B87/(B14-B15)</f>
        <v>4805724.15600579</v>
      </c>
      <c r="C88" s="9"/>
      <c r="D88" s="10"/>
    </row>
    <row r="89" customFormat="false" ht="15" hidden="false" customHeight="false" outlineLevel="0" collapsed="false">
      <c r="A89" s="7" t="s">
        <v>64</v>
      </c>
      <c r="B89" s="12" t="n">
        <f aca="false">B88*O83</f>
        <v>1860459.1804478</v>
      </c>
      <c r="C89" s="9"/>
      <c r="D89" s="10"/>
    </row>
    <row r="90" customFormat="false" ht="15" hidden="false" customHeight="false" outlineLevel="0" collapsed="false">
      <c r="A90" s="7" t="s">
        <v>65</v>
      </c>
      <c r="B90" s="12" t="n">
        <f aca="false">SUM(F84:O84)</f>
        <v>1195350.61253223</v>
      </c>
      <c r="C90" s="9"/>
      <c r="D90" s="10"/>
    </row>
    <row r="91" customFormat="false" ht="15" hidden="false" customHeight="false" outlineLevel="0" collapsed="false">
      <c r="A91" s="14" t="s">
        <v>66</v>
      </c>
      <c r="B91" s="12" t="n">
        <f aca="false">B89+B90</f>
        <v>3055809.79298003</v>
      </c>
      <c r="C91" s="9"/>
      <c r="D91" s="10"/>
    </row>
    <row r="92" customFormat="false" ht="15" hidden="false" customHeight="false" outlineLevel="0" collapsed="false">
      <c r="A92" s="7" t="s">
        <v>67</v>
      </c>
      <c r="B92" s="12" t="n">
        <f aca="false">B12</f>
        <v>128810</v>
      </c>
      <c r="C92" s="9"/>
      <c r="D92" s="10"/>
    </row>
    <row r="93" customFormat="false" ht="15" hidden="false" customHeight="false" outlineLevel="0" collapsed="false">
      <c r="A93" s="7" t="s">
        <v>68</v>
      </c>
      <c r="B93" s="12" t="n">
        <f aca="false">B11</f>
        <v>76843</v>
      </c>
      <c r="C93" s="9"/>
      <c r="D93" s="10"/>
    </row>
    <row r="94" customFormat="false" ht="15" hidden="false" customHeight="false" outlineLevel="0" collapsed="false">
      <c r="A94" s="14" t="s">
        <v>69</v>
      </c>
      <c r="B94" s="12" t="n">
        <f aca="false">B91-B92+B93</f>
        <v>3003842.79298003</v>
      </c>
      <c r="C94" s="9"/>
      <c r="D94" s="10"/>
    </row>
    <row r="95" customFormat="false" ht="15" hidden="false" customHeight="false" outlineLevel="0" collapsed="false">
      <c r="A95" s="7" t="s">
        <v>6</v>
      </c>
      <c r="B95" s="12" t="n">
        <f aca="false">B9</f>
        <v>7453</v>
      </c>
      <c r="C95" s="9"/>
      <c r="D95" s="10"/>
    </row>
    <row r="96" customFormat="false" ht="15" hidden="false" customHeight="false" outlineLevel="0" collapsed="false">
      <c r="A96" s="42" t="s">
        <v>70</v>
      </c>
      <c r="B96" s="43" t="n">
        <f aca="false">B94/B95</f>
        <v>403.038077684158</v>
      </c>
      <c r="C96" s="9"/>
      <c r="D96" s="10"/>
    </row>
    <row r="97" customFormat="false" ht="15" hidden="false" customHeight="false" outlineLevel="0" collapsed="false">
      <c r="A97" s="7" t="s">
        <v>5</v>
      </c>
      <c r="B97" s="44" t="n">
        <f aca="false">B8</f>
        <v>533.69</v>
      </c>
      <c r="C97" s="9"/>
      <c r="D97" s="10"/>
    </row>
    <row r="98" customFormat="false" ht="15" hidden="false" customHeight="false" outlineLevel="0" collapsed="false">
      <c r="A98" s="7" t="s">
        <v>71</v>
      </c>
      <c r="B98" s="45" t="n">
        <f aca="false">B96/B97-1</f>
        <v>-0.244808638565163</v>
      </c>
      <c r="C98" s="9"/>
      <c r="D98" s="10"/>
    </row>
    <row r="99" customFormat="false" ht="15" hidden="false" customHeight="false" outlineLevel="0" collapsed="false">
      <c r="A99" s="26" t="s">
        <v>72</v>
      </c>
      <c r="B99" s="31" t="n">
        <f aca="false">B89/B91</f>
        <v>0.60882689253819</v>
      </c>
      <c r="C99" s="18"/>
      <c r="D99" s="19"/>
    </row>
    <row r="101" customFormat="false" ht="15" hidden="false" customHeight="false" outlineLevel="0" collapsed="false">
      <c r="A101" s="6" t="s">
        <v>73</v>
      </c>
      <c r="B101" s="6"/>
      <c r="C101" s="6"/>
      <c r="D101" s="6"/>
    </row>
    <row r="102" customFormat="false" ht="15" hidden="false" customHeight="false" outlineLevel="0" collapsed="false">
      <c r="A102" s="20" t="s">
        <v>74</v>
      </c>
      <c r="B102" s="21" t="s">
        <v>75</v>
      </c>
      <c r="C102" s="21" t="s">
        <v>76</v>
      </c>
      <c r="D102" s="22" t="s">
        <v>77</v>
      </c>
    </row>
    <row r="103" customFormat="false" ht="15" hidden="false" customHeight="false" outlineLevel="0" collapsed="false">
      <c r="A103" s="7" t="s">
        <v>78</v>
      </c>
      <c r="B103" s="46" t="n">
        <f aca="false">B91/E72</f>
        <v>15.7702122246365</v>
      </c>
      <c r="C103" s="47" t="n">
        <f aca="false">Comps!J31</f>
        <v>17.3516961517418</v>
      </c>
      <c r="D103" s="10" t="s">
        <v>79</v>
      </c>
    </row>
    <row r="104" customFormat="false" ht="15" hidden="false" customHeight="false" outlineLevel="0" collapsed="false">
      <c r="A104" s="7" t="s">
        <v>80</v>
      </c>
      <c r="B104" s="46" t="n">
        <f aca="false">B91/F72</f>
        <v>13.4551607758518</v>
      </c>
      <c r="C104" s="9"/>
      <c r="D104" s="10" t="s">
        <v>81</v>
      </c>
    </row>
    <row r="105" customFormat="false" ht="15" hidden="false" customHeight="false" outlineLevel="0" collapsed="false">
      <c r="A105" s="7" t="s">
        <v>82</v>
      </c>
      <c r="B105" s="46" t="n">
        <f aca="false">B88/O72</f>
        <v>8.58541791972163</v>
      </c>
      <c r="C105" s="47" t="n">
        <f aca="false">Comps!J31</f>
        <v>17.3516961517418</v>
      </c>
      <c r="D105" s="10" t="s">
        <v>83</v>
      </c>
    </row>
    <row r="106" customFormat="false" ht="15" hidden="false" customHeight="false" outlineLevel="0" collapsed="false">
      <c r="A106" s="7" t="s">
        <v>84</v>
      </c>
      <c r="B106" s="46" t="n">
        <f aca="false">B94/B108</f>
        <v>22.4588056208273</v>
      </c>
      <c r="C106" s="47" t="n">
        <f aca="false">Comps!K31</f>
        <v>21.1081376734258</v>
      </c>
      <c r="D106" s="10" t="s">
        <v>85</v>
      </c>
    </row>
    <row r="107" customFormat="false" ht="15" hidden="false" customHeight="false" outlineLevel="0" collapsed="false">
      <c r="A107" s="7" t="s">
        <v>86</v>
      </c>
      <c r="B107" s="46" t="n">
        <f aca="false">B91/E64</f>
        <v>9.20871203499297</v>
      </c>
      <c r="C107" s="47" t="n">
        <f aca="false">Comps!I31</f>
        <v>8.33641621029573</v>
      </c>
      <c r="D107" s="10"/>
    </row>
    <row r="108" customFormat="false" ht="15" hidden="false" customHeight="false" outlineLevel="0" collapsed="false">
      <c r="A108" s="7" t="s">
        <v>87</v>
      </c>
      <c r="B108" s="11" t="n">
        <v>133749</v>
      </c>
      <c r="C108" s="9"/>
      <c r="D108" s="10"/>
    </row>
    <row r="109" customFormat="false" ht="15" hidden="false" customHeight="false" outlineLevel="0" collapsed="false">
      <c r="A109" s="7" t="s">
        <v>88</v>
      </c>
      <c r="B109" s="44" t="n">
        <f aca="false">(B90+O72*Comps!J31/(1+B14)^(O82+0.5)-B12+B11)/B9</f>
        <v>633.342654863228</v>
      </c>
      <c r="C109" s="9"/>
      <c r="D109" s="10"/>
    </row>
    <row r="110" customFormat="false" ht="15" hidden="false" customHeight="false" outlineLevel="0" collapsed="false">
      <c r="A110" s="26" t="s">
        <v>89</v>
      </c>
      <c r="B110" s="48" t="n">
        <f aca="false">(B10+B13)/E72</f>
        <v>20.7954676912438</v>
      </c>
      <c r="C110" s="18"/>
      <c r="D110" s="19"/>
    </row>
    <row r="112" customFormat="false" ht="15" hidden="false" customHeight="false" outlineLevel="0" collapsed="false">
      <c r="A112" s="6" t="s">
        <v>90</v>
      </c>
      <c r="B112" s="6"/>
      <c r="C112" s="6"/>
      <c r="D112" s="6"/>
      <c r="E112" s="6"/>
      <c r="F112" s="6"/>
    </row>
    <row r="113" customFormat="false" ht="23.85" hidden="false" customHeight="false" outlineLevel="0" collapsed="false">
      <c r="A113" s="20" t="s">
        <v>91</v>
      </c>
      <c r="B113" s="21" t="s">
        <v>92</v>
      </c>
      <c r="C113" s="21" t="s">
        <v>93</v>
      </c>
      <c r="D113" s="21" t="s">
        <v>94</v>
      </c>
      <c r="E113" s="21" t="s">
        <v>37</v>
      </c>
      <c r="F113" s="22" t="s">
        <v>95</v>
      </c>
    </row>
    <row r="114" customFormat="false" ht="15" hidden="false" customHeight="false" outlineLevel="0" collapsed="false">
      <c r="A114" s="14" t="s">
        <v>96</v>
      </c>
      <c r="B114" s="49" t="n">
        <f aca="false">Scenarios!C30</f>
        <v>224.465212160523</v>
      </c>
      <c r="C114" s="28" t="n">
        <f aca="false">B114/$B$8-1</f>
        <v>-0.579408997431988</v>
      </c>
      <c r="D114" s="50" t="n">
        <f aca="false">Scenarios!C24</f>
        <v>0.110052777134481</v>
      </c>
      <c r="E114" s="51" t="n">
        <f aca="false">Scenarios!C25</f>
        <v>0.025</v>
      </c>
      <c r="F114" s="52" t="n">
        <f aca="false">Scenarios!C31</f>
        <v>0.552279077877607</v>
      </c>
    </row>
    <row r="115" customFormat="false" ht="15" hidden="false" customHeight="false" outlineLevel="0" collapsed="false">
      <c r="A115" s="14" t="s">
        <v>97</v>
      </c>
      <c r="B115" s="43" t="n">
        <f aca="false">Scenarios!D30</f>
        <v>403.038077684158</v>
      </c>
      <c r="C115" s="28" t="n">
        <f aca="false">B115/$B$8-1</f>
        <v>-0.244808638565163</v>
      </c>
      <c r="D115" s="50" t="n">
        <f aca="false">Scenarios!D24</f>
        <v>0.105052777134481</v>
      </c>
      <c r="E115" s="51" t="n">
        <f aca="false">Scenarios!D25</f>
        <v>0.03</v>
      </c>
      <c r="F115" s="52" t="n">
        <f aca="false">Scenarios!D31</f>
        <v>0.60882689253819</v>
      </c>
    </row>
    <row r="116" customFormat="false" ht="15" hidden="false" customHeight="false" outlineLevel="0" collapsed="false">
      <c r="A116" s="14" t="s">
        <v>98</v>
      </c>
      <c r="B116" s="49" t="n">
        <f aca="false">Scenarios!E30</f>
        <v>603.124403118181</v>
      </c>
      <c r="C116" s="28" t="n">
        <f aca="false">B116/$B$8-1</f>
        <v>0.130102499799848</v>
      </c>
      <c r="D116" s="50" t="n">
        <f aca="false">Scenarios!E24</f>
        <v>0.100052777134481</v>
      </c>
      <c r="E116" s="51" t="n">
        <f aca="false">Scenarios!E25</f>
        <v>0.035</v>
      </c>
      <c r="F116" s="52" t="n">
        <f aca="false">Scenarios!E31</f>
        <v>0.656454614728917</v>
      </c>
    </row>
    <row r="117" customFormat="false" ht="15" hidden="false" customHeight="false" outlineLevel="0" collapsed="false">
      <c r="A117" s="26" t="s">
        <v>99</v>
      </c>
      <c r="B117" s="53" t="n">
        <f aca="false">ROUND(B96-INDEX(B114:B116,B4),6)</f>
        <v>0</v>
      </c>
      <c r="C117" s="18"/>
      <c r="D117" s="18"/>
      <c r="E117" s="18"/>
      <c r="F117" s="19"/>
    </row>
    <row r="119" customFormat="false" ht="15" hidden="false" customHeight="false" outlineLevel="0" collapsed="false">
      <c r="A119" s="6" t="s">
        <v>100</v>
      </c>
      <c r="B119" s="6"/>
      <c r="C119" s="6"/>
      <c r="D119" s="6"/>
      <c r="E119" s="6"/>
      <c r="F119" s="6"/>
      <c r="G119" s="6"/>
    </row>
    <row r="120" customFormat="false" ht="15" hidden="false" customHeight="false" outlineLevel="0" collapsed="false">
      <c r="A120" s="54" t="s">
        <v>101</v>
      </c>
      <c r="B120" s="55" t="n">
        <f aca="false">$B$15-0.01</f>
        <v>0.02</v>
      </c>
      <c r="C120" s="55" t="n">
        <f aca="false">$B$15-0.005</f>
        <v>0.025</v>
      </c>
      <c r="D120" s="55" t="n">
        <f aca="false">$B$15</f>
        <v>0.03</v>
      </c>
      <c r="E120" s="55" t="n">
        <f aca="false">$B$15+0.005</f>
        <v>0.035</v>
      </c>
      <c r="F120" s="55" t="n">
        <f aca="false">$B$15+0.01</f>
        <v>0.04</v>
      </c>
      <c r="G120" s="10"/>
    </row>
    <row r="121" customFormat="false" ht="15" hidden="false" customHeight="false" outlineLevel="0" collapsed="false">
      <c r="A121" s="56" t="n">
        <f aca="false">$B$14-0.01</f>
        <v>0.095052777134481</v>
      </c>
      <c r="B121" s="44" t="n">
        <f aca="false">(SUMPRODUCT($F$76:$O$76/(1+$A121)^$F$82:$O$82)+$O$76*(1+B$120)/($A121-B$120)/(1+$A121)^$O$82-$B$12+$B$11)/$B$9</f>
        <v>431.35094474163</v>
      </c>
      <c r="C121" s="44" t="n">
        <f aca="false">(SUMPRODUCT($F$76:$O$76/(1+$A121)^$F$82:$O$82)+$O$76*(1+C$120)/($A121-C$120)/(1+$A121)^$O$82-$B$12+$B$11)/$B$9</f>
        <v>452.001760294876</v>
      </c>
      <c r="D121" s="44" t="n">
        <f aca="false">(SUMPRODUCT($F$76:$O$76/(1+$A121)^$F$82:$O$82)+$O$76*(1+D$120)/($A121-D$120)/(1+$A121)^$O$82-$B$12+$B$11)/$B$9</f>
        <v>475.827046864256</v>
      </c>
      <c r="E121" s="44" t="n">
        <f aca="false">(SUMPRODUCT($F$76:$O$76/(1+$A121)^$F$82:$O$82)+$O$76*(1+E$120)/($A121-E$120)/(1+$A121)^$O$82-$B$12+$B$11)/$B$9</f>
        <v>503.619724736128</v>
      </c>
      <c r="F121" s="44" t="n">
        <f aca="false">(SUMPRODUCT($F$76:$O$76/(1+$A121)^$F$82:$O$82)+$O$76*(1+F$120)/($A121-F$120)/(1+$A121)^$O$82-$B$12+$B$11)/$B$9</f>
        <v>536.460772430286</v>
      </c>
      <c r="G121" s="10"/>
    </row>
    <row r="122" customFormat="false" ht="15" hidden="false" customHeight="false" outlineLevel="0" collapsed="false">
      <c r="A122" s="56" t="n">
        <f aca="false">$B$14-0.005</f>
        <v>0.100052777134481</v>
      </c>
      <c r="B122" s="44" t="n">
        <f aca="false">(SUMPRODUCT($F$76:$O$76/(1+$A122)^$F$82:$O$82)+$O$76*(1+B$120)/($A122-B$120)/(1+$A122)^$O$82-$B$12+$B$11)/$B$9</f>
        <v>399.521581648472</v>
      </c>
      <c r="C122" s="44" t="n">
        <f aca="false">(SUMPRODUCT($F$76:$O$76/(1+$A122)^$F$82:$O$82)+$O$76*(1+C$120)/($A122-C$120)/(1+$A122)^$O$82-$B$12+$B$11)/$B$9</f>
        <v>416.906360069779</v>
      </c>
      <c r="D122" s="44" t="n">
        <f aca="false">(SUMPRODUCT($F$76:$O$76/(1+$A122)^$F$82:$O$82)+$O$76*(1+D$120)/($A122-D$120)/(1+$A122)^$O$82-$B$12+$B$11)/$B$9</f>
        <v>436.772807188949</v>
      </c>
      <c r="E122" s="44" t="n">
        <f aca="false">(SUMPRODUCT($F$76:$O$76/(1+$A122)^$F$82:$O$82)+$O$76*(1+E$120)/($A122-E$120)/(1+$A122)^$O$82-$B$12+$B$11)/$B$9</f>
        <v>459.693151158379</v>
      </c>
      <c r="F122" s="44" t="n">
        <f aca="false">(SUMPRODUCT($F$76:$O$76/(1+$A122)^$F$82:$O$82)+$O$76*(1+F$120)/($A122-F$120)/(1+$A122)^$O$82-$B$12+$B$11)/$B$9</f>
        <v>486.430195214486</v>
      </c>
      <c r="G122" s="10"/>
    </row>
    <row r="123" customFormat="false" ht="15" hidden="false" customHeight="false" outlineLevel="0" collapsed="false">
      <c r="A123" s="56" t="n">
        <f aca="false">$B$14</f>
        <v>0.105052777134481</v>
      </c>
      <c r="B123" s="44" t="n">
        <f aca="false">(SUMPRODUCT($F$76:$O$76/(1+$A123)^$F$82:$O$82)+$O$76*(1+B$120)/($A123-B$120)/(1+$A123)^$O$82-$B$12+$B$11)/$B$9</f>
        <v>371.549987436227</v>
      </c>
      <c r="C123" s="44" t="n">
        <f aca="false">(SUMPRODUCT($F$76:$O$76/(1+$A123)^$F$82:$O$82)+$O$76*(1+C$120)/($A123-C$120)/(1+$A123)^$O$82-$B$12+$B$11)/$B$9</f>
        <v>386.310678472581</v>
      </c>
      <c r="D123" s="43" t="n">
        <f aca="false">(SUMPRODUCT($F$76:$O$76/(1+$A123)^$F$82:$O$82)+$O$76*(1+D$120)/($A123-D$120)/(1+$A123)^$O$82-$B$12+$B$11)/$B$9</f>
        <v>403.038077684158</v>
      </c>
      <c r="E123" s="44" t="n">
        <f aca="false">(SUMPRODUCT($F$76:$O$76/(1+$A123)^$F$82:$O$82)+$O$76*(1+E$120)/($A123-E$120)/(1+$A123)^$O$82-$B$12+$B$11)/$B$9</f>
        <v>422.153305029867</v>
      </c>
      <c r="F123" s="44" t="n">
        <f aca="false">(SUMPRODUCT($F$76:$O$76/(1+$A123)^$F$82:$O$82)+$O$76*(1+F$120)/($A123-F$120)/(1+$A123)^$O$82-$B$12+$B$11)/$B$9</f>
        <v>444.206950716455</v>
      </c>
      <c r="G123" s="10"/>
    </row>
    <row r="124" customFormat="false" ht="15" hidden="false" customHeight="false" outlineLevel="0" collapsed="false">
      <c r="A124" s="56" t="n">
        <f aca="false">$B$14+0.005</f>
        <v>0.110052777134481</v>
      </c>
      <c r="B124" s="44" t="n">
        <f aca="false">(SUMPRODUCT($F$76:$O$76/(1+$A124)^$F$82:$O$82)+$O$76*(1+B$120)/($A124-B$120)/(1+$A124)^$O$82-$B$12+$B$11)/$B$9</f>
        <v>346.78985988334</v>
      </c>
      <c r="C124" s="44" t="n">
        <f aca="false">(SUMPRODUCT($F$76:$O$76/(1+$A124)^$F$82:$O$82)+$O$76*(1+C$120)/($A124-C$120)/(1+$A124)^$O$82-$B$12+$B$11)/$B$9</f>
        <v>359.417459979437</v>
      </c>
      <c r="D124" s="44" t="n">
        <f aca="false">(SUMPRODUCT($F$76:$O$76/(1+$A124)^$F$82:$O$82)+$O$76*(1+D$120)/($A124-D$120)/(1+$A124)^$O$82-$B$12+$B$11)/$B$9</f>
        <v>373.622469448214</v>
      </c>
      <c r="E124" s="44" t="n">
        <f aca="false">(SUMPRODUCT($F$76:$O$76/(1+$A124)^$F$82:$O$82)+$O$76*(1+E$120)/($A124-E$120)/(1+$A124)^$O$82-$B$12+$B$11)/$B$9</f>
        <v>389.720148317262</v>
      </c>
      <c r="F124" s="44" t="n">
        <f aca="false">(SUMPRODUCT($F$76:$O$76/(1+$A124)^$F$82:$O$82)+$O$76*(1+F$120)/($A124-F$120)/(1+$A124)^$O$82-$B$12+$B$11)/$B$9</f>
        <v>408.115763046603</v>
      </c>
      <c r="G124" s="10"/>
    </row>
    <row r="125" customFormat="false" ht="15" hidden="false" customHeight="false" outlineLevel="0" collapsed="false">
      <c r="A125" s="57" t="n">
        <f aca="false">$B$14+0.01</f>
        <v>0.115052777134481</v>
      </c>
      <c r="B125" s="58" t="n">
        <f aca="false">(SUMPRODUCT($F$76:$O$76/(1+$A125)^$F$82:$O$82)+$O$76*(1+B$120)/($A125-B$120)/(1+$A125)^$O$82-$B$12+$B$11)/$B$9</f>
        <v>324.731027612205</v>
      </c>
      <c r="C125" s="58" t="n">
        <f aca="false">(SUMPRODUCT($F$76:$O$76/(1+$A125)^$F$82:$O$82)+$O$76*(1+C$120)/($A125-C$120)/(1+$A125)^$O$82-$B$12+$B$11)/$B$9</f>
        <v>335.606653063194</v>
      </c>
      <c r="D125" s="58" t="n">
        <f aca="false">(SUMPRODUCT($F$76:$O$76/(1+$A125)^$F$82:$O$82)+$O$76*(1+D$120)/($A125-D$120)/(1+$A125)^$O$82-$B$12+$B$11)/$B$9</f>
        <v>347.760969912324</v>
      </c>
      <c r="E125" s="58" t="n">
        <f aca="false">(SUMPRODUCT($F$76:$O$76/(1+$A125)^$F$82:$O$82)+$O$76*(1+E$120)/($A125-E$120)/(1+$A125)^$O$82-$B$12+$B$11)/$B$9</f>
        <v>361.433574731491</v>
      </c>
      <c r="F125" s="58" t="n">
        <f aca="false">(SUMPRODUCT($F$76:$O$76/(1+$A125)^$F$82:$O$82)+$O$76*(1+F$120)/($A125-F$120)/(1+$A125)^$O$82-$B$12+$B$11)/$B$9</f>
        <v>376.927911582594</v>
      </c>
      <c r="G125" s="19"/>
    </row>
    <row r="127" customFormat="false" ht="15" hidden="false" customHeight="false" outlineLevel="0" collapsed="false">
      <c r="A127" s="6" t="s">
        <v>102</v>
      </c>
      <c r="B127" s="6"/>
      <c r="C127" s="6"/>
      <c r="D127" s="6"/>
      <c r="E127" s="6"/>
      <c r="F127" s="6"/>
      <c r="G127" s="6"/>
    </row>
    <row r="128" customFormat="false" ht="15" hidden="false" customHeight="false" outlineLevel="0" collapsed="false">
      <c r="A128" s="54" t="s">
        <v>103</v>
      </c>
      <c r="B128" s="59" t="n">
        <v>-0.04</v>
      </c>
      <c r="C128" s="59" t="n">
        <v>-0.02</v>
      </c>
      <c r="D128" s="59" t="n">
        <v>0</v>
      </c>
      <c r="E128" s="59" t="n">
        <v>0.02</v>
      </c>
      <c r="F128" s="59" t="n">
        <v>0.04</v>
      </c>
      <c r="G128" s="10"/>
    </row>
    <row r="129" customFormat="false" ht="15" hidden="false" customHeight="false" outlineLevel="0" collapsed="false">
      <c r="A129" s="60" t="n">
        <v>-0.03</v>
      </c>
      <c r="B129" s="44" t="n">
        <f aca="false">(SUMPRODUCT(($F$139:$O$139+$F$138:$O$138*B$128*(1-$F$58:$O$58))*$F$83:$O$83)+($O$139+$O$138*B$128*(1-$O$58))*(1+$B$15)/($B$14-$B$15)*$O$83-$B$12+$B$11)/$B$9</f>
        <v>290.089688194611</v>
      </c>
      <c r="C129" s="44" t="n">
        <f aca="false">(SUMPRODUCT(($F$139:$O$139+$F$138:$O$138*C$128*(1-$F$58:$O$58))*$F$83:$O$83)+($O$139+$O$138*C$128*(1-$O$58))*(1+$B$15)/($B$14-$B$15)*$O$83-$B$12+$B$11)/$B$9</f>
        <v>305.62313663735</v>
      </c>
      <c r="D129" s="44" t="n">
        <f aca="false">(SUMPRODUCT(($F$139:$O$139+$F$138:$O$138*D$128*(1-$F$58:$O$58))*$F$83:$O$83)+($O$139+$O$138*D$128*(1-$O$58))*(1+$B$15)/($B$14-$B$15)*$O$83-$B$12+$B$11)/$B$9</f>
        <v>321.156585080089</v>
      </c>
      <c r="E129" s="44" t="n">
        <f aca="false">(SUMPRODUCT(($F$139:$O$139+$F$138:$O$138*E$128*(1-$F$58:$O$58))*$F$83:$O$83)+($O$139+$O$138*E$128*(1-$O$58))*(1+$B$15)/($B$14-$B$15)*$O$83-$B$12+$B$11)/$B$9</f>
        <v>336.690033522827</v>
      </c>
      <c r="F129" s="44" t="n">
        <f aca="false">(SUMPRODUCT(($F$139:$O$139+$F$138:$O$138*F$128*(1-$F$58:$O$58))*$F$83:$O$83)+($O$139+$O$138*F$128*(1-$O$58))*(1+$B$15)/($B$14-$B$15)*$O$83-$B$12+$B$11)/$B$9</f>
        <v>352.223481965566</v>
      </c>
      <c r="G129" s="10"/>
    </row>
    <row r="130" customFormat="false" ht="15" hidden="false" customHeight="false" outlineLevel="0" collapsed="false">
      <c r="A130" s="60" t="n">
        <v>-0.015</v>
      </c>
      <c r="B130" s="44" t="n">
        <f aca="false">(SUMPRODUCT(($F$141:$O$141+$F$140:$O$140*B$128*(1-$F$58:$O$58))*$F$83:$O$83)+($O$141+$O$140*B$128*(1-$O$58))*(1+$B$15)/($B$14-$B$15)*$O$83-$B$12+$B$11)/$B$9</f>
        <v>325.253609959527</v>
      </c>
      <c r="C130" s="44" t="n">
        <f aca="false">(SUMPRODUCT(($F$141:$O$141+$F$140:$O$140*C$128*(1-$F$58:$O$58))*$F$83:$O$83)+($O$141+$O$140*C$128*(1-$O$58))*(1+$B$15)/($B$14-$B$15)*$O$83-$B$12+$B$11)/$B$9</f>
        <v>342.551478241411</v>
      </c>
      <c r="D130" s="44" t="n">
        <f aca="false">(SUMPRODUCT(($F$141:$O$141+$F$140:$O$140*D$128*(1-$F$58:$O$58))*$F$83:$O$83)+($O$141+$O$140*D$128*(1-$O$58))*(1+$B$15)/($B$14-$B$15)*$O$83-$B$12+$B$11)/$B$9</f>
        <v>359.849346523294</v>
      </c>
      <c r="E130" s="44" t="n">
        <f aca="false">(SUMPRODUCT(($F$141:$O$141+$F$140:$O$140*E$128*(1-$F$58:$O$58))*$F$83:$O$83)+($O$141+$O$140*E$128*(1-$O$58))*(1+$B$15)/($B$14-$B$15)*$O$83-$B$12+$B$11)/$B$9</f>
        <v>377.147214805178</v>
      </c>
      <c r="F130" s="44" t="n">
        <f aca="false">(SUMPRODUCT(($F$141:$O$141+$F$140:$O$140*F$128*(1-$F$58:$O$58))*$F$83:$O$83)+($O$141+$O$140*F$128*(1-$O$58))*(1+$B$15)/($B$14-$B$15)*$O$83-$B$12+$B$11)/$B$9</f>
        <v>394.445083087062</v>
      </c>
      <c r="G130" s="10"/>
    </row>
    <row r="131" customFormat="false" ht="15" hidden="false" customHeight="false" outlineLevel="0" collapsed="false">
      <c r="A131" s="60" t="n">
        <v>0</v>
      </c>
      <c r="B131" s="44" t="n">
        <f aca="false">(SUMPRODUCT(($F$143:$O$143+$F$142:$O$142*B$128*(1-$F$58:$O$58))*$F$83:$O$83)+($O$143+$O$142*B$128*(1-$O$58))*(1+$B$15)/($B$14-$B$15)*$O$83-$B$12+$B$11)/$B$9</f>
        <v>364.503069449856</v>
      </c>
      <c r="C131" s="44" t="n">
        <f aca="false">(SUMPRODUCT(($F$143:$O$143+$F$142:$O$142*C$128*(1-$F$58:$O$58))*$F$83:$O$83)+($O$143+$O$142*C$128*(1-$O$58))*(1+$B$15)/($B$14-$B$15)*$O$83-$B$12+$B$11)/$B$9</f>
        <v>383.770573567007</v>
      </c>
      <c r="D131" s="43" t="n">
        <f aca="false">(SUMPRODUCT(($F$143:$O$143+$F$142:$O$142*D$128*(1-$F$58:$O$58))*$F$83:$O$83)+($O$143+$O$142*D$128*(1-$O$58))*(1+$B$15)/($B$14-$B$15)*$O$83-$B$12+$B$11)/$B$9</f>
        <v>403.038077684158</v>
      </c>
      <c r="E131" s="44" t="n">
        <f aca="false">(SUMPRODUCT(($F$143:$O$143+$F$142:$O$142*E$128*(1-$F$58:$O$58))*$F$83:$O$83)+($O$143+$O$142*E$128*(1-$O$58))*(1+$B$15)/($B$14-$B$15)*$O$83-$B$12+$B$11)/$B$9</f>
        <v>422.30558180131</v>
      </c>
      <c r="F131" s="44" t="n">
        <f aca="false">(SUMPRODUCT(($F$143:$O$143+$F$142:$O$142*F$128*(1-$F$58:$O$58))*$F$83:$O$83)+($O$143+$O$142*F$128*(1-$O$58))*(1+$B$15)/($B$14-$B$15)*$O$83-$B$12+$B$11)/$B$9</f>
        <v>441.573085918461</v>
      </c>
      <c r="G131" s="10"/>
    </row>
    <row r="132" customFormat="false" ht="15" hidden="false" customHeight="false" outlineLevel="0" collapsed="false">
      <c r="A132" s="60" t="n">
        <v>0.015</v>
      </c>
      <c r="B132" s="44" t="n">
        <f aca="false">(SUMPRODUCT(($F$145:$O$145+$F$144:$O$144*B$128*(1-$F$58:$O$58))*$F$83:$O$83)+($O$145+$O$144*B$128*(1-$O$58))*(1+$B$15)/($B$14-$B$15)*$O$83-$B$12+$B$11)/$B$9</f>
        <v>408.271700070676</v>
      </c>
      <c r="C132" s="44" t="n">
        <f aca="false">(SUMPRODUCT(($F$145:$O$145+$F$144:$O$144*C$128*(1-$F$58:$O$58))*$F$83:$O$83)+($O$145+$O$144*C$128*(1-$O$58))*(1+$B$15)/($B$14-$B$15)*$O$83-$B$12+$B$11)/$B$9</f>
        <v>429.736232957348</v>
      </c>
      <c r="D132" s="44" t="n">
        <f aca="false">(SUMPRODUCT(($F$145:$O$145+$F$144:$O$144*D$128*(1-$F$58:$O$58))*$F$83:$O$83)+($O$145+$O$144*D$128*(1-$O$58))*(1+$B$15)/($B$14-$B$15)*$O$83-$B$12+$B$11)/$B$9</f>
        <v>451.20076584402</v>
      </c>
      <c r="E132" s="44" t="n">
        <f aca="false">(SUMPRODUCT(($F$145:$O$145+$F$144:$O$144*E$128*(1-$F$58:$O$58))*$F$83:$O$83)+($O$145+$O$144*E$128*(1-$O$58))*(1+$B$15)/($B$14-$B$15)*$O$83-$B$12+$B$11)/$B$9</f>
        <v>472.665298730693</v>
      </c>
      <c r="F132" s="44" t="n">
        <f aca="false">(SUMPRODUCT(($F$145:$O$145+$F$144:$O$144*F$128*(1-$F$58:$O$58))*$F$83:$O$83)+($O$145+$O$144*F$128*(1-$O$58))*(1+$B$15)/($B$14-$B$15)*$O$83-$B$12+$B$11)/$B$9</f>
        <v>494.129831617365</v>
      </c>
      <c r="G132" s="10"/>
    </row>
    <row r="133" customFormat="false" ht="15" hidden="false" customHeight="false" outlineLevel="0" collapsed="false">
      <c r="A133" s="61" t="n">
        <v>0.03</v>
      </c>
      <c r="B133" s="58" t="n">
        <f aca="false">(SUMPRODUCT(($F$147:$O$147+$F$146:$O$146*B$128*(1-$F$58:$O$58))*$F$83:$O$83)+($O$147+$O$146*B$128*(1-$O$58))*(1+$B$15)/($B$14-$B$15)*$O$83-$B$12+$B$11)/$B$9</f>
        <v>457.033662115792</v>
      </c>
      <c r="C133" s="58" t="n">
        <f aca="false">(SUMPRODUCT(($F$147:$O$147+$F$146:$O$146*C$128*(1-$F$58:$O$58))*$F$83:$O$83)+($O$147+$O$146*C$128*(1-$O$58))*(1+$B$15)/($B$14-$B$15)*$O$83-$B$12+$B$11)/$B$9</f>
        <v>480.946913660822</v>
      </c>
      <c r="D133" s="58" t="n">
        <f aca="false">(SUMPRODUCT(($F$147:$O$147+$F$146:$O$146*D$128*(1-$F$58:$O$58))*$F$83:$O$83)+($O$147+$O$146*D$128*(1-$O$58))*(1+$B$15)/($B$14-$B$15)*$O$83-$B$12+$B$11)/$B$9</f>
        <v>504.860165205852</v>
      </c>
      <c r="E133" s="58" t="n">
        <f aca="false">(SUMPRODUCT(($F$147:$O$147+$F$146:$O$146*E$128*(1-$F$58:$O$58))*$F$83:$O$83)+($O$147+$O$146*E$128*(1-$O$58))*(1+$B$15)/($B$14-$B$15)*$O$83-$B$12+$B$11)/$B$9</f>
        <v>528.773416750882</v>
      </c>
      <c r="F133" s="58" t="n">
        <f aca="false">(SUMPRODUCT(($F$147:$O$147+$F$146:$O$146*F$128*(1-$F$58:$O$58))*$F$83:$O$83)+($O$147+$O$146*F$128*(1-$O$58))*(1+$B$15)/($B$14-$B$15)*$O$83-$B$12+$B$11)/$B$9</f>
        <v>552.686668295912</v>
      </c>
      <c r="G133" s="19"/>
    </row>
    <row r="136" customFormat="false" ht="15" hidden="false" customHeight="false" outlineLevel="0" collapsed="false">
      <c r="A136" s="62" t="s">
        <v>104</v>
      </c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4"/>
    </row>
    <row r="137" customFormat="false" ht="15" hidden="false" customHeight="false" outlineLevel="0" collapsed="false">
      <c r="A137" s="65" t="s">
        <v>105</v>
      </c>
      <c r="B137" s="21" t="s">
        <v>106</v>
      </c>
      <c r="C137" s="21"/>
      <c r="D137" s="21"/>
      <c r="E137" s="21"/>
      <c r="F137" s="21" t="s">
        <v>15</v>
      </c>
      <c r="G137" s="21" t="s">
        <v>16</v>
      </c>
      <c r="H137" s="21" t="s">
        <v>17</v>
      </c>
      <c r="I137" s="21" t="s">
        <v>18</v>
      </c>
      <c r="J137" s="21" t="s">
        <v>19</v>
      </c>
      <c r="K137" s="21" t="s">
        <v>20</v>
      </c>
      <c r="L137" s="21" t="s">
        <v>21</v>
      </c>
      <c r="M137" s="21" t="s">
        <v>22</v>
      </c>
      <c r="N137" s="21" t="s">
        <v>23</v>
      </c>
      <c r="O137" s="66" t="s">
        <v>24</v>
      </c>
    </row>
    <row r="138" customFormat="false" ht="15" hidden="false" customHeight="false" outlineLevel="0" collapsed="false">
      <c r="A138" s="67" t="n">
        <f aca="false">A129</f>
        <v>-0.03</v>
      </c>
      <c r="B138" s="9" t="s">
        <v>43</v>
      </c>
      <c r="C138" s="9"/>
      <c r="D138" s="9"/>
      <c r="E138" s="9"/>
      <c r="F138" s="12" t="n">
        <f aca="false">$E$64*(1+F$53+$A138)</f>
        <v>374978.07</v>
      </c>
      <c r="G138" s="12" t="n">
        <f aca="false">F138*(1+G$53+$A138)</f>
        <v>419975.4384</v>
      </c>
      <c r="H138" s="12" t="n">
        <f aca="false">G138*(1+H$53+$A138)</f>
        <v>466172.736624</v>
      </c>
      <c r="I138" s="12" t="n">
        <f aca="false">H138*(1+I$53+$A138)</f>
        <v>512790.0102864</v>
      </c>
      <c r="J138" s="12" t="n">
        <f aca="false">I138*(1+J$53+$A138)</f>
        <v>558941.111212176</v>
      </c>
      <c r="K138" s="12" t="n">
        <f aca="false">J138*(1+K$53+$A138)</f>
        <v>603656.40010915</v>
      </c>
      <c r="L138" s="12" t="n">
        <f aca="false">K138*(1+L$53+$A138)</f>
        <v>645912.348116791</v>
      </c>
      <c r="M138" s="12" t="n">
        <f aca="false">L138*(1+M$53+$A138)</f>
        <v>678207.96552263</v>
      </c>
      <c r="N138" s="12" t="n">
        <f aca="false">M138*(1+N$53+$A138)</f>
        <v>698554.204488309</v>
      </c>
      <c r="O138" s="68" t="n">
        <f aca="false">N138*(1+O$53+$A138)</f>
        <v>709032.517555634</v>
      </c>
    </row>
    <row r="139" customFormat="false" ht="15" hidden="false" customHeight="false" outlineLevel="0" collapsed="false">
      <c r="A139" s="67" t="n">
        <f aca="false">A129</f>
        <v>-0.03</v>
      </c>
      <c r="B139" s="9" t="s">
        <v>107</v>
      </c>
      <c r="C139" s="9"/>
      <c r="D139" s="9"/>
      <c r="E139" s="9"/>
      <c r="F139" s="12" t="n">
        <f aca="false">F138*F$54*(1-F$58)+F138*F$55-F138*F$56-(F138-$E$64)*F$57</f>
        <v>60913.8601155</v>
      </c>
      <c r="G139" s="12" t="n">
        <f aca="false">G138*G$54*(1-G$58)+G138*G$55-G138*G$56-(G138-F138)*G$57</f>
        <v>85288.01206536</v>
      </c>
      <c r="H139" s="12" t="n">
        <f aca="false">H138*H$54*(1-H$58)+H138*H$55-H138*H$56-(H138-G138)*H$57</f>
        <v>117835.448579957</v>
      </c>
      <c r="I139" s="12" t="n">
        <f aca="false">I138*I$54*(1-I$58)+I138*I$55-I138*I$56-(I138-H138)*I$57</f>
        <v>152543.373741788</v>
      </c>
      <c r="J139" s="12" t="n">
        <f aca="false">J138*J$54*(1-J$58)+J138*J$55-J138*J$56-(J138-I138)*J$57</f>
        <v>185677.160404623</v>
      </c>
      <c r="K139" s="12" t="n">
        <f aca="false">K138*K$54*(1-K$58)+K138*K$55-K138*K$56-(K138-J138)*K$57</f>
        <v>209996.411246859</v>
      </c>
      <c r="L139" s="12" t="n">
        <f aca="false">L138*L$54*(1-L$58)+L138*L$55-L138*L$56-(L138-K138)*L$57</f>
        <v>231602.436404277</v>
      </c>
      <c r="M139" s="12" t="n">
        <f aca="false">M138*M$54*(1-M$58)+M138*M$55-M138*M$56-(M138-L138)*M$57</f>
        <v>247539.448292279</v>
      </c>
      <c r="N139" s="12" t="n">
        <f aca="false">N138*N$54*(1-N$58)+N138*N$55-N138*N$56-(N138-M138)*N$57</f>
        <v>259491.862520476</v>
      </c>
      <c r="O139" s="68" t="n">
        <f aca="false">O138*O$54*(1-O$58)+O138*O$55-O138*O$56-(O138-N138)*O$57</f>
        <v>267743.252604688</v>
      </c>
    </row>
    <row r="140" customFormat="false" ht="15" hidden="false" customHeight="false" outlineLevel="0" collapsed="false">
      <c r="A140" s="67" t="n">
        <f aca="false">A130</f>
        <v>-0.015</v>
      </c>
      <c r="B140" s="9" t="s">
        <v>43</v>
      </c>
      <c r="C140" s="9"/>
      <c r="D140" s="9"/>
      <c r="E140" s="9"/>
      <c r="F140" s="12" t="n">
        <f aca="false">$E$64*(1+F$53+$A140)</f>
        <v>379955.655</v>
      </c>
      <c r="G140" s="12" t="n">
        <f aca="false">F140*(1+G$53+$A140)</f>
        <v>431249.668425</v>
      </c>
      <c r="H140" s="12" t="n">
        <f aca="false">G140*(1+H$53+$A140)</f>
        <v>485155.876978125</v>
      </c>
      <c r="I140" s="12" t="n">
        <f aca="false">H140*(1+I$53+$A140)</f>
        <v>540948.80283061</v>
      </c>
      <c r="J140" s="12" t="n">
        <f aca="false">I140*(1+J$53+$A140)</f>
        <v>597748.427127824</v>
      </c>
      <c r="K140" s="12" t="n">
        <f aca="false">J140*(1+K$53+$A140)</f>
        <v>654534.527704967</v>
      </c>
      <c r="L140" s="12" t="n">
        <f aca="false">K140*(1+L$53+$A140)</f>
        <v>710169.962559889</v>
      </c>
      <c r="M140" s="12" t="n">
        <f aca="false">L140*(1+M$53+$A140)</f>
        <v>756331.010126282</v>
      </c>
      <c r="N140" s="12" t="n">
        <f aca="false">M140*(1+N$53+$A140)</f>
        <v>790365.905581965</v>
      </c>
      <c r="O140" s="68" t="n">
        <f aca="false">N140*(1+O$53+$A140)</f>
        <v>814076.882749424</v>
      </c>
    </row>
    <row r="141" customFormat="false" ht="15" hidden="false" customHeight="false" outlineLevel="0" collapsed="false">
      <c r="A141" s="67" t="n">
        <f aca="false">A130</f>
        <v>-0.015</v>
      </c>
      <c r="B141" s="9" t="s">
        <v>107</v>
      </c>
      <c r="C141" s="9"/>
      <c r="D141" s="9"/>
      <c r="E141" s="9"/>
      <c r="F141" s="12" t="n">
        <f aca="false">F140*F$54*(1-F$58)+F140*F$55-F140*F$56-(F140-$E$64)*F$57</f>
        <v>61370.05578075</v>
      </c>
      <c r="G141" s="12" t="n">
        <f aca="false">G140*G$54*(1-G$58)+G140*G$55-G140*G$56-(G140-F140)*G$57</f>
        <v>87170.4712481513</v>
      </c>
      <c r="H141" s="12" t="n">
        <f aca="false">H140*H$54*(1-H$58)+H140*H$55-H140*H$56-(H140-G140)*H$57</f>
        <v>122167.640443947</v>
      </c>
      <c r="I141" s="12" t="n">
        <f aca="false">I140*I$54*(1-I$58)+I140*I$55-I140*I$56-(I140-H140)*I$57</f>
        <v>160390.71359443</v>
      </c>
      <c r="J141" s="12" t="n">
        <f aca="false">J140*J$54*(1-J$58)+J140*J$55-J140*J$56-(J140-I140)*J$57</f>
        <v>197973.197167129</v>
      </c>
      <c r="K141" s="12" t="n">
        <f aca="false">K140*K$54*(1-K$58)+K140*K$55-K140*K$56-(K140-J140)*K$57</f>
        <v>227031.427855846</v>
      </c>
      <c r="L141" s="12" t="n">
        <f aca="false">L140*L$54*(1-L$58)+L140*L$55-L140*L$56-(L140-K140)*L$57</f>
        <v>253908.997590894</v>
      </c>
      <c r="M141" s="12" t="n">
        <f aca="false">M140*M$54*(1-M$58)+M140*M$55-M140*M$56-(M140-L140)*M$57</f>
        <v>275241.992729261</v>
      </c>
      <c r="N141" s="12" t="n">
        <f aca="false">N140*N$54*(1-N$58)+N140*N$55-N140*N$56-(N140-M140)*N$57</f>
        <v>292715.983870084</v>
      </c>
      <c r="O141" s="68" t="n">
        <f aca="false">O140*O$54*(1-O$58)+O140*O$55-O140*O$56-(O140-N140)*O$57</f>
        <v>306475.445012085</v>
      </c>
    </row>
    <row r="142" customFormat="false" ht="15" hidden="false" customHeight="false" outlineLevel="0" collapsed="false">
      <c r="A142" s="67" t="n">
        <f aca="false">A131</f>
        <v>0</v>
      </c>
      <c r="B142" s="9" t="s">
        <v>43</v>
      </c>
      <c r="C142" s="9"/>
      <c r="D142" s="9"/>
      <c r="E142" s="9"/>
      <c r="F142" s="12" t="n">
        <f aca="false">$E$64*(1+F$53+$A142)</f>
        <v>384933.24</v>
      </c>
      <c r="G142" s="12" t="n">
        <f aca="false">F142*(1+G$53+$A142)</f>
        <v>442673.226</v>
      </c>
      <c r="H142" s="12" t="n">
        <f aca="false">G142*(1+H$53+$A142)</f>
        <v>504647.47764</v>
      </c>
      <c r="I142" s="12" t="n">
        <f aca="false">H142*(1+I$53+$A142)</f>
        <v>570251.6497332</v>
      </c>
      <c r="J142" s="12" t="n">
        <f aca="false">I142*(1+J$53+$A142)</f>
        <v>638681.847701184</v>
      </c>
      <c r="K142" s="12" t="n">
        <f aca="false">J142*(1+K$53+$A142)</f>
        <v>708936.850948314</v>
      </c>
      <c r="L142" s="12" t="n">
        <f aca="false">K142*(1+L$53+$A142)</f>
        <v>779830.536043146</v>
      </c>
      <c r="M142" s="12" t="n">
        <f aca="false">L142*(1+M$53+$A142)</f>
        <v>842216.978926598</v>
      </c>
      <c r="N142" s="12" t="n">
        <f aca="false">M142*(1+N$53+$A142)</f>
        <v>892749.997662193</v>
      </c>
      <c r="O142" s="68" t="n">
        <f aca="false">N142*(1+O$53+$A142)</f>
        <v>932923.747556992</v>
      </c>
    </row>
    <row r="143" customFormat="false" ht="15" hidden="false" customHeight="false" outlineLevel="0" collapsed="false">
      <c r="A143" s="67" t="n">
        <f aca="false">A131</f>
        <v>0</v>
      </c>
      <c r="B143" s="9" t="s">
        <v>107</v>
      </c>
      <c r="C143" s="9"/>
      <c r="D143" s="9"/>
      <c r="E143" s="9"/>
      <c r="F143" s="12" t="n">
        <f aca="false">F142*F$54*(1-F$58)+F142*F$55-F142*F$56-(F142-$E$64)*F$57</f>
        <v>61826.251446</v>
      </c>
      <c r="G143" s="12" t="n">
        <f aca="false">G142*G$54*(1-G$58)+G142*G$55-G142*G$56-(G142-F142)*G$57</f>
        <v>89072.5894029</v>
      </c>
      <c r="H143" s="12" t="n">
        <f aca="false">H142*H$54*(1-H$58)+H142*H$55-H142*H$56-(H142-G142)*H$57</f>
        <v>126603.657289548</v>
      </c>
      <c r="I143" s="12" t="n">
        <f aca="false">I142*I$54*(1-I$58)+I142*I$55-I142*I$56-(I142-H142)*I$57</f>
        <v>168535.856488737</v>
      </c>
      <c r="J143" s="12" t="n">
        <f aca="false">J142*J$54*(1-J$58)+J142*J$55-J142*J$56-(J142-I142)*J$57</f>
        <v>210910.994163722</v>
      </c>
      <c r="K143" s="12" t="n">
        <f aca="false">K142*K$54*(1-K$58)+K142*K$55-K142*K$56-(K142-J142)*K$57</f>
        <v>245201.457605743</v>
      </c>
      <c r="L143" s="12" t="n">
        <f aca="false">L142*L$54*(1-L$58)+L142*L$55-L142*L$56-(L142-K142)*L$57</f>
        <v>278030.85420491</v>
      </c>
      <c r="M143" s="12" t="n">
        <f aca="false">M142*M$54*(1-M$58)+M142*M$55-M142*M$56-(M142-L142)*M$57</f>
        <v>305618.706397453</v>
      </c>
      <c r="N143" s="12" t="n">
        <f aca="false">N142*N$54*(1-N$58)+N142*N$55-N142*N$56-(N142-M142)*N$57</f>
        <v>329667.30762728</v>
      </c>
      <c r="O143" s="68" t="n">
        <f aca="false">O142*O$54*(1-O$58)+O142*O$55-O142*O$56-(O142-N142)*O$57</f>
        <v>350177.615583005</v>
      </c>
    </row>
    <row r="144" customFormat="false" ht="15" hidden="false" customHeight="false" outlineLevel="0" collapsed="false">
      <c r="A144" s="67" t="n">
        <f aca="false">A132</f>
        <v>0.015</v>
      </c>
      <c r="B144" s="9" t="s">
        <v>43</v>
      </c>
      <c r="C144" s="9"/>
      <c r="D144" s="9"/>
      <c r="E144" s="9"/>
      <c r="F144" s="12" t="n">
        <f aca="false">$E$64*(1+F$53+$A144)</f>
        <v>389910.825</v>
      </c>
      <c r="G144" s="12" t="n">
        <f aca="false">F144*(1+G$53+$A144)</f>
        <v>454246.111125</v>
      </c>
      <c r="H144" s="12" t="n">
        <f aca="false">G144*(1+H$53+$A144)</f>
        <v>524654.258349375</v>
      </c>
      <c r="I144" s="12" t="n">
        <f aca="false">H144*(1+I$53+$A144)</f>
        <v>600729.125810034</v>
      </c>
      <c r="J144" s="12" t="n">
        <f aca="false">I144*(1+J$53+$A144)</f>
        <v>681827.557794389</v>
      </c>
      <c r="K144" s="12" t="n">
        <f aca="false">J144*(1+K$53+$A144)</f>
        <v>767056.002518687</v>
      </c>
      <c r="L144" s="12" t="n">
        <f aca="false">K144*(1+L$53+$A144)</f>
        <v>855267.442808336</v>
      </c>
      <c r="M144" s="12" t="n">
        <f aca="false">L144*(1+M$53+$A144)</f>
        <v>936517.849875128</v>
      </c>
      <c r="N144" s="12" t="n">
        <f aca="false">M144*(1+N$53+$A144)</f>
        <v>1006756.68861576</v>
      </c>
      <c r="O144" s="68" t="n">
        <f aca="false">N144*(1+O$53+$A144)</f>
        <v>1067162.08993271</v>
      </c>
    </row>
    <row r="145" customFormat="false" ht="15" hidden="false" customHeight="false" outlineLevel="0" collapsed="false">
      <c r="A145" s="67" t="n">
        <f aca="false">A132</f>
        <v>0.015</v>
      </c>
      <c r="B145" s="9" t="s">
        <v>107</v>
      </c>
      <c r="C145" s="9"/>
      <c r="D145" s="9"/>
      <c r="E145" s="9"/>
      <c r="F145" s="12" t="n">
        <f aca="false">F144*F$54*(1-F$58)+F144*F$55-F144*F$56-(F144-$E$64)*F$57</f>
        <v>62282.44711125</v>
      </c>
      <c r="G145" s="12" t="n">
        <f aca="false">G144*G$54*(1-G$58)+G144*G$55-G144*G$56-(G144-F144)*G$57</f>
        <v>90994.3665296063</v>
      </c>
      <c r="H145" s="12" t="n">
        <f aca="false">H144*H$54*(1-H$58)+H144*H$55-H144*H$56-(H144-G144)*H$57</f>
        <v>131144.713373732</v>
      </c>
      <c r="I145" s="12" t="n">
        <f aca="false">I144*I$54*(1-I$58)+I144*I$55-I144*I$56-(I144-H144)*I$57</f>
        <v>176986.211693755</v>
      </c>
      <c r="J145" s="12" t="n">
        <f aca="false">J144*J$54*(1-J$58)+J144*J$55-J144*J$56-(J144-I144)*J$57</f>
        <v>224515.302021991</v>
      </c>
      <c r="K145" s="12" t="n">
        <f aca="false">K144*K$54*(1-K$58)+K144*K$55-K144*K$56-(K144-J144)*K$57</f>
        <v>264566.138113168</v>
      </c>
      <c r="L145" s="12" t="n">
        <f aca="false">L144*L$54*(1-L$58)+L144*L$55-L144*L$56-(L144-K144)*L$57</f>
        <v>304089.380470501</v>
      </c>
      <c r="M145" s="12" t="n">
        <f aca="false">M144*M$54*(1-M$58)+M144*M$55-M144*M$56-(M144-L144)*M$57</f>
        <v>338887.750468604</v>
      </c>
      <c r="N145" s="12" t="n">
        <f aca="false">N144*N$54*(1-N$58)+N144*N$55-N144*N$56-(N144-M144)*N$57</f>
        <v>370706.543105321</v>
      </c>
      <c r="O145" s="68" t="n">
        <f aca="false">O144*O$54*(1-O$58)+O144*O$55-O144*O$56-(O144-N144)*O$57</f>
        <v>399408.567561154</v>
      </c>
    </row>
    <row r="146" customFormat="false" ht="15" hidden="false" customHeight="false" outlineLevel="0" collapsed="false">
      <c r="A146" s="67" t="n">
        <f aca="false">A133</f>
        <v>0.03</v>
      </c>
      <c r="B146" s="9" t="s">
        <v>43</v>
      </c>
      <c r="C146" s="9"/>
      <c r="D146" s="9"/>
      <c r="E146" s="9"/>
      <c r="F146" s="12" t="n">
        <f aca="false">$E$64*(1+F$53+$A146)</f>
        <v>394888.41</v>
      </c>
      <c r="G146" s="12" t="n">
        <f aca="false">F146*(1+G$53+$A146)</f>
        <v>465968.3238</v>
      </c>
      <c r="H146" s="12" t="n">
        <f aca="false">G146*(1+H$53+$A146)</f>
        <v>545182.938846</v>
      </c>
      <c r="I146" s="12" t="n">
        <f aca="false">H146*(1+I$53+$A146)</f>
        <v>632412.20906136</v>
      </c>
      <c r="J146" s="12" t="n">
        <f aca="false">I146*(1+J$53+$A146)</f>
        <v>727274.040420564</v>
      </c>
      <c r="K146" s="12" t="n">
        <f aca="false">J146*(1+K$53+$A146)</f>
        <v>829092.406079443</v>
      </c>
      <c r="L146" s="12" t="n">
        <f aca="false">K146*(1+L$53+$A146)</f>
        <v>936874.418869771</v>
      </c>
      <c r="M146" s="12" t="n">
        <f aca="false">L146*(1+M$53+$A146)</f>
        <v>1039930.60494545</v>
      </c>
      <c r="N146" s="12" t="n">
        <f aca="false">M146*(1+N$53+$A146)</f>
        <v>1133524.35939054</v>
      </c>
      <c r="O146" s="68" t="n">
        <f aca="false">N146*(1+O$53+$A146)</f>
        <v>1218538.68634483</v>
      </c>
    </row>
    <row r="147" customFormat="false" ht="15" hidden="false" customHeight="false" outlineLevel="0" collapsed="false">
      <c r="A147" s="69" t="n">
        <f aca="false">A133</f>
        <v>0.03</v>
      </c>
      <c r="B147" s="70" t="s">
        <v>107</v>
      </c>
      <c r="C147" s="70"/>
      <c r="D147" s="70"/>
      <c r="E147" s="70"/>
      <c r="F147" s="71" t="n">
        <f aca="false">F146*F$54*(1-F$58)+F146*F$55-F146*F$56-(F146-$E$64)*F$57</f>
        <v>62738.6427765</v>
      </c>
      <c r="G147" s="71" t="n">
        <f aca="false">G146*G$54*(1-G$58)+G146*G$55-G146*G$56-(G146-F146)*G$57</f>
        <v>92935.80262827</v>
      </c>
      <c r="H147" s="71" t="n">
        <f aca="false">H146*H$54*(1-H$58)+H146*H$55-H146*H$56-(H146-G146)*H$57</f>
        <v>135792.022953472</v>
      </c>
      <c r="I147" s="71" t="n">
        <f aca="false">I146*I$54*(1-I$58)+I146*I$55-I146*I$56-(I146-H146)*I$57</f>
        <v>185749.279094221</v>
      </c>
      <c r="J147" s="71" t="n">
        <f aca="false">J146*J$54*(1-J$58)+J146*J$55-J146*J$56-(J146-I146)*J$57</f>
        <v>238811.498385751</v>
      </c>
      <c r="K147" s="71" t="n">
        <f aca="false">K146*K$54*(1-K$58)+K146*K$55-K146*K$56-(K146-J146)*K$57</f>
        <v>285187.424018197</v>
      </c>
      <c r="L147" s="71" t="n">
        <f aca="false">L146*L$54*(1-L$58)+L146*L$55-L146*L$56-(L146-K146)*L$57</f>
        <v>332212.352561596</v>
      </c>
      <c r="M147" s="71" t="n">
        <f aca="false">M146*M$54*(1-M$58)+M146*M$55-M146*M$56-(M146-L146)*M$57</f>
        <v>375281.912217826</v>
      </c>
      <c r="N147" s="71" t="n">
        <f aca="false">N146*N$54*(1-N$58)+N146*N$55-N146*N$56-(N146-M146)*N$57</f>
        <v>416223.905184575</v>
      </c>
      <c r="O147" s="72" t="n">
        <f aca="false">O146*O$54*(1-O$58)+O146*O$55-O146*O$56-(O146-N146)*O$57</f>
        <v>454781.308231077</v>
      </c>
    </row>
    <row r="149" customFormat="false" ht="15" hidden="false" customHeight="false" outlineLevel="0" collapsed="false">
      <c r="A149" s="6" t="s">
        <v>108</v>
      </c>
      <c r="B149" s="6"/>
      <c r="C149" s="6"/>
      <c r="D149" s="6"/>
      <c r="E149" s="6"/>
      <c r="F149" s="6"/>
      <c r="G149" s="6"/>
    </row>
    <row r="150" customFormat="false" ht="15" hidden="false" customHeight="false" outlineLevel="0" collapsed="false">
      <c r="A150" s="54" t="s">
        <v>109</v>
      </c>
      <c r="B150" s="73" t="n">
        <f aca="false">WACC!$B$4-0.005</f>
        <v>0.0469</v>
      </c>
      <c r="C150" s="73" t="n">
        <f aca="false">WACC!$B$4-0.0025</f>
        <v>0.0494</v>
      </c>
      <c r="D150" s="73" t="n">
        <f aca="false">WACC!$B$4</f>
        <v>0.0519</v>
      </c>
      <c r="E150" s="73" t="n">
        <f aca="false">WACC!$B$4+0.0025</f>
        <v>0.0544</v>
      </c>
      <c r="F150" s="73" t="n">
        <f aca="false">WACC!$B$4+0.005</f>
        <v>0.0569</v>
      </c>
      <c r="G150" s="10"/>
    </row>
    <row r="151" customFormat="false" ht="15" hidden="false" customHeight="false" outlineLevel="0" collapsed="false">
      <c r="A151" s="74" t="n">
        <f aca="false">WACC!$B$6-0.2</f>
        <v>0.901769724863395</v>
      </c>
      <c r="B151" s="44" t="n">
        <f aca="false">(SUMPRODUCT($F$76:$O$76/(1+((B$150+$A151*WACC!$B$8)*WACC!$B$31+(B$150+WACC!$B$13)*(1-WACC!$B$15)*WACC!$B$32+$B$59))^$F$82:$O$82)+$O$76*(1+$B$15)/(((B$150+$A151*WACC!$B$8)*WACC!$B$31+(B$150+WACC!$B$13)*(1-WACC!$B$15)*WACC!$B$32+$B$59)-$B$15)/(1+((B$150+$A151*WACC!$B$8)*WACC!$B$31+(B$150+WACC!$B$13)*(1-WACC!$B$15)*WACC!$B$32+$B$59))^$O$82-$B$12+$B$11)/$B$9</f>
        <v>518.147666391617</v>
      </c>
      <c r="C151" s="44" t="n">
        <f aca="false">(SUMPRODUCT($F$76:$O$76/(1+((C$150+$A151*WACC!$B$8)*WACC!$B$31+(C$150+WACC!$B$13)*(1-WACC!$B$15)*WACC!$B$32+$B$59))^$F$82:$O$82)+$O$76*(1+$B$15)/(((C$150+$A151*WACC!$B$8)*WACC!$B$31+(C$150+WACC!$B$13)*(1-WACC!$B$15)*WACC!$B$32+$B$59)-$B$15)/(1+((C$150+$A151*WACC!$B$8)*WACC!$B$31+(C$150+WACC!$B$13)*(1-WACC!$B$15)*WACC!$B$32+$B$59))^$O$82-$B$12+$B$11)/$B$9</f>
        <v>494.766287743055</v>
      </c>
      <c r="D151" s="44" t="n">
        <f aca="false">(SUMPRODUCT($F$76:$O$76/(1+((D$150+$A151*WACC!$B$8)*WACC!$B$31+(D$150+WACC!$B$13)*(1-WACC!$B$15)*WACC!$B$32+$B$59))^$F$82:$O$82)+$O$76*(1+$B$15)/(((D$150+$A151*WACC!$B$8)*WACC!$B$31+(D$150+WACC!$B$13)*(1-WACC!$B$15)*WACC!$B$32+$B$59)-$B$15)/(1+((D$150+$A151*WACC!$B$8)*WACC!$B$31+(D$150+WACC!$B$13)*(1-WACC!$B$15)*WACC!$B$32+$B$59))^$O$82-$B$12+$B$11)/$B$9</f>
        <v>473.197275522224</v>
      </c>
      <c r="E151" s="44" t="n">
        <f aca="false">(SUMPRODUCT($F$76:$O$76/(1+((E$150+$A151*WACC!$B$8)*WACC!$B$31+(E$150+WACC!$B$13)*(1-WACC!$B$15)*WACC!$B$32+$B$59))^$F$82:$O$82)+$O$76*(1+$B$15)/(((E$150+$A151*WACC!$B$8)*WACC!$B$31+(E$150+WACC!$B$13)*(1-WACC!$B$15)*WACC!$B$32+$B$59)-$B$15)/(1+((E$150+$A151*WACC!$B$8)*WACC!$B$31+(E$150+WACC!$B$13)*(1-WACC!$B$15)*WACC!$B$32+$B$59))^$O$82-$B$12+$B$11)/$B$9</f>
        <v>453.240928272798</v>
      </c>
      <c r="F151" s="44" t="n">
        <f aca="false">(SUMPRODUCT($F$76:$O$76/(1+((F$150+$A151*WACC!$B$8)*WACC!$B$31+(F$150+WACC!$B$13)*(1-WACC!$B$15)*WACC!$B$32+$B$59))^$F$82:$O$82)+$O$76*(1+$B$15)/(((F$150+$A151*WACC!$B$8)*WACC!$B$31+(F$150+WACC!$B$13)*(1-WACC!$B$15)*WACC!$B$32+$B$59)-$B$15)/(1+((F$150+$A151*WACC!$B$8)*WACC!$B$31+(F$150+WACC!$B$13)*(1-WACC!$B$15)*WACC!$B$32+$B$59))^$O$82-$B$12+$B$11)/$B$9</f>
        <v>434.725778609261</v>
      </c>
      <c r="G151" s="10"/>
    </row>
    <row r="152" customFormat="false" ht="15" hidden="false" customHeight="false" outlineLevel="0" collapsed="false">
      <c r="A152" s="74" t="n">
        <f aca="false">WACC!$B$6-0.1</f>
        <v>1.0017697248634</v>
      </c>
      <c r="B152" s="44" t="n">
        <f aca="false">(SUMPRODUCT($F$76:$O$76/(1+((B$150+$A152*WACC!$B$8)*WACC!$B$31+(B$150+WACC!$B$13)*(1-WACC!$B$15)*WACC!$B$32+$B$59))^$F$82:$O$82)+$O$76*(1+$B$15)/(((B$150+$A152*WACC!$B$8)*WACC!$B$31+(B$150+WACC!$B$13)*(1-WACC!$B$15)*WACC!$B$32+$B$59)-$B$15)/(1+((B$150+$A152*WACC!$B$8)*WACC!$B$31+(B$150+WACC!$B$13)*(1-WACC!$B$15)*WACC!$B$32+$B$59))^$O$82-$B$12+$B$11)/$B$9</f>
        <v>474.259220572443</v>
      </c>
      <c r="C152" s="44" t="n">
        <f aca="false">(SUMPRODUCT($F$76:$O$76/(1+((C$150+$A152*WACC!$B$8)*WACC!$B$31+(C$150+WACC!$B$13)*(1-WACC!$B$15)*WACC!$B$32+$B$59))^$F$82:$O$82)+$O$76*(1+$B$15)/(((C$150+$A152*WACC!$B$8)*WACC!$B$31+(C$150+WACC!$B$13)*(1-WACC!$B$15)*WACC!$B$32+$B$59)-$B$15)/(1+((C$150+$A152*WACC!$B$8)*WACC!$B$31+(C$150+WACC!$B$13)*(1-WACC!$B$15)*WACC!$B$32+$B$59))^$O$82-$B$12+$B$11)/$B$9</f>
        <v>454.224809172039</v>
      </c>
      <c r="D152" s="44" t="n">
        <f aca="false">(SUMPRODUCT($F$76:$O$76/(1+((D$150+$A152*WACC!$B$8)*WACC!$B$31+(D$150+WACC!$B$13)*(1-WACC!$B$15)*WACC!$B$32+$B$59))^$F$82:$O$82)+$O$76*(1+$B$15)/(((D$150+$A152*WACC!$B$8)*WACC!$B$31+(D$150+WACC!$B$13)*(1-WACC!$B$15)*WACC!$B$32+$B$59)-$B$15)/(1+((D$150+$A152*WACC!$B$8)*WACC!$B$31+(D$150+WACC!$B$13)*(1-WACC!$B$15)*WACC!$B$32+$B$59))^$O$82-$B$12+$B$11)/$B$9</f>
        <v>435.639756431833</v>
      </c>
      <c r="E152" s="44" t="n">
        <f aca="false">(SUMPRODUCT($F$76:$O$76/(1+((E$150+$A152*WACC!$B$8)*WACC!$B$31+(E$150+WACC!$B$13)*(1-WACC!$B$15)*WACC!$B$32+$B$59))^$F$82:$O$82)+$O$76*(1+$B$15)/(((E$150+$A152*WACC!$B$8)*WACC!$B$31+(E$150+WACC!$B$13)*(1-WACC!$B$15)*WACC!$B$32+$B$59)-$B$15)/(1+((E$150+$A152*WACC!$B$8)*WACC!$B$31+(E$150+WACC!$B$13)*(1-WACC!$B$15)*WACC!$B$32+$B$59))^$O$82-$B$12+$B$11)/$B$9</f>
        <v>418.354915007168</v>
      </c>
      <c r="F152" s="44" t="n">
        <f aca="false">(SUMPRODUCT($F$76:$O$76/(1+((F$150+$A152*WACC!$B$8)*WACC!$B$31+(F$150+WACC!$B$13)*(1-WACC!$B$15)*WACC!$B$32+$B$59))^$F$82:$O$82)+$O$76*(1+$B$15)/(((F$150+$A152*WACC!$B$8)*WACC!$B$31+(F$150+WACC!$B$13)*(1-WACC!$B$15)*WACC!$B$32+$B$59)-$B$15)/(1+((F$150+$A152*WACC!$B$8)*WACC!$B$31+(F$150+WACC!$B$13)*(1-WACC!$B$15)*WACC!$B$32+$B$59))^$O$82-$B$12+$B$11)/$B$9</f>
        <v>402.240867943843</v>
      </c>
      <c r="G152" s="10"/>
    </row>
    <row r="153" customFormat="false" ht="15" hidden="false" customHeight="false" outlineLevel="0" collapsed="false">
      <c r="A153" s="74" t="n">
        <f aca="false">WACC!$B$6</f>
        <v>1.1017697248634</v>
      </c>
      <c r="B153" s="44" t="n">
        <f aca="false">(SUMPRODUCT($F$76:$O$76/(1+((B$150+$A153*WACC!$B$8)*WACC!$B$31+(B$150+WACC!$B$13)*(1-WACC!$B$15)*WACC!$B$32+$B$59))^$F$82:$O$82)+$O$76*(1+$B$15)/(((B$150+$A153*WACC!$B$8)*WACC!$B$31+(B$150+WACC!$B$13)*(1-WACC!$B$15)*WACC!$B$32+$B$59)-$B$15)/(1+((B$150+$A153*WACC!$B$8)*WACC!$B$31+(B$150+WACC!$B$13)*(1-WACC!$B$15)*WACC!$B$32+$B$59))^$O$82-$B$12+$B$11)/$B$9</f>
        <v>436.557127905303</v>
      </c>
      <c r="C153" s="44" t="n">
        <f aca="false">(SUMPRODUCT($F$76:$O$76/(1+((C$150+$A153*WACC!$B$8)*WACC!$B$31+(C$150+WACC!$B$13)*(1-WACC!$B$15)*WACC!$B$32+$B$59))^$F$82:$O$82)+$O$76*(1+$B$15)/(((C$150+$A153*WACC!$B$8)*WACC!$B$31+(C$150+WACC!$B$13)*(1-WACC!$B$15)*WACC!$B$32+$B$59)-$B$15)/(1+((C$150+$A153*WACC!$B$8)*WACC!$B$31+(C$150+WACC!$B$13)*(1-WACC!$B$15)*WACC!$B$32+$B$59))^$O$82-$B$12+$B$11)/$B$9</f>
        <v>419.209110715945</v>
      </c>
      <c r="D153" s="43" t="n">
        <f aca="false">(SUMPRODUCT($F$76:$O$76/(1+((D$150+$A153*WACC!$B$8)*WACC!$B$31+(D$150+WACC!$B$13)*(1-WACC!$B$15)*WACC!$B$32+$B$59))^$F$82:$O$82)+$O$76*(1+$B$15)/(((D$150+$A153*WACC!$B$8)*WACC!$B$31+(D$150+WACC!$B$13)*(1-WACC!$B$15)*WACC!$B$32+$B$59)-$B$15)/(1+((D$150+$A153*WACC!$B$8)*WACC!$B$31+(D$150+WACC!$B$13)*(1-WACC!$B$15)*WACC!$B$32+$B$59))^$O$82-$B$12+$B$11)/$B$9</f>
        <v>403.038077684158</v>
      </c>
      <c r="E153" s="44" t="n">
        <f aca="false">(SUMPRODUCT($F$76:$O$76/(1+((E$150+$A153*WACC!$B$8)*WACC!$B$31+(E$150+WACC!$B$13)*(1-WACC!$B$15)*WACC!$B$32+$B$59))^$F$82:$O$82)+$O$76*(1+$B$15)/(((E$150+$A153*WACC!$B$8)*WACC!$B$31+(E$150+WACC!$B$13)*(1-WACC!$B$15)*WACC!$B$32+$B$59)-$B$15)/(1+((E$150+$A153*WACC!$B$8)*WACC!$B$31+(E$150+WACC!$B$13)*(1-WACC!$B$15)*WACC!$B$32+$B$59))^$O$82-$B$12+$B$11)/$B$9</f>
        <v>387.930404875731</v>
      </c>
      <c r="F153" s="44" t="n">
        <f aca="false">(SUMPRODUCT($F$76:$O$76/(1+((F$150+$A153*WACC!$B$8)*WACC!$B$31+(F$150+WACC!$B$13)*(1-WACC!$B$15)*WACC!$B$32+$B$59))^$F$82:$O$82)+$O$76*(1+$B$15)/(((F$150+$A153*WACC!$B$8)*WACC!$B$31+(F$150+WACC!$B$13)*(1-WACC!$B$15)*WACC!$B$32+$B$59)-$B$15)/(1+((F$150+$A153*WACC!$B$8)*WACC!$B$31+(F$150+WACC!$B$13)*(1-WACC!$B$15)*WACC!$B$32+$B$59))^$O$82-$B$12+$B$11)/$B$9</f>
        <v>373.786591513441</v>
      </c>
      <c r="G153" s="10"/>
    </row>
    <row r="154" customFormat="false" ht="15" hidden="false" customHeight="false" outlineLevel="0" collapsed="false">
      <c r="A154" s="74" t="n">
        <f aca="false">WACC!$B$6+0.1</f>
        <v>1.2017697248634</v>
      </c>
      <c r="B154" s="44" t="n">
        <f aca="false">(SUMPRODUCT($F$76:$O$76/(1+((B$150+$A154*WACC!$B$8)*WACC!$B$31+(B$150+WACC!$B$13)*(1-WACC!$B$15)*WACC!$B$32+$B$59))^$F$82:$O$82)+$O$76*(1+$B$15)/(((B$150+$A154*WACC!$B$8)*WACC!$B$31+(B$150+WACC!$B$13)*(1-WACC!$B$15)*WACC!$B$32+$B$59)-$B$15)/(1+((B$150+$A154*WACC!$B$8)*WACC!$B$31+(B$150+WACC!$B$13)*(1-WACC!$B$15)*WACC!$B$32+$B$59))^$O$82-$B$12+$B$11)/$B$9</f>
        <v>403.838063309071</v>
      </c>
      <c r="C154" s="44" t="n">
        <f aca="false">(SUMPRODUCT($F$76:$O$76/(1+((C$150+$A154*WACC!$B$8)*WACC!$B$31+(C$150+WACC!$B$13)*(1-WACC!$B$15)*WACC!$B$32+$B$59))^$F$82:$O$82)+$O$76*(1+$B$15)/(((C$150+$A154*WACC!$B$8)*WACC!$B$31+(C$150+WACC!$B$13)*(1-WACC!$B$15)*WACC!$B$32+$B$59)-$B$15)/(1+((C$150+$A154*WACC!$B$8)*WACC!$B$31+(C$150+WACC!$B$13)*(1-WACC!$B$15)*WACC!$B$32+$B$59))^$O$82-$B$12+$B$11)/$B$9</f>
        <v>388.678554245435</v>
      </c>
      <c r="D154" s="44" t="n">
        <f aca="false">(SUMPRODUCT($F$76:$O$76/(1+((D$150+$A154*WACC!$B$8)*WACC!$B$31+(D$150+WACC!$B$13)*(1-WACC!$B$15)*WACC!$B$32+$B$59))^$F$82:$O$82)+$O$76*(1+$B$15)/(((D$150+$A154*WACC!$B$8)*WACC!$B$31+(D$150+WACC!$B$13)*(1-WACC!$B$15)*WACC!$B$32+$B$59)-$B$15)/(1+((D$150+$A154*WACC!$B$8)*WACC!$B$31+(D$150+WACC!$B$13)*(1-WACC!$B$15)*WACC!$B$32+$B$59))^$O$82-$B$12+$B$11)/$B$9</f>
        <v>374.48768386828</v>
      </c>
      <c r="E154" s="44" t="n">
        <f aca="false">(SUMPRODUCT($F$76:$O$76/(1+((E$150+$A154*WACC!$B$8)*WACC!$B$31+(E$150+WACC!$B$13)*(1-WACC!$B$15)*WACC!$B$32+$B$59))^$F$82:$O$82)+$O$76*(1+$B$15)/(((E$150+$A154*WACC!$B$8)*WACC!$B$31+(E$150+WACC!$B$13)*(1-WACC!$B$15)*WACC!$B$32+$B$59)-$B$15)/(1+((E$150+$A154*WACC!$B$8)*WACC!$B$31+(E$150+WACC!$B$13)*(1-WACC!$B$15)*WACC!$B$32+$B$59))^$O$82-$B$12+$B$11)/$B$9</f>
        <v>361.177379570313</v>
      </c>
      <c r="F154" s="44" t="n">
        <f aca="false">(SUMPRODUCT($F$76:$O$76/(1+((F$150+$A154*WACC!$B$8)*WACC!$B$31+(F$150+WACC!$B$13)*(1-WACC!$B$15)*WACC!$B$32+$B$59))^$F$82:$O$82)+$O$76*(1+$B$15)/(((F$150+$A154*WACC!$B$8)*WACC!$B$31+(F$150+WACC!$B$13)*(1-WACC!$B$15)*WACC!$B$32+$B$59)-$B$15)/(1+((F$150+$A154*WACC!$B$8)*WACC!$B$31+(F$150+WACC!$B$13)*(1-WACC!$B$15)*WACC!$B$32+$B$59))^$O$82-$B$12+$B$11)/$B$9</f>
        <v>348.669892710607</v>
      </c>
      <c r="G154" s="10"/>
    </row>
    <row r="155" customFormat="false" ht="15" hidden="false" customHeight="false" outlineLevel="0" collapsed="false">
      <c r="A155" s="75" t="n">
        <f aca="false">WACC!$B$6+0.2</f>
        <v>1.3017697248634</v>
      </c>
      <c r="B155" s="58" t="n">
        <f aca="false">(SUMPRODUCT($F$76:$O$76/(1+((B$150+$A155*WACC!$B$8)*WACC!$B$31+(B$150+WACC!$B$13)*(1-WACC!$B$15)*WACC!$B$32+$B$59))^$F$82:$O$82)+$O$76*(1+$B$15)/(((B$150+$A155*WACC!$B$8)*WACC!$B$31+(B$150+WACC!$B$13)*(1-WACC!$B$15)*WACC!$B$32+$B$59)-$B$15)/(1+((B$150+$A155*WACC!$B$8)*WACC!$B$31+(B$150+WACC!$B$13)*(1-WACC!$B$15)*WACC!$B$32+$B$59))^$O$82-$B$12+$B$11)/$B$9</f>
        <v>375.191075221992</v>
      </c>
      <c r="C155" s="58" t="n">
        <f aca="false">(SUMPRODUCT($F$76:$O$76/(1+((C$150+$A155*WACC!$B$8)*WACC!$B$31+(C$150+WACC!$B$13)*(1-WACC!$B$15)*WACC!$B$32+$B$59))^$F$82:$O$82)+$O$76*(1+$B$15)/(((C$150+$A155*WACC!$B$8)*WACC!$B$31+(C$150+WACC!$B$13)*(1-WACC!$B$15)*WACC!$B$32+$B$59)-$B$15)/(1+((C$150+$A155*WACC!$B$8)*WACC!$B$31+(C$150+WACC!$B$13)*(1-WACC!$B$15)*WACC!$B$32+$B$59))^$O$82-$B$12+$B$11)/$B$9</f>
        <v>361.83772240379</v>
      </c>
      <c r="D155" s="58" t="n">
        <f aca="false">(SUMPRODUCT($F$76:$O$76/(1+((D$150+$A155*WACC!$B$8)*WACC!$B$31+(D$150+WACC!$B$13)*(1-WACC!$B$15)*WACC!$B$32+$B$59))^$F$82:$O$82)+$O$76*(1+$B$15)/(((D$150+$A155*WACC!$B$8)*WACC!$B$31+(D$150+WACC!$B$13)*(1-WACC!$B$15)*WACC!$B$32+$B$59)-$B$15)/(1+((D$150+$A155*WACC!$B$8)*WACC!$B$31+(D$150+WACC!$B$13)*(1-WACC!$B$15)*WACC!$B$32+$B$59))^$O$82-$B$12+$B$11)/$B$9</f>
        <v>349.290935454334</v>
      </c>
      <c r="E155" s="58" t="n">
        <f aca="false">(SUMPRODUCT($F$76:$O$76/(1+((E$150+$A155*WACC!$B$8)*WACC!$B$31+(E$150+WACC!$B$13)*(1-WACC!$B$15)*WACC!$B$32+$B$59))^$F$82:$O$82)+$O$76*(1+$B$15)/(((E$150+$A155*WACC!$B$8)*WACC!$B$31+(E$150+WACC!$B$13)*(1-WACC!$B$15)*WACC!$B$32+$B$59)-$B$15)/(1+((E$150+$A155*WACC!$B$8)*WACC!$B$31+(E$150+WACC!$B$13)*(1-WACC!$B$15)*WACC!$B$32+$B$59))^$O$82-$B$12+$B$11)/$B$9</f>
        <v>337.481399846568</v>
      </c>
      <c r="F155" s="58" t="n">
        <f aca="false">(SUMPRODUCT($F$76:$O$76/(1+((F$150+$A155*WACC!$B$8)*WACC!$B$31+(F$150+WACC!$B$13)*(1-WACC!$B$15)*WACC!$B$32+$B$59))^$F$82:$O$82)+$O$76*(1+$B$15)/(((F$150+$A155*WACC!$B$8)*WACC!$B$31+(F$150+WACC!$B$13)*(1-WACC!$B$15)*WACC!$B$32+$B$59)-$B$15)/(1+((F$150+$A155*WACC!$B$8)*WACC!$B$31+(F$150+WACC!$B$13)*(1-WACC!$B$15)*WACC!$B$32+$B$59))^$O$82-$B$12+$B$11)/$B$9</f>
        <v>326.347488800403</v>
      </c>
      <c r="G155" s="19"/>
    </row>
  </sheetData>
  <mergeCells count="13">
    <mergeCell ref="A7:D7"/>
    <mergeCell ref="A18:O18"/>
    <mergeCell ref="A29:O29"/>
    <mergeCell ref="A40:O40"/>
    <mergeCell ref="A51:O51"/>
    <mergeCell ref="A62:O62"/>
    <mergeCell ref="A80:O80"/>
    <mergeCell ref="A86:D86"/>
    <mergeCell ref="A101:D101"/>
    <mergeCell ref="A112:F112"/>
    <mergeCell ref="A119:G119"/>
    <mergeCell ref="A127:G127"/>
    <mergeCell ref="A149:G1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4" min="2" style="0" width="15"/>
  </cols>
  <sheetData>
    <row r="1" customFormat="false" ht="17.35" hidden="false" customHeight="false" outlineLevel="0" collapsed="false">
      <c r="A1" s="1" t="s">
        <v>110</v>
      </c>
    </row>
    <row r="2" customFormat="false" ht="15" hidden="false" customHeight="false" outlineLevel="0" collapsed="false">
      <c r="A2" s="0" t="s">
        <v>111</v>
      </c>
    </row>
    <row r="3" customFormat="false" ht="15" hidden="false" customHeight="false" outlineLevel="0" collapsed="false">
      <c r="A3" s="6" t="s">
        <v>112</v>
      </c>
      <c r="B3" s="6"/>
      <c r="C3" s="6"/>
      <c r="D3" s="6"/>
    </row>
    <row r="4" customFormat="false" ht="15" hidden="false" customHeight="false" outlineLevel="0" collapsed="false">
      <c r="A4" s="7" t="s">
        <v>113</v>
      </c>
      <c r="B4" s="76" t="n">
        <v>0.0519</v>
      </c>
      <c r="C4" s="9"/>
      <c r="D4" s="10"/>
    </row>
    <row r="5" customFormat="false" ht="15" hidden="false" customHeight="false" outlineLevel="0" collapsed="false">
      <c r="A5" s="7" t="s">
        <v>114</v>
      </c>
      <c r="B5" s="77" t="s">
        <v>115</v>
      </c>
      <c r="C5" s="9"/>
      <c r="D5" s="10"/>
    </row>
    <row r="6" customFormat="false" ht="15" hidden="false" customHeight="false" outlineLevel="0" collapsed="false">
      <c r="A6" s="7" t="s">
        <v>116</v>
      </c>
      <c r="B6" s="78" t="n">
        <f aca="false">Beta!H5</f>
        <v>1.1017697248634</v>
      </c>
      <c r="C6" s="9"/>
      <c r="D6" s="10"/>
    </row>
    <row r="7" customFormat="false" ht="15" hidden="false" customHeight="false" outlineLevel="0" collapsed="false">
      <c r="A7" s="7" t="s">
        <v>117</v>
      </c>
      <c r="B7" s="79" t="n">
        <f aca="false">Beta!H6</f>
        <v>60</v>
      </c>
      <c r="C7" s="9"/>
      <c r="D7" s="10"/>
    </row>
    <row r="8" customFormat="false" ht="15" hidden="false" customHeight="false" outlineLevel="0" collapsed="false">
      <c r="A8" s="7" t="s">
        <v>118</v>
      </c>
      <c r="B8" s="80" t="n">
        <v>0.05</v>
      </c>
      <c r="C8" s="9"/>
      <c r="D8" s="10"/>
    </row>
    <row r="9" customFormat="false" ht="15" hidden="false" customHeight="false" outlineLevel="0" collapsed="false">
      <c r="A9" s="16" t="s">
        <v>119</v>
      </c>
      <c r="B9" s="81" t="n">
        <f aca="false">B4+B6*B8</f>
        <v>0.10698848624317</v>
      </c>
      <c r="C9" s="18"/>
      <c r="D9" s="19"/>
    </row>
    <row r="11" customFormat="false" ht="15" hidden="false" customHeight="false" outlineLevel="0" collapsed="false">
      <c r="A11" s="6" t="s">
        <v>120</v>
      </c>
      <c r="B11" s="6"/>
      <c r="C11" s="6"/>
      <c r="D11" s="6"/>
    </row>
    <row r="12" customFormat="false" ht="15" hidden="false" customHeight="false" outlineLevel="0" collapsed="false">
      <c r="A12" s="7" t="s">
        <v>121</v>
      </c>
      <c r="B12" s="77" t="s">
        <v>122</v>
      </c>
      <c r="C12" s="9"/>
      <c r="D12" s="10"/>
    </row>
    <row r="13" customFormat="false" ht="15" hidden="false" customHeight="false" outlineLevel="0" collapsed="false">
      <c r="A13" s="7" t="s">
        <v>123</v>
      </c>
      <c r="B13" s="76" t="n">
        <v>0.004</v>
      </c>
      <c r="C13" s="9"/>
      <c r="D13" s="10"/>
    </row>
    <row r="14" customFormat="false" ht="15" hidden="false" customHeight="false" outlineLevel="0" collapsed="false">
      <c r="A14" s="7" t="s">
        <v>124</v>
      </c>
      <c r="B14" s="82" t="n">
        <f aca="false">B4+B13</f>
        <v>0.0559</v>
      </c>
      <c r="C14" s="9"/>
      <c r="D14" s="10"/>
    </row>
    <row r="15" customFormat="false" ht="15" hidden="false" customHeight="false" outlineLevel="0" collapsed="false">
      <c r="A15" s="7" t="s">
        <v>30</v>
      </c>
      <c r="B15" s="80" t="n">
        <v>0.19</v>
      </c>
      <c r="C15" s="9"/>
      <c r="D15" s="10"/>
    </row>
    <row r="16" customFormat="false" ht="15" hidden="false" customHeight="false" outlineLevel="0" collapsed="false">
      <c r="A16" s="16" t="s">
        <v>125</v>
      </c>
      <c r="B16" s="81" t="n">
        <f aca="false">B14*(1-B15)</f>
        <v>0.045279</v>
      </c>
      <c r="C16" s="18"/>
      <c r="D16" s="19"/>
    </row>
    <row r="18" customFormat="false" ht="15" hidden="false" customHeight="false" outlineLevel="0" collapsed="false">
      <c r="A18" s="6" t="s">
        <v>126</v>
      </c>
      <c r="B18" s="6"/>
      <c r="C18" s="6"/>
      <c r="D18" s="6"/>
    </row>
    <row r="19" customFormat="false" ht="15" hidden="false" customHeight="false" outlineLevel="0" collapsed="false">
      <c r="A19" s="7" t="s">
        <v>127</v>
      </c>
      <c r="B19" s="49" t="n">
        <f aca="false">DCF!B8</f>
        <v>533.69</v>
      </c>
      <c r="C19" s="9"/>
      <c r="D19" s="10"/>
    </row>
    <row r="20" customFormat="false" ht="15" hidden="false" customHeight="false" outlineLevel="0" collapsed="false">
      <c r="A20" s="7" t="s">
        <v>6</v>
      </c>
      <c r="B20" s="13" t="n">
        <f aca="false">DCF!B9</f>
        <v>7453</v>
      </c>
      <c r="C20" s="9"/>
      <c r="D20" s="10"/>
    </row>
    <row r="21" customFormat="false" ht="15" hidden="false" customHeight="false" outlineLevel="0" collapsed="false">
      <c r="A21" s="7" t="s">
        <v>128</v>
      </c>
      <c r="B21" s="12" t="n">
        <f aca="false">B19*B20</f>
        <v>3977591.57</v>
      </c>
      <c r="C21" s="9"/>
      <c r="D21" s="10"/>
    </row>
    <row r="22" customFormat="false" ht="15" hidden="false" customHeight="false" outlineLevel="0" collapsed="false">
      <c r="A22" s="7" t="s">
        <v>129</v>
      </c>
      <c r="B22" s="11" t="n">
        <v>128810</v>
      </c>
      <c r="C22" s="9"/>
      <c r="D22" s="10"/>
    </row>
    <row r="23" customFormat="false" ht="15" hidden="false" customHeight="false" outlineLevel="0" collapsed="false">
      <c r="A23" s="83" t="s">
        <v>130</v>
      </c>
      <c r="B23" s="11" t="n">
        <v>40294</v>
      </c>
      <c r="C23" s="9"/>
      <c r="D23" s="10"/>
    </row>
    <row r="24" customFormat="false" ht="15" hidden="false" customHeight="false" outlineLevel="0" collapsed="false">
      <c r="A24" s="83" t="s">
        <v>131</v>
      </c>
      <c r="B24" s="12" t="n">
        <f aca="false">B22-B23</f>
        <v>88516</v>
      </c>
      <c r="C24" s="9"/>
      <c r="D24" s="10"/>
    </row>
    <row r="25" customFormat="false" ht="15" hidden="false" customHeight="false" outlineLevel="0" collapsed="false">
      <c r="A25" s="7" t="s">
        <v>8</v>
      </c>
      <c r="B25" s="11" t="n">
        <v>76843</v>
      </c>
      <c r="C25" s="9"/>
      <c r="D25" s="10"/>
    </row>
    <row r="26" customFormat="false" ht="15" hidden="false" customHeight="false" outlineLevel="0" collapsed="false">
      <c r="A26" s="7" t="s">
        <v>10</v>
      </c>
      <c r="B26" s="12" t="n">
        <f aca="false">B22-B25</f>
        <v>51967</v>
      </c>
      <c r="C26" s="9"/>
      <c r="D26" s="10"/>
    </row>
    <row r="27" customFormat="false" ht="15" hidden="false" customHeight="false" outlineLevel="0" collapsed="false">
      <c r="A27" s="26" t="s">
        <v>132</v>
      </c>
      <c r="B27" s="35" t="n">
        <f aca="false">B21+B26</f>
        <v>4029558.57</v>
      </c>
      <c r="C27" s="18"/>
      <c r="D27" s="19"/>
    </row>
    <row r="29" customFormat="false" ht="15" hidden="false" customHeight="false" outlineLevel="0" collapsed="false">
      <c r="A29" s="6" t="s">
        <v>133</v>
      </c>
      <c r="B29" s="6"/>
      <c r="C29" s="6"/>
      <c r="D29" s="6"/>
    </row>
    <row r="30" customFormat="false" ht="15" hidden="false" customHeight="false" outlineLevel="0" collapsed="false">
      <c r="A30" s="20" t="s">
        <v>134</v>
      </c>
      <c r="B30" s="21" t="s">
        <v>135</v>
      </c>
      <c r="C30" s="21" t="s">
        <v>136</v>
      </c>
      <c r="D30" s="22" t="s">
        <v>137</v>
      </c>
    </row>
    <row r="31" customFormat="false" ht="15" hidden="false" customHeight="false" outlineLevel="0" collapsed="false">
      <c r="A31" s="7" t="s">
        <v>138</v>
      </c>
      <c r="B31" s="28" t="n">
        <f aca="false">B21/(B21+B22)</f>
        <v>0.968631903674243</v>
      </c>
      <c r="C31" s="82" t="n">
        <f aca="false">B9</f>
        <v>0.10698848624317</v>
      </c>
      <c r="D31" s="84" t="n">
        <f aca="false">B31*C31</f>
        <v>0.103632461100947</v>
      </c>
    </row>
    <row r="32" customFormat="false" ht="15" hidden="false" customHeight="false" outlineLevel="0" collapsed="false">
      <c r="A32" s="7" t="s">
        <v>139</v>
      </c>
      <c r="B32" s="28" t="n">
        <f aca="false">B22/(B21+B22)</f>
        <v>0.0313680963257571</v>
      </c>
      <c r="C32" s="82" t="n">
        <f aca="false">B16</f>
        <v>0.045279</v>
      </c>
      <c r="D32" s="84" t="n">
        <f aca="false">B32*C32</f>
        <v>0.00142031603353395</v>
      </c>
    </row>
    <row r="33" customFormat="false" ht="15" hidden="false" customHeight="false" outlineLevel="0" collapsed="false">
      <c r="A33" s="85" t="s">
        <v>94</v>
      </c>
      <c r="B33" s="18"/>
      <c r="C33" s="18"/>
      <c r="D33" s="86" t="n">
        <f aca="false">D31+D32</f>
        <v>0.105052777134481</v>
      </c>
    </row>
    <row r="35" customFormat="false" ht="15" hidden="false" customHeight="false" outlineLevel="0" collapsed="false">
      <c r="A35" s="0" t="s">
        <v>140</v>
      </c>
    </row>
  </sheetData>
  <mergeCells count="4">
    <mergeCell ref="A3:D3"/>
    <mergeCell ref="A11:D11"/>
    <mergeCell ref="A18:D18"/>
    <mergeCell ref="A29:D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5" min="2" style="0" width="15"/>
    <col collapsed="false" customWidth="true" hidden="false" outlineLevel="0" max="7" min="7" style="0" width="26"/>
    <col collapsed="false" customWidth="true" hidden="false" outlineLevel="0" max="8" min="8" style="0" width="15"/>
  </cols>
  <sheetData>
    <row r="1" customFormat="false" ht="17.35" hidden="false" customHeight="false" outlineLevel="0" collapsed="false">
      <c r="A1" s="1" t="s">
        <v>141</v>
      </c>
    </row>
    <row r="2" customFormat="false" ht="15" hidden="false" customHeight="false" outlineLevel="0" collapsed="false">
      <c r="A2" s="0" t="s">
        <v>142</v>
      </c>
    </row>
    <row r="4" customFormat="false" ht="15" hidden="false" customHeight="false" outlineLevel="0" collapsed="false">
      <c r="A4" s="87" t="s">
        <v>143</v>
      </c>
      <c r="B4" s="88" t="s">
        <v>144</v>
      </c>
      <c r="C4" s="88" t="s">
        <v>145</v>
      </c>
      <c r="D4" s="88" t="s">
        <v>146</v>
      </c>
      <c r="E4" s="89" t="s">
        <v>147</v>
      </c>
      <c r="G4" s="90" t="s">
        <v>148</v>
      </c>
      <c r="H4" s="91"/>
    </row>
    <row r="5" customFormat="false" ht="15" hidden="false" customHeight="false" outlineLevel="0" collapsed="false">
      <c r="A5" s="92" t="s">
        <v>149</v>
      </c>
      <c r="B5" s="93" t="n">
        <v>270.57</v>
      </c>
      <c r="C5" s="93" t="n">
        <v>4307.54</v>
      </c>
      <c r="D5" s="9"/>
      <c r="E5" s="10"/>
      <c r="G5" s="7" t="s">
        <v>150</v>
      </c>
      <c r="H5" s="94" t="n">
        <f aca="false">SLOPE(D6:D65,E6:E65)</f>
        <v>1.1017697248634</v>
      </c>
    </row>
    <row r="6" customFormat="false" ht="15" hidden="false" customHeight="false" outlineLevel="0" collapsed="false">
      <c r="A6" s="92" t="s">
        <v>151</v>
      </c>
      <c r="B6" s="93" t="n">
        <v>318.26</v>
      </c>
      <c r="C6" s="93" t="n">
        <v>4605.38</v>
      </c>
      <c r="D6" s="28" t="n">
        <f aca="false">B6/B5-1</f>
        <v>0.176257530398788</v>
      </c>
      <c r="E6" s="29" t="n">
        <f aca="false">C6/C5-1</f>
        <v>0.0691438733012346</v>
      </c>
      <c r="G6" s="7" t="s">
        <v>152</v>
      </c>
      <c r="H6" s="95" t="n">
        <f aca="false">COUNT(D6:D65)</f>
        <v>60</v>
      </c>
    </row>
    <row r="7" customFormat="false" ht="15" hidden="false" customHeight="false" outlineLevel="0" collapsed="false">
      <c r="A7" s="92" t="s">
        <v>153</v>
      </c>
      <c r="B7" s="93" t="n">
        <v>317.86</v>
      </c>
      <c r="C7" s="93" t="n">
        <v>4567</v>
      </c>
      <c r="D7" s="28" t="n">
        <f aca="false">B7/B6-1</f>
        <v>-0.0012568340350656</v>
      </c>
      <c r="E7" s="29" t="n">
        <f aca="false">C7/C6-1</f>
        <v>-0.00833373141847149</v>
      </c>
      <c r="G7" s="7" t="s">
        <v>154</v>
      </c>
      <c r="H7" s="96" t="n">
        <f aca="false">CORREL(D6:D65,E6:E65)</f>
        <v>0.630522123854314</v>
      </c>
    </row>
    <row r="8" customFormat="false" ht="15" hidden="false" customHeight="false" outlineLevel="0" collapsed="false">
      <c r="A8" s="92" t="s">
        <v>155</v>
      </c>
      <c r="B8" s="93" t="n">
        <v>323.37</v>
      </c>
      <c r="C8" s="93" t="n">
        <v>4766.18</v>
      </c>
      <c r="D8" s="28" t="n">
        <f aca="false">B8/B7-1</f>
        <v>0.017334675643365</v>
      </c>
      <c r="E8" s="29" t="n">
        <f aca="false">C8/C7-1</f>
        <v>0.0436128749726299</v>
      </c>
      <c r="G8" s="7" t="s">
        <v>156</v>
      </c>
      <c r="H8" s="96" t="n">
        <f aca="false">H7^2</f>
        <v>0.397558148669754</v>
      </c>
    </row>
    <row r="9" customFormat="false" ht="15" hidden="false" customHeight="false" outlineLevel="0" collapsed="false">
      <c r="A9" s="92" t="s">
        <v>157</v>
      </c>
      <c r="B9" s="93" t="n">
        <v>299</v>
      </c>
      <c r="C9" s="93" t="n">
        <v>4515.55</v>
      </c>
      <c r="D9" s="28" t="n">
        <f aca="false">B9/B8-1</f>
        <v>-0.0753625877477812</v>
      </c>
      <c r="E9" s="29" t="n">
        <f aca="false">C9/C8-1</f>
        <v>-0.0525850891069998</v>
      </c>
      <c r="G9" s="26" t="s">
        <v>158</v>
      </c>
      <c r="H9" s="97" t="n">
        <f aca="false">0.67*H5+0.33</f>
        <v>1.06818571565847</v>
      </c>
    </row>
    <row r="10" customFormat="false" ht="15" hidden="false" customHeight="false" outlineLevel="0" collapsed="false">
      <c r="A10" s="92" t="s">
        <v>159</v>
      </c>
      <c r="B10" s="93" t="n">
        <v>287.88</v>
      </c>
      <c r="C10" s="93" t="n">
        <v>4373.94</v>
      </c>
      <c r="D10" s="28" t="n">
        <f aca="false">B10/B9-1</f>
        <v>-0.037190635451505</v>
      </c>
      <c r="E10" s="29" t="n">
        <f aca="false">C10/C9-1</f>
        <v>-0.0313605208667827</v>
      </c>
    </row>
    <row r="11" customFormat="false" ht="15" hidden="false" customHeight="false" outlineLevel="0" collapsed="false">
      <c r="A11" s="92" t="s">
        <v>160</v>
      </c>
      <c r="B11" s="93" t="n">
        <v>297.05</v>
      </c>
      <c r="C11" s="93" t="n">
        <v>4530.41</v>
      </c>
      <c r="D11" s="28" t="n">
        <f aca="false">B11/B10-1</f>
        <v>0.0318535500903154</v>
      </c>
      <c r="E11" s="29" t="n">
        <f aca="false">C11/C10-1</f>
        <v>0.0357732387732801</v>
      </c>
    </row>
    <row r="12" customFormat="false" ht="15" hidden="false" customHeight="false" outlineLevel="0" collapsed="false">
      <c r="A12" s="92" t="s">
        <v>161</v>
      </c>
      <c r="B12" s="93" t="n">
        <v>267.38</v>
      </c>
      <c r="C12" s="93" t="n">
        <v>4131.93</v>
      </c>
      <c r="D12" s="28" t="n">
        <f aca="false">B12/B11-1</f>
        <v>-0.0998821747180609</v>
      </c>
      <c r="E12" s="29" t="n">
        <f aca="false">C12/C11-1</f>
        <v>-0.0879567191490394</v>
      </c>
    </row>
    <row r="13" customFormat="false" ht="15" hidden="false" customHeight="false" outlineLevel="0" collapsed="false">
      <c r="A13" s="92" t="s">
        <v>162</v>
      </c>
      <c r="B13" s="93" t="n">
        <v>262.55</v>
      </c>
      <c r="C13" s="93" t="n">
        <v>4132.15</v>
      </c>
      <c r="D13" s="28" t="n">
        <f aca="false">B13/B12-1</f>
        <v>-0.0180641783229859</v>
      </c>
      <c r="E13" s="29" t="n">
        <f aca="false">C13/C12-1</f>
        <v>5.32438836087223E-005</v>
      </c>
    </row>
    <row r="14" customFormat="false" ht="15" hidden="false" customHeight="false" outlineLevel="0" collapsed="false">
      <c r="A14" s="92" t="s">
        <v>163</v>
      </c>
      <c r="B14" s="93" t="n">
        <v>248.02</v>
      </c>
      <c r="C14" s="93" t="n">
        <v>3785.38</v>
      </c>
      <c r="D14" s="28" t="n">
        <f aca="false">B14/B13-1</f>
        <v>-0.0553418396495906</v>
      </c>
      <c r="E14" s="29" t="n">
        <f aca="false">C14/C13-1</f>
        <v>-0.0839199932238665</v>
      </c>
    </row>
    <row r="15" customFormat="false" ht="15" hidden="false" customHeight="false" outlineLevel="0" collapsed="false">
      <c r="A15" s="92" t="s">
        <v>164</v>
      </c>
      <c r="B15" s="93" t="n">
        <v>271.11</v>
      </c>
      <c r="C15" s="93" t="n">
        <v>4130.29</v>
      </c>
      <c r="D15" s="28" t="n">
        <f aca="false">B15/B14-1</f>
        <v>0.0930973308604144</v>
      </c>
      <c r="E15" s="29" t="n">
        <f aca="false">C15/C14-1</f>
        <v>0.0911163476322059</v>
      </c>
    </row>
    <row r="16" customFormat="false" ht="15" hidden="false" customHeight="false" outlineLevel="0" collapsed="false">
      <c r="A16" s="92" t="s">
        <v>165</v>
      </c>
      <c r="B16" s="93" t="n">
        <v>253.04</v>
      </c>
      <c r="C16" s="93" t="n">
        <v>3955</v>
      </c>
      <c r="D16" s="28" t="n">
        <f aca="false">B16/B15-1</f>
        <v>-0.0666519125078382</v>
      </c>
      <c r="E16" s="29" t="n">
        <f aca="false">C16/C15-1</f>
        <v>-0.0424401192168105</v>
      </c>
    </row>
    <row r="17" customFormat="false" ht="15" hidden="false" customHeight="false" outlineLevel="0" collapsed="false">
      <c r="A17" s="92" t="s">
        <v>166</v>
      </c>
      <c r="B17" s="93" t="n">
        <v>225.39</v>
      </c>
      <c r="C17" s="93" t="n">
        <v>3585.62</v>
      </c>
      <c r="D17" s="28" t="n">
        <f aca="false">B17/B16-1</f>
        <v>-0.109271261460639</v>
      </c>
      <c r="E17" s="29" t="n">
        <f aca="false">C17/C16-1</f>
        <v>-0.0933957016434893</v>
      </c>
    </row>
    <row r="18" customFormat="false" ht="15" hidden="false" customHeight="false" outlineLevel="0" collapsed="false">
      <c r="A18" s="92" t="s">
        <v>167</v>
      </c>
      <c r="B18" s="93" t="n">
        <v>224.65</v>
      </c>
      <c r="C18" s="93" t="n">
        <v>3871.98</v>
      </c>
      <c r="D18" s="28" t="n">
        <f aca="false">B18/B17-1</f>
        <v>-0.00328319801233412</v>
      </c>
      <c r="E18" s="29" t="n">
        <f aca="false">C18/C17-1</f>
        <v>0.0798634545768933</v>
      </c>
    </row>
    <row r="19" customFormat="false" ht="15" hidden="false" customHeight="false" outlineLevel="0" collapsed="false">
      <c r="A19" s="92" t="s">
        <v>168</v>
      </c>
      <c r="B19" s="93" t="n">
        <v>247.61</v>
      </c>
      <c r="C19" s="93" t="n">
        <v>4080.11</v>
      </c>
      <c r="D19" s="28" t="n">
        <f aca="false">B19/B18-1</f>
        <v>0.102203427553973</v>
      </c>
      <c r="E19" s="29" t="n">
        <f aca="false">C19/C18-1</f>
        <v>0.0537528602936999</v>
      </c>
    </row>
    <row r="20" customFormat="false" ht="15" hidden="false" customHeight="false" outlineLevel="0" collapsed="false">
      <c r="A20" s="92" t="s">
        <v>169</v>
      </c>
      <c r="B20" s="93" t="n">
        <v>232.74</v>
      </c>
      <c r="C20" s="93" t="n">
        <v>3839.5</v>
      </c>
      <c r="D20" s="28" t="n">
        <f aca="false">B20/B19-1</f>
        <v>-0.0600541173619805</v>
      </c>
      <c r="E20" s="29" t="n">
        <f aca="false">C20/C19-1</f>
        <v>-0.0589714492991611</v>
      </c>
    </row>
    <row r="21" customFormat="false" ht="15" hidden="false" customHeight="false" outlineLevel="0" collapsed="false">
      <c r="A21" s="92" t="s">
        <v>170</v>
      </c>
      <c r="B21" s="93" t="n">
        <v>240.5</v>
      </c>
      <c r="C21" s="93" t="n">
        <v>4076.6</v>
      </c>
      <c r="D21" s="28" t="n">
        <f aca="false">B21/B20-1</f>
        <v>0.0333419266133883</v>
      </c>
      <c r="E21" s="29" t="n">
        <f aca="false">C21/C20-1</f>
        <v>0.061752832400052</v>
      </c>
    </row>
    <row r="22" customFormat="false" ht="15" hidden="false" customHeight="false" outlineLevel="0" collapsed="false">
      <c r="A22" s="92" t="s">
        <v>171</v>
      </c>
      <c r="B22" s="93" t="n">
        <v>242.67</v>
      </c>
      <c r="C22" s="93" t="n">
        <v>3970.15</v>
      </c>
      <c r="D22" s="28" t="n">
        <f aca="false">B22/B21-1</f>
        <v>0.00902286902286886</v>
      </c>
      <c r="E22" s="29" t="n">
        <f aca="false">C22/C21-1</f>
        <v>-0.0261124466467153</v>
      </c>
    </row>
    <row r="23" customFormat="false" ht="15" hidden="false" customHeight="false" outlineLevel="0" collapsed="false">
      <c r="A23" s="92" t="s">
        <v>172</v>
      </c>
      <c r="B23" s="93" t="n">
        <v>280.49</v>
      </c>
      <c r="C23" s="93" t="n">
        <v>4109.31</v>
      </c>
      <c r="D23" s="28" t="n">
        <f aca="false">B23/B22-1</f>
        <v>0.155849507561709</v>
      </c>
      <c r="E23" s="29" t="n">
        <f aca="false">C23/C22-1</f>
        <v>0.035051572358727</v>
      </c>
    </row>
    <row r="24" customFormat="false" ht="15" hidden="false" customHeight="false" outlineLevel="0" collapsed="false">
      <c r="A24" s="92" t="s">
        <v>173</v>
      </c>
      <c r="B24" s="93" t="n">
        <v>298.94</v>
      </c>
      <c r="C24" s="93" t="n">
        <v>4169.48</v>
      </c>
      <c r="D24" s="28" t="n">
        <f aca="false">B24/B23-1</f>
        <v>0.0657777460872044</v>
      </c>
      <c r="E24" s="29" t="n">
        <f aca="false">C24/C23-1</f>
        <v>0.0146423608829704</v>
      </c>
    </row>
    <row r="25" customFormat="false" ht="15" hidden="false" customHeight="false" outlineLevel="0" collapsed="false">
      <c r="A25" s="92" t="s">
        <v>174</v>
      </c>
      <c r="B25" s="93" t="n">
        <v>320.2</v>
      </c>
      <c r="C25" s="93" t="n">
        <v>4179.83</v>
      </c>
      <c r="D25" s="28" t="n">
        <f aca="false">B25/B24-1</f>
        <v>0.0711179500903192</v>
      </c>
      <c r="E25" s="29" t="n">
        <f aca="false">C25/C24-1</f>
        <v>0.00248232393487924</v>
      </c>
    </row>
    <row r="26" customFormat="false" ht="15" hidden="false" customHeight="false" outlineLevel="0" collapsed="false">
      <c r="A26" s="92" t="s">
        <v>175</v>
      </c>
      <c r="B26" s="93" t="n">
        <v>332.04</v>
      </c>
      <c r="C26" s="93" t="n">
        <v>4450.38</v>
      </c>
      <c r="D26" s="28" t="n">
        <f aca="false">B26/B25-1</f>
        <v>0.0369768894440976</v>
      </c>
      <c r="E26" s="29" t="n">
        <f aca="false">C26/C25-1</f>
        <v>0.0647275128414313</v>
      </c>
    </row>
    <row r="27" customFormat="false" ht="15" hidden="false" customHeight="false" outlineLevel="0" collapsed="false">
      <c r="A27" s="92" t="s">
        <v>176</v>
      </c>
      <c r="B27" s="93" t="n">
        <v>327.54</v>
      </c>
      <c r="C27" s="93" t="n">
        <v>4588.96</v>
      </c>
      <c r="D27" s="28" t="n">
        <f aca="false">B27/B26-1</f>
        <v>-0.013552584026021</v>
      </c>
      <c r="E27" s="29" t="n">
        <f aca="false">C27/C26-1</f>
        <v>0.0311389139803793</v>
      </c>
    </row>
    <row r="28" customFormat="false" ht="15" hidden="false" customHeight="false" outlineLevel="0" collapsed="false">
      <c r="A28" s="92" t="s">
        <v>177</v>
      </c>
      <c r="B28" s="93" t="n">
        <v>320.26</v>
      </c>
      <c r="C28" s="93" t="n">
        <v>4507.66</v>
      </c>
      <c r="D28" s="28" t="n">
        <f aca="false">B28/B27-1</f>
        <v>-0.0222262929718509</v>
      </c>
      <c r="E28" s="29" t="n">
        <f aca="false">C28/C27-1</f>
        <v>-0.0177164324814337</v>
      </c>
    </row>
    <row r="29" customFormat="false" ht="15" hidden="false" customHeight="false" outlineLevel="0" collapsed="false">
      <c r="A29" s="92" t="s">
        <v>178</v>
      </c>
      <c r="B29" s="93" t="n">
        <v>308.52</v>
      </c>
      <c r="C29" s="93" t="n">
        <v>4288.05</v>
      </c>
      <c r="D29" s="28" t="n">
        <f aca="false">B29/B28-1</f>
        <v>-0.0366577156060701</v>
      </c>
      <c r="E29" s="29" t="n">
        <f aca="false">C29/C28-1</f>
        <v>-0.048719291162155</v>
      </c>
    </row>
    <row r="30" customFormat="false" ht="15" hidden="false" customHeight="false" outlineLevel="0" collapsed="false">
      <c r="A30" s="92" t="s">
        <v>179</v>
      </c>
      <c r="B30" s="93" t="n">
        <v>330.37</v>
      </c>
      <c r="C30" s="93" t="n">
        <v>4193.8</v>
      </c>
      <c r="D30" s="28" t="n">
        <f aca="false">B30/B29-1</f>
        <v>0.0708219888499937</v>
      </c>
      <c r="E30" s="29" t="n">
        <f aca="false">C30/C29-1</f>
        <v>-0.0219796877368501</v>
      </c>
    </row>
    <row r="31" customFormat="false" ht="15" hidden="false" customHeight="false" outlineLevel="0" collapsed="false">
      <c r="A31" s="92" t="s">
        <v>180</v>
      </c>
      <c r="B31" s="93" t="n">
        <v>370.99</v>
      </c>
      <c r="C31" s="93" t="n">
        <v>4567.8</v>
      </c>
      <c r="D31" s="28" t="n">
        <f aca="false">B31/B30-1</f>
        <v>0.122953052637951</v>
      </c>
      <c r="E31" s="29" t="n">
        <f aca="false">C31/C30-1</f>
        <v>0.0891792646287377</v>
      </c>
    </row>
    <row r="32" customFormat="false" ht="15" hidden="false" customHeight="false" outlineLevel="0" collapsed="false">
      <c r="A32" s="92" t="s">
        <v>181</v>
      </c>
      <c r="B32" s="93" t="n">
        <v>368.18</v>
      </c>
      <c r="C32" s="93" t="n">
        <v>4769.83</v>
      </c>
      <c r="D32" s="28" t="n">
        <f aca="false">B32/B31-1</f>
        <v>-0.00757432814900672</v>
      </c>
      <c r="E32" s="29" t="n">
        <f aca="false">C32/C31-1</f>
        <v>0.0442291694032138</v>
      </c>
    </row>
    <row r="33" customFormat="false" ht="15" hidden="false" customHeight="false" outlineLevel="0" collapsed="false">
      <c r="A33" s="92" t="s">
        <v>182</v>
      </c>
      <c r="B33" s="93" t="n">
        <v>389.27</v>
      </c>
      <c r="C33" s="93" t="n">
        <v>4845.65</v>
      </c>
      <c r="D33" s="28" t="n">
        <f aca="false">B33/B32-1</f>
        <v>0.0572817643543917</v>
      </c>
      <c r="E33" s="29" t="n">
        <f aca="false">C33/C32-1</f>
        <v>0.0158957447120756</v>
      </c>
    </row>
    <row r="34" customFormat="false" ht="15" hidden="false" customHeight="false" outlineLevel="0" collapsed="false">
      <c r="A34" s="92" t="s">
        <v>183</v>
      </c>
      <c r="B34" s="93" t="n">
        <v>405.74</v>
      </c>
      <c r="C34" s="93" t="n">
        <v>5096.27</v>
      </c>
      <c r="D34" s="28" t="n">
        <f aca="false">B34/B33-1</f>
        <v>0.0423099648059189</v>
      </c>
      <c r="E34" s="29" t="n">
        <f aca="false">C34/C33-1</f>
        <v>0.0517206153973153</v>
      </c>
    </row>
    <row r="35" customFormat="false" ht="15" hidden="false" customHeight="false" outlineLevel="0" collapsed="false">
      <c r="A35" s="92" t="s">
        <v>184</v>
      </c>
      <c r="B35" s="93" t="n">
        <v>412.69</v>
      </c>
      <c r="C35" s="93" t="n">
        <v>5254.35</v>
      </c>
      <c r="D35" s="28" t="n">
        <f aca="false">B35/B34-1</f>
        <v>0.0171291960368709</v>
      </c>
      <c r="E35" s="29" t="n">
        <f aca="false">C35/C34-1</f>
        <v>0.0310187647043818</v>
      </c>
    </row>
    <row r="36" customFormat="false" ht="15" hidden="false" customHeight="false" outlineLevel="0" collapsed="false">
      <c r="A36" s="92" t="s">
        <v>185</v>
      </c>
      <c r="B36" s="93" t="n">
        <v>381.9</v>
      </c>
      <c r="C36" s="93" t="n">
        <v>5035.69</v>
      </c>
      <c r="D36" s="28" t="n">
        <f aca="false">B36/B35-1</f>
        <v>-0.0746080593181323</v>
      </c>
      <c r="E36" s="29" t="n">
        <f aca="false">C36/C35-1</f>
        <v>-0.0416150427740826</v>
      </c>
    </row>
    <row r="37" customFormat="false" ht="15" hidden="false" customHeight="false" outlineLevel="0" collapsed="false">
      <c r="A37" s="92" t="s">
        <v>186</v>
      </c>
      <c r="B37" s="93" t="n">
        <v>407.94</v>
      </c>
      <c r="C37" s="93" t="n">
        <v>5277.51</v>
      </c>
      <c r="D37" s="28" t="n">
        <f aca="false">B37/B36-1</f>
        <v>0.0681853888452475</v>
      </c>
      <c r="E37" s="29" t="n">
        <f aca="false">C37/C36-1</f>
        <v>0.0480212244995226</v>
      </c>
    </row>
    <row r="38" customFormat="false" ht="15" hidden="false" customHeight="false" outlineLevel="0" collapsed="false">
      <c r="A38" s="92" t="s">
        <v>187</v>
      </c>
      <c r="B38" s="93" t="n">
        <v>439.21</v>
      </c>
      <c r="C38" s="93" t="n">
        <v>5460.48</v>
      </c>
      <c r="D38" s="28" t="n">
        <f aca="false">B38/B37-1</f>
        <v>0.0766534294258958</v>
      </c>
      <c r="E38" s="29" t="n">
        <f aca="false">C38/C37-1</f>
        <v>0.0346697590340899</v>
      </c>
    </row>
    <row r="39" customFormat="false" ht="15" hidden="false" customHeight="false" outlineLevel="0" collapsed="false">
      <c r="A39" s="92" t="s">
        <v>188</v>
      </c>
      <c r="B39" s="93" t="n">
        <v>411.1</v>
      </c>
      <c r="C39" s="93" t="n">
        <v>5522.3</v>
      </c>
      <c r="D39" s="28" t="n">
        <f aca="false">B39/B38-1</f>
        <v>-0.0640012750165068</v>
      </c>
      <c r="E39" s="29" t="n">
        <f aca="false">C39/C38-1</f>
        <v>0.0113213490389124</v>
      </c>
    </row>
    <row r="40" customFormat="false" ht="15" hidden="false" customHeight="false" outlineLevel="0" collapsed="false">
      <c r="A40" s="92" t="s">
        <v>189</v>
      </c>
      <c r="B40" s="93" t="n">
        <v>410.65</v>
      </c>
      <c r="C40" s="93" t="n">
        <v>5648.4</v>
      </c>
      <c r="D40" s="28" t="n">
        <f aca="false">B40/B39-1</f>
        <v>-0.00109462417903194</v>
      </c>
      <c r="E40" s="29" t="n">
        <f aca="false">C40/C39-1</f>
        <v>0.0228346884450319</v>
      </c>
    </row>
    <row r="41" customFormat="false" ht="15" hidden="false" customHeight="false" outlineLevel="0" collapsed="false">
      <c r="A41" s="92" t="s">
        <v>190</v>
      </c>
      <c r="B41" s="93" t="n">
        <v>423.61</v>
      </c>
      <c r="C41" s="93" t="n">
        <v>5762.48</v>
      </c>
      <c r="D41" s="28" t="n">
        <f aca="false">B41/B40-1</f>
        <v>0.0315597223913309</v>
      </c>
      <c r="E41" s="29" t="n">
        <f aca="false">C41/C40-1</f>
        <v>0.020196869910063</v>
      </c>
    </row>
    <row r="42" customFormat="false" ht="15" hidden="false" customHeight="false" outlineLevel="0" collapsed="false">
      <c r="A42" s="92" t="s">
        <v>191</v>
      </c>
      <c r="B42" s="93" t="n">
        <v>400.03</v>
      </c>
      <c r="C42" s="93" t="n">
        <v>5705.45</v>
      </c>
      <c r="D42" s="28" t="n">
        <f aca="false">B42/B41-1</f>
        <v>-0.0556644083000875</v>
      </c>
      <c r="E42" s="29" t="n">
        <f aca="false">C42/C41-1</f>
        <v>-0.00989678055281751</v>
      </c>
    </row>
    <row r="43" customFormat="false" ht="15" hidden="false" customHeight="false" outlineLevel="0" collapsed="false">
      <c r="A43" s="92" t="s">
        <v>192</v>
      </c>
      <c r="B43" s="93" t="n">
        <v>417.71</v>
      </c>
      <c r="C43" s="93" t="n">
        <v>6032.38</v>
      </c>
      <c r="D43" s="28" t="n">
        <f aca="false">B43/B42-1</f>
        <v>0.0441966852486064</v>
      </c>
      <c r="E43" s="29" t="n">
        <f aca="false">C43/C42-1</f>
        <v>0.0573013522158639</v>
      </c>
    </row>
    <row r="44" customFormat="false" ht="15" hidden="false" customHeight="false" outlineLevel="0" collapsed="false">
      <c r="A44" s="92" t="s">
        <v>193</v>
      </c>
      <c r="B44" s="93" t="n">
        <v>415.78</v>
      </c>
      <c r="C44" s="93" t="n">
        <v>5881.63</v>
      </c>
      <c r="D44" s="28" t="n">
        <f aca="false">B44/B43-1</f>
        <v>-0.00462043044217286</v>
      </c>
      <c r="E44" s="29" t="n">
        <f aca="false">C44/C43-1</f>
        <v>-0.024990136563015</v>
      </c>
    </row>
    <row r="45" customFormat="false" ht="15" hidden="false" customHeight="false" outlineLevel="0" collapsed="false">
      <c r="A45" s="92" t="s">
        <v>194</v>
      </c>
      <c r="B45" s="93" t="n">
        <v>409.42</v>
      </c>
      <c r="C45" s="93" t="n">
        <v>6040.53</v>
      </c>
      <c r="D45" s="28" t="n">
        <f aca="false">B45/B44-1</f>
        <v>-0.015296551060657</v>
      </c>
      <c r="E45" s="29" t="n">
        <f aca="false">C45/C44-1</f>
        <v>0.0270163203057656</v>
      </c>
    </row>
    <row r="46" customFormat="false" ht="15" hidden="false" customHeight="false" outlineLevel="0" collapsed="false">
      <c r="A46" s="92" t="s">
        <v>195</v>
      </c>
      <c r="B46" s="93" t="n">
        <v>392.38</v>
      </c>
      <c r="C46" s="93" t="n">
        <v>5954.5</v>
      </c>
      <c r="D46" s="28" t="n">
        <f aca="false">B46/B45-1</f>
        <v>-0.0416198524742318</v>
      </c>
      <c r="E46" s="29" t="n">
        <f aca="false">C46/C45-1</f>
        <v>-0.0142421277603124</v>
      </c>
    </row>
    <row r="47" customFormat="false" ht="15" hidden="false" customHeight="false" outlineLevel="0" collapsed="false">
      <c r="A47" s="92" t="s">
        <v>196</v>
      </c>
      <c r="B47" s="93" t="n">
        <v>371.03</v>
      </c>
      <c r="C47" s="93" t="n">
        <v>5611.85</v>
      </c>
      <c r="D47" s="28" t="n">
        <f aca="false">B47/B46-1</f>
        <v>-0.0544115398338346</v>
      </c>
      <c r="E47" s="29" t="n">
        <f aca="false">C47/C46-1</f>
        <v>-0.0575447140817869</v>
      </c>
    </row>
    <row r="48" customFormat="false" ht="15" hidden="false" customHeight="false" outlineLevel="0" collapsed="false">
      <c r="A48" s="92" t="s">
        <v>197</v>
      </c>
      <c r="B48" s="93" t="n">
        <v>390.67</v>
      </c>
      <c r="C48" s="93" t="n">
        <v>5569.06</v>
      </c>
      <c r="D48" s="28" t="n">
        <f aca="false">B48/B47-1</f>
        <v>0.0529337250357116</v>
      </c>
      <c r="E48" s="29" t="n">
        <f aca="false">C48/C47-1</f>
        <v>-0.00762493651826046</v>
      </c>
    </row>
    <row r="49" customFormat="false" ht="15" hidden="false" customHeight="false" outlineLevel="0" collapsed="false">
      <c r="A49" s="92" t="s">
        <v>198</v>
      </c>
      <c r="B49" s="93" t="n">
        <v>455.85</v>
      </c>
      <c r="C49" s="93" t="n">
        <v>5911.69</v>
      </c>
      <c r="D49" s="28" t="n">
        <f aca="false">B49/B48-1</f>
        <v>0.166841579850001</v>
      </c>
      <c r="E49" s="29" t="n">
        <f aca="false">C49/C48-1</f>
        <v>0.061523847830693</v>
      </c>
    </row>
    <row r="50" customFormat="false" ht="15" hidden="false" customHeight="false" outlineLevel="0" collapsed="false">
      <c r="A50" s="92" t="s">
        <v>199</v>
      </c>
      <c r="B50" s="93" t="n">
        <v>492.54</v>
      </c>
      <c r="C50" s="93" t="n">
        <v>6204.95</v>
      </c>
      <c r="D50" s="28" t="n">
        <f aca="false">B50/B49-1</f>
        <v>0.0804870023033892</v>
      </c>
      <c r="E50" s="29" t="n">
        <f aca="false">C50/C49-1</f>
        <v>0.0496067960261788</v>
      </c>
    </row>
    <row r="51" customFormat="false" ht="15" hidden="false" customHeight="false" outlineLevel="0" collapsed="false">
      <c r="A51" s="92" t="s">
        <v>200</v>
      </c>
      <c r="B51" s="93" t="n">
        <v>528.28</v>
      </c>
      <c r="C51" s="93" t="n">
        <v>6339.39</v>
      </c>
      <c r="D51" s="28" t="n">
        <f aca="false">B51/B50-1</f>
        <v>0.072562634506842</v>
      </c>
      <c r="E51" s="29" t="n">
        <f aca="false">C51/C50-1</f>
        <v>0.0216665726557024</v>
      </c>
    </row>
    <row r="52" customFormat="false" ht="15" hidden="false" customHeight="false" outlineLevel="0" collapsed="false">
      <c r="A52" s="92" t="s">
        <v>201</v>
      </c>
      <c r="B52" s="93" t="n">
        <v>502.56</v>
      </c>
      <c r="C52" s="93" t="n">
        <v>6460.26</v>
      </c>
      <c r="D52" s="28" t="n">
        <f aca="false">B52/B51-1</f>
        <v>-0.0486863027182555</v>
      </c>
      <c r="E52" s="29" t="n">
        <f aca="false">C52/C51-1</f>
        <v>0.0190665032440029</v>
      </c>
    </row>
    <row r="53" customFormat="false" ht="15" hidden="false" customHeight="false" outlineLevel="0" collapsed="false">
      <c r="A53" s="92" t="s">
        <v>202</v>
      </c>
      <c r="B53" s="93" t="n">
        <v>513.72</v>
      </c>
      <c r="C53" s="93" t="n">
        <v>6688.46</v>
      </c>
      <c r="D53" s="28" t="n">
        <f aca="false">B53/B52-1</f>
        <v>0.0222063037249285</v>
      </c>
      <c r="E53" s="29" t="n">
        <f aca="false">C53/C52-1</f>
        <v>0.0353236557042596</v>
      </c>
    </row>
    <row r="54" customFormat="false" ht="15" hidden="false" customHeight="false" outlineLevel="0" collapsed="false">
      <c r="A54" s="92" t="s">
        <v>203</v>
      </c>
      <c r="B54" s="93" t="n">
        <v>513.58</v>
      </c>
      <c r="C54" s="93" t="n">
        <v>6840.2</v>
      </c>
      <c r="D54" s="28" t="n">
        <f aca="false">B54/B53-1</f>
        <v>-0.000272521996418251</v>
      </c>
      <c r="E54" s="29" t="n">
        <f aca="false">C54/C53-1</f>
        <v>0.0226868367307271</v>
      </c>
    </row>
    <row r="55" customFormat="false" ht="15" hidden="false" customHeight="false" outlineLevel="0" collapsed="false">
      <c r="A55" s="92" t="s">
        <v>204</v>
      </c>
      <c r="B55" s="93" t="n">
        <v>488.91</v>
      </c>
      <c r="C55" s="93" t="n">
        <v>6849.09</v>
      </c>
      <c r="D55" s="28" t="n">
        <f aca="false">B55/B54-1</f>
        <v>-0.0480353596323845</v>
      </c>
      <c r="E55" s="29" t="n">
        <f aca="false">C55/C54-1</f>
        <v>0.00129966960030403</v>
      </c>
    </row>
    <row r="56" customFormat="false" ht="15" hidden="false" customHeight="false" outlineLevel="0" collapsed="false">
      <c r="A56" s="92" t="s">
        <v>205</v>
      </c>
      <c r="B56" s="93" t="n">
        <v>480.57</v>
      </c>
      <c r="C56" s="93" t="n">
        <v>6845.5</v>
      </c>
      <c r="D56" s="28" t="n">
        <f aca="false">B56/B55-1</f>
        <v>-0.0170583542983371</v>
      </c>
      <c r="E56" s="29" t="n">
        <f aca="false">C56/C55-1</f>
        <v>-0.000524157223806387</v>
      </c>
    </row>
    <row r="57" customFormat="false" ht="15" hidden="false" customHeight="false" outlineLevel="0" collapsed="false">
      <c r="A57" s="92" t="s">
        <v>206</v>
      </c>
      <c r="B57" s="93" t="n">
        <v>427.58</v>
      </c>
      <c r="C57" s="93" t="n">
        <v>6939.03</v>
      </c>
      <c r="D57" s="28" t="n">
        <f aca="false">B57/B56-1</f>
        <v>-0.110264893771979</v>
      </c>
      <c r="E57" s="29" t="n">
        <f aca="false">C57/C56-1</f>
        <v>0.0136629902855889</v>
      </c>
    </row>
    <row r="58" customFormat="false" ht="15" hidden="false" customHeight="false" outlineLevel="0" collapsed="false">
      <c r="A58" s="92" t="s">
        <v>207</v>
      </c>
      <c r="B58" s="93" t="n">
        <v>391.15</v>
      </c>
      <c r="C58" s="93" t="n">
        <v>6878.88</v>
      </c>
      <c r="D58" s="28" t="n">
        <f aca="false">B58/B57-1</f>
        <v>-0.0852004303288274</v>
      </c>
      <c r="E58" s="29" t="n">
        <f aca="false">C58/C57-1</f>
        <v>-0.00866835854579096</v>
      </c>
    </row>
    <row r="59" customFormat="false" ht="15" hidden="false" customHeight="false" outlineLevel="0" collapsed="false">
      <c r="A59" s="92" t="s">
        <v>208</v>
      </c>
      <c r="B59" s="93" t="n">
        <v>368.68</v>
      </c>
      <c r="C59" s="93" t="n">
        <v>6528.52</v>
      </c>
      <c r="D59" s="28" t="n">
        <f aca="false">B59/B58-1</f>
        <v>-0.0574459925859644</v>
      </c>
      <c r="E59" s="29" t="n">
        <f aca="false">C59/C58-1</f>
        <v>-0.0509327099760426</v>
      </c>
    </row>
    <row r="60" customFormat="false" ht="15" hidden="false" customHeight="false" outlineLevel="0" collapsed="false">
      <c r="A60" s="92" t="s">
        <v>209</v>
      </c>
      <c r="B60" s="93" t="n">
        <v>406.13</v>
      </c>
      <c r="C60" s="93" t="n">
        <v>7209.01</v>
      </c>
      <c r="D60" s="28" t="n">
        <f aca="false">B60/B59-1</f>
        <v>0.101578604752089</v>
      </c>
      <c r="E60" s="29" t="n">
        <f aca="false">C60/C59-1</f>
        <v>0.104233425033545</v>
      </c>
    </row>
    <row r="61" customFormat="false" ht="15" hidden="false" customHeight="false" outlineLevel="0" collapsed="false">
      <c r="A61" s="92" t="s">
        <v>210</v>
      </c>
      <c r="B61" s="93" t="n">
        <v>449.39</v>
      </c>
      <c r="C61" s="93" t="n">
        <v>7580.06</v>
      </c>
      <c r="D61" s="28" t="n">
        <f aca="false">B61/B60-1</f>
        <v>0.106517617511634</v>
      </c>
      <c r="E61" s="29" t="n">
        <f aca="false">C61/C60-1</f>
        <v>0.0514703128446208</v>
      </c>
    </row>
    <row r="62" customFormat="false" ht="15" hidden="false" customHeight="false" outlineLevel="0" collapsed="false">
      <c r="A62" s="92" t="s">
        <v>211</v>
      </c>
      <c r="B62" s="93" t="n">
        <v>372.32</v>
      </c>
      <c r="C62" s="93" t="n">
        <v>7499.36</v>
      </c>
      <c r="D62" s="28" t="n">
        <f aca="false">B62/B61-1</f>
        <v>-0.171499143283117</v>
      </c>
      <c r="E62" s="29" t="n">
        <f aca="false">C62/C61-1</f>
        <v>-0.0106463537227939</v>
      </c>
    </row>
    <row r="63" customFormat="false" ht="15" hidden="false" customHeight="false" outlineLevel="0" collapsed="false">
      <c r="A63" s="92" t="s">
        <v>212</v>
      </c>
      <c r="B63" s="93" t="n">
        <v>463.85</v>
      </c>
      <c r="C63" s="93" t="n">
        <v>7489.72</v>
      </c>
      <c r="D63" s="28" t="n">
        <f aca="false">B63/B62-1</f>
        <v>0.245836914482166</v>
      </c>
      <c r="E63" s="29" t="n">
        <f aca="false">C63/C62-1</f>
        <v>-0.00128544302447131</v>
      </c>
    </row>
    <row r="64" customFormat="false" ht="15" hidden="false" customHeight="false" outlineLevel="0" collapsed="false">
      <c r="A64" s="92" t="s">
        <v>213</v>
      </c>
      <c r="B64" s="93" t="n">
        <v>507.29</v>
      </c>
      <c r="C64" s="93" t="n">
        <v>7686.14</v>
      </c>
      <c r="D64" s="28" t="n">
        <f aca="false">B64/B63-1</f>
        <v>0.093650964751536</v>
      </c>
      <c r="E64" s="29" t="n">
        <f aca="false">C64/C63-1</f>
        <v>0.0262252794496991</v>
      </c>
    </row>
    <row r="65" customFormat="false" ht="15" hidden="false" customHeight="false" outlineLevel="0" collapsed="false">
      <c r="A65" s="98" t="s">
        <v>214</v>
      </c>
      <c r="B65" s="99" t="n">
        <v>512.9</v>
      </c>
      <c r="C65" s="99" t="n">
        <v>7651.54</v>
      </c>
      <c r="D65" s="31" t="n">
        <f aca="false">B65/B64-1</f>
        <v>0.0110587632320762</v>
      </c>
      <c r="E65" s="100" t="n">
        <f aca="false">C65/C64-1</f>
        <v>-0.00450160939040922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13" min="2" style="0" width="12"/>
  </cols>
  <sheetData>
    <row r="1" customFormat="false" ht="16.15" hidden="false" customHeight="false" outlineLevel="0" collapsed="false">
      <c r="A1" s="101" t="s">
        <v>215</v>
      </c>
    </row>
    <row r="3" customFormat="false" ht="15" hidden="false" customHeight="false" outlineLevel="0" collapsed="false">
      <c r="A3" s="87" t="s">
        <v>91</v>
      </c>
      <c r="B3" s="88"/>
      <c r="C3" s="88" t="s">
        <v>96</v>
      </c>
      <c r="D3" s="88" t="s">
        <v>97</v>
      </c>
      <c r="E3" s="89" t="s">
        <v>98</v>
      </c>
    </row>
    <row r="4" customFormat="false" ht="15" hidden="false" customHeight="false" outlineLevel="0" collapsed="false">
      <c r="A4" s="102"/>
      <c r="B4" s="9"/>
      <c r="C4" s="9"/>
      <c r="D4" s="9"/>
      <c r="E4" s="10"/>
    </row>
    <row r="5" customFormat="false" ht="15" hidden="false" customHeight="false" outlineLevel="0" collapsed="false">
      <c r="A5" s="102"/>
      <c r="B5" s="9"/>
      <c r="C5" s="9"/>
      <c r="D5" s="9"/>
      <c r="E5" s="10"/>
    </row>
    <row r="6" customFormat="false" ht="15" hidden="false" customHeight="false" outlineLevel="0" collapsed="false">
      <c r="A6" s="102"/>
      <c r="B6" s="9"/>
      <c r="C6" s="9"/>
      <c r="D6" s="9"/>
      <c r="E6" s="10"/>
    </row>
    <row r="7" customFormat="false" ht="15" hidden="false" customHeight="false" outlineLevel="0" collapsed="false">
      <c r="A7" s="102"/>
      <c r="B7" s="9"/>
      <c r="C7" s="9"/>
      <c r="D7" s="9"/>
      <c r="E7" s="10"/>
    </row>
    <row r="8" customFormat="false" ht="15" hidden="false" customHeight="false" outlineLevel="0" collapsed="false">
      <c r="A8" s="102"/>
      <c r="B8" s="9"/>
      <c r="C8" s="9"/>
      <c r="D8" s="9"/>
      <c r="E8" s="10"/>
    </row>
    <row r="9" customFormat="false" ht="15" hidden="false" customHeight="false" outlineLevel="0" collapsed="false">
      <c r="A9" s="102"/>
      <c r="B9" s="9"/>
      <c r="C9" s="9"/>
      <c r="D9" s="9"/>
      <c r="E9" s="10"/>
    </row>
    <row r="10" customFormat="false" ht="15" hidden="false" customHeight="false" outlineLevel="0" collapsed="false">
      <c r="A10" s="102"/>
      <c r="B10" s="9"/>
      <c r="C10" s="9"/>
      <c r="D10" s="9"/>
      <c r="E10" s="10"/>
    </row>
    <row r="11" customFormat="false" ht="15" hidden="false" customHeight="false" outlineLevel="0" collapsed="false">
      <c r="A11" s="102"/>
      <c r="B11" s="9"/>
      <c r="C11" s="9"/>
      <c r="D11" s="9"/>
      <c r="E11" s="10"/>
    </row>
    <row r="12" customFormat="false" ht="15" hidden="false" customHeight="false" outlineLevel="0" collapsed="false">
      <c r="A12" s="102"/>
      <c r="B12" s="9"/>
      <c r="C12" s="9"/>
      <c r="D12" s="9"/>
      <c r="E12" s="10"/>
    </row>
    <row r="13" customFormat="false" ht="15" hidden="false" customHeight="false" outlineLevel="0" collapsed="false">
      <c r="A13" s="102"/>
      <c r="B13" s="9"/>
      <c r="C13" s="9"/>
      <c r="D13" s="9"/>
      <c r="E13" s="10"/>
    </row>
    <row r="14" customFormat="false" ht="15" hidden="false" customHeight="false" outlineLevel="0" collapsed="false">
      <c r="A14" s="102"/>
      <c r="B14" s="9"/>
      <c r="C14" s="9"/>
      <c r="D14" s="9"/>
      <c r="E14" s="10"/>
    </row>
    <row r="15" customFormat="false" ht="15" hidden="false" customHeight="false" outlineLevel="0" collapsed="false">
      <c r="A15" s="102"/>
      <c r="B15" s="9"/>
      <c r="C15" s="9"/>
      <c r="D15" s="9"/>
      <c r="E15" s="10"/>
    </row>
    <row r="16" customFormat="false" ht="15" hidden="false" customHeight="false" outlineLevel="0" collapsed="false">
      <c r="A16" s="102"/>
      <c r="B16" s="9"/>
      <c r="C16" s="9"/>
      <c r="D16" s="9"/>
      <c r="E16" s="10"/>
    </row>
    <row r="17" customFormat="false" ht="15" hidden="false" customHeight="false" outlineLevel="0" collapsed="false">
      <c r="A17" s="102"/>
      <c r="B17" s="9"/>
      <c r="C17" s="9"/>
      <c r="D17" s="9"/>
      <c r="E17" s="10"/>
    </row>
    <row r="18" customFormat="false" ht="15" hidden="false" customHeight="false" outlineLevel="0" collapsed="false">
      <c r="A18" s="102"/>
      <c r="B18" s="9"/>
      <c r="C18" s="9"/>
      <c r="D18" s="9"/>
      <c r="E18" s="10"/>
    </row>
    <row r="19" customFormat="false" ht="15" hidden="false" customHeight="false" outlineLevel="0" collapsed="false">
      <c r="A19" s="102"/>
      <c r="B19" s="9"/>
      <c r="C19" s="9"/>
      <c r="D19" s="9"/>
      <c r="E19" s="10"/>
    </row>
    <row r="20" customFormat="false" ht="15" hidden="false" customHeight="false" outlineLevel="0" collapsed="false">
      <c r="A20" s="102"/>
      <c r="B20" s="9"/>
      <c r="C20" s="9"/>
      <c r="D20" s="9"/>
      <c r="E20" s="10"/>
    </row>
    <row r="21" customFormat="false" ht="15" hidden="false" customHeight="false" outlineLevel="0" collapsed="false">
      <c r="A21" s="102"/>
      <c r="B21" s="9"/>
      <c r="C21" s="9"/>
      <c r="D21" s="9"/>
      <c r="E21" s="10"/>
    </row>
    <row r="22" customFormat="false" ht="15" hidden="false" customHeight="false" outlineLevel="0" collapsed="false">
      <c r="A22" s="102"/>
      <c r="B22" s="9"/>
      <c r="C22" s="9"/>
      <c r="D22" s="9"/>
      <c r="E22" s="10"/>
    </row>
    <row r="23" customFormat="false" ht="15" hidden="false" customHeight="false" outlineLevel="0" collapsed="false">
      <c r="A23" s="102"/>
      <c r="B23" s="9"/>
      <c r="C23" s="9"/>
      <c r="D23" s="9"/>
      <c r="E23" s="10"/>
    </row>
    <row r="24" customFormat="false" ht="15" hidden="false" customHeight="false" outlineLevel="0" collapsed="false">
      <c r="A24" s="7" t="s">
        <v>94</v>
      </c>
      <c r="B24" s="9"/>
      <c r="C24" s="50" t="n">
        <f aca="false">WACC!D33+DCF!B26</f>
        <v>0.110052777134481</v>
      </c>
      <c r="D24" s="50" t="n">
        <f aca="false">WACC!D33+DCF!B37</f>
        <v>0.105052777134481</v>
      </c>
      <c r="E24" s="103" t="n">
        <f aca="false">WACC!D33+DCF!B48</f>
        <v>0.100052777134481</v>
      </c>
    </row>
    <row r="25" customFormat="false" ht="15" hidden="false" customHeight="false" outlineLevel="0" collapsed="false">
      <c r="A25" s="7" t="s">
        <v>37</v>
      </c>
      <c r="B25" s="9"/>
      <c r="C25" s="51" t="n">
        <f aca="false">DCF!B27</f>
        <v>0.025</v>
      </c>
      <c r="D25" s="51" t="n">
        <f aca="false">DCF!B38</f>
        <v>0.03</v>
      </c>
      <c r="E25" s="52" t="n">
        <f aca="false">DCF!B49</f>
        <v>0.035</v>
      </c>
    </row>
    <row r="26" customFormat="false" ht="15" hidden="false" customHeight="false" outlineLevel="0" collapsed="false">
      <c r="A26" s="7" t="s">
        <v>216</v>
      </c>
      <c r="B26" s="9"/>
      <c r="C26" s="12" t="n">
        <f aca="false">SUM(D42:M42)</f>
        <v>772276.606183416</v>
      </c>
      <c r="D26" s="12" t="n">
        <f aca="false">SUM(D52:M52)</f>
        <v>1195350.61253223</v>
      </c>
      <c r="E26" s="32" t="n">
        <f aca="false">SUM(D62:M62)</f>
        <v>1562119.13534811</v>
      </c>
    </row>
    <row r="27" customFormat="false" ht="15" hidden="false" customHeight="false" outlineLevel="0" collapsed="false">
      <c r="A27" s="7" t="s">
        <v>217</v>
      </c>
      <c r="B27" s="9"/>
      <c r="C27" s="12" t="n">
        <f aca="false">M40*(1+C25)/(C24-C25)*M41</f>
        <v>952629.620048958</v>
      </c>
      <c r="D27" s="12" t="n">
        <f aca="false">M50*(1+D25)/(D24-D25)*M51</f>
        <v>1860459.1804478</v>
      </c>
      <c r="E27" s="32" t="n">
        <f aca="false">M60*(1+E25)/(E24-E25)*M61</f>
        <v>2984934.04109169</v>
      </c>
    </row>
    <row r="28" customFormat="false" ht="15" hidden="false" customHeight="false" outlineLevel="0" collapsed="false">
      <c r="A28" s="7" t="s">
        <v>66</v>
      </c>
      <c r="B28" s="9"/>
      <c r="C28" s="12" t="n">
        <f aca="false">C26+C27</f>
        <v>1724906.22623237</v>
      </c>
      <c r="D28" s="12" t="n">
        <f aca="false">D26+D27</f>
        <v>3055809.79298003</v>
      </c>
      <c r="E28" s="32" t="n">
        <f aca="false">E26+E27</f>
        <v>4547053.1764398</v>
      </c>
    </row>
    <row r="29" customFormat="false" ht="15" hidden="false" customHeight="false" outlineLevel="0" collapsed="false">
      <c r="A29" s="7" t="s">
        <v>69</v>
      </c>
      <c r="B29" s="9"/>
      <c r="C29" s="12" t="n">
        <f aca="false">C28-DCF!B12+DCF!B11</f>
        <v>1672939.22623237</v>
      </c>
      <c r="D29" s="12" t="n">
        <f aca="false">D28-DCF!B12+DCF!B11</f>
        <v>3003842.79298003</v>
      </c>
      <c r="E29" s="32" t="n">
        <f aca="false">E28-DCF!B12+DCF!B11</f>
        <v>4495086.1764398</v>
      </c>
    </row>
    <row r="30" customFormat="false" ht="15" hidden="false" customHeight="false" outlineLevel="0" collapsed="false">
      <c r="A30" s="14" t="s">
        <v>218</v>
      </c>
      <c r="B30" s="9"/>
      <c r="C30" s="43" t="n">
        <f aca="false">C29/DCF!B9</f>
        <v>224.465212160523</v>
      </c>
      <c r="D30" s="43" t="n">
        <f aca="false">D29/DCF!B9</f>
        <v>403.038077684158</v>
      </c>
      <c r="E30" s="104" t="n">
        <f aca="false">E29/DCF!B9</f>
        <v>603.124403118181</v>
      </c>
    </row>
    <row r="31" customFormat="false" ht="15" hidden="false" customHeight="false" outlineLevel="0" collapsed="false">
      <c r="A31" s="26" t="s">
        <v>95</v>
      </c>
      <c r="B31" s="18"/>
      <c r="C31" s="31" t="n">
        <f aca="false">C27/C28</f>
        <v>0.552279077877607</v>
      </c>
      <c r="D31" s="31" t="n">
        <f aca="false">D27/D28</f>
        <v>0.60882689253819</v>
      </c>
      <c r="E31" s="100" t="n">
        <f aca="false">E27/E28</f>
        <v>0.656454614728917</v>
      </c>
    </row>
    <row r="35" customFormat="false" ht="15" hidden="false" customHeight="false" outlineLevel="0" collapsed="false">
      <c r="A35" s="105" t="s">
        <v>219</v>
      </c>
      <c r="B35" s="105"/>
      <c r="C35" s="105"/>
      <c r="D35" s="105"/>
      <c r="E35" s="105"/>
      <c r="F35" s="105"/>
      <c r="G35" s="105"/>
      <c r="H35" s="105"/>
      <c r="I35" s="105"/>
      <c r="J35" s="105"/>
      <c r="K35" s="105"/>
      <c r="L35" s="105"/>
      <c r="M35" s="105"/>
    </row>
    <row r="36" customFormat="false" ht="15" hidden="false" customHeight="false" outlineLevel="0" collapsed="false">
      <c r="A36" s="106" t="s">
        <v>220</v>
      </c>
      <c r="B36" s="106"/>
      <c r="C36" s="106" t="s">
        <v>42</v>
      </c>
      <c r="D36" s="106" t="s">
        <v>15</v>
      </c>
      <c r="E36" s="106" t="s">
        <v>16</v>
      </c>
      <c r="F36" s="106" t="s">
        <v>17</v>
      </c>
      <c r="G36" s="106" t="s">
        <v>18</v>
      </c>
      <c r="H36" s="106" t="s">
        <v>19</v>
      </c>
      <c r="I36" s="106" t="s">
        <v>20</v>
      </c>
      <c r="J36" s="106" t="s">
        <v>21</v>
      </c>
      <c r="K36" s="106" t="s">
        <v>22</v>
      </c>
      <c r="L36" s="106" t="s">
        <v>23</v>
      </c>
      <c r="M36" s="106" t="s">
        <v>24</v>
      </c>
    </row>
    <row r="37" customFormat="false" ht="15" hidden="false" customHeight="false" outlineLevel="0" collapsed="false">
      <c r="A37" s="4" t="s">
        <v>43</v>
      </c>
      <c r="C37" s="107" t="n">
        <f aca="false">DCF!E64</f>
        <v>331839</v>
      </c>
      <c r="D37" s="108" t="n">
        <f aca="false">C37*(1+DCF!F20)</f>
        <v>371659.68</v>
      </c>
      <c r="E37" s="108" t="n">
        <f aca="false">D37*(1+DCF!G20)</f>
        <v>408825.648</v>
      </c>
      <c r="F37" s="108" t="n">
        <f aca="false">E37*(1+DCF!H20)</f>
        <v>445619.95632</v>
      </c>
      <c r="G37" s="108" t="n">
        <f aca="false">F37*(1+DCF!I20)</f>
        <v>481269.5528256</v>
      </c>
      <c r="H37" s="108" t="n">
        <f aca="false">G37*(1+DCF!J20)</f>
        <v>514958.421523392</v>
      </c>
      <c r="I37" s="108" t="n">
        <f aca="false">H37*(1+DCF!K20)</f>
        <v>545855.926814796</v>
      </c>
      <c r="J37" s="108" t="n">
        <f aca="false">I37*(1+DCF!L20)</f>
        <v>573148.723155536</v>
      </c>
      <c r="K37" s="108" t="n">
        <f aca="false">J37*(1+DCF!M20)</f>
        <v>598940.415697535</v>
      </c>
      <c r="L37" s="108" t="n">
        <f aca="false">K37*(1+DCF!N20)</f>
        <v>622898.032325436</v>
      </c>
      <c r="M37" s="108" t="n">
        <f aca="false">L37*(1+DCF!O20)</f>
        <v>644699.463456826</v>
      </c>
    </row>
    <row r="38" customFormat="false" ht="15" hidden="false" customHeight="false" outlineLevel="0" collapsed="false">
      <c r="A38" s="4" t="s">
        <v>221</v>
      </c>
      <c r="D38" s="108" t="n">
        <f aca="false">D37*DCF!F21</f>
        <v>167246.856</v>
      </c>
      <c r="E38" s="108" t="n">
        <f aca="false">E37*DCF!G21</f>
        <v>181927.41336</v>
      </c>
      <c r="F38" s="108" t="n">
        <f aca="false">F37*DCF!H21</f>
        <v>196072.7807808</v>
      </c>
      <c r="G38" s="108" t="n">
        <f aca="false">G37*DCF!I21</f>
        <v>211758.603243264</v>
      </c>
      <c r="H38" s="108" t="n">
        <f aca="false">H37*DCF!J21</f>
        <v>226581.705470293</v>
      </c>
      <c r="I38" s="108" t="n">
        <f aca="false">I37*DCF!K21</f>
        <v>237447.328164436</v>
      </c>
      <c r="J38" s="108" t="n">
        <f aca="false">J37*DCF!L21</f>
        <v>249319.694572658</v>
      </c>
      <c r="K38" s="108" t="n">
        <f aca="false">K37*DCF!M21</f>
        <v>257544.37874994</v>
      </c>
      <c r="L38" s="108" t="n">
        <f aca="false">L37*DCF!N21</f>
        <v>267846.153899938</v>
      </c>
      <c r="M38" s="108" t="n">
        <f aca="false">M37*DCF!O21</f>
        <v>277220.769286435</v>
      </c>
    </row>
    <row r="39" customFormat="false" ht="15" hidden="false" customHeight="false" outlineLevel="0" collapsed="false">
      <c r="A39" s="4" t="s">
        <v>48</v>
      </c>
      <c r="D39" s="108" t="n">
        <f aca="false">D38*(1-DCF!F25)</f>
        <v>135469.95336</v>
      </c>
      <c r="E39" s="108" t="n">
        <f aca="false">E38*(1-DCF!G25)</f>
        <v>147361.2048216</v>
      </c>
      <c r="F39" s="108" t="n">
        <f aca="false">F38*(1-DCF!H25)</f>
        <v>158818.952432448</v>
      </c>
      <c r="G39" s="108" t="n">
        <f aca="false">G38*(1-DCF!I25)</f>
        <v>171524.468627044</v>
      </c>
      <c r="H39" s="108" t="n">
        <f aca="false">H38*(1-DCF!J25)</f>
        <v>183531.181430937</v>
      </c>
      <c r="I39" s="108" t="n">
        <f aca="false">I38*(1-DCF!K25)</f>
        <v>192332.335813193</v>
      </c>
      <c r="J39" s="108" t="n">
        <f aca="false">J38*(1-DCF!L25)</f>
        <v>201948.952603853</v>
      </c>
      <c r="K39" s="108" t="n">
        <f aca="false">K38*(1-DCF!M25)</f>
        <v>208610.946787451</v>
      </c>
      <c r="L39" s="108" t="n">
        <f aca="false">L38*(1-DCF!N25)</f>
        <v>216955.384658949</v>
      </c>
      <c r="M39" s="108" t="n">
        <f aca="false">M38*(1-DCF!O25)</f>
        <v>224548.823122013</v>
      </c>
    </row>
    <row r="40" customFormat="false" ht="15" hidden="false" customHeight="false" outlineLevel="0" collapsed="false">
      <c r="A40" s="4" t="s">
        <v>107</v>
      </c>
      <c r="D40" s="108" t="n">
        <f aca="false">D39+D37*DCF!F22-D37*DCF!F23-(D37-C37)*DCF!F24</f>
        <v>48660.8709600001</v>
      </c>
      <c r="E40" s="108" t="n">
        <f aca="false">E39+E37*DCF!G22-E37*DCF!G23-(E37-D37)*DCF!G24</f>
        <v>64666.9260216</v>
      </c>
      <c r="F40" s="108" t="n">
        <f aca="false">F39+F37*DCF!H22-F37*DCF!H23-(F37-E37)*DCF!H24</f>
        <v>89032.4143188481</v>
      </c>
      <c r="G40" s="108" t="n">
        <f aca="false">G39+G37*DCF!I22-G37*DCF!I23-(G37-F37)*DCF!I24</f>
        <v>118139.197859908</v>
      </c>
      <c r="H40" s="108" t="n">
        <f aca="false">H39+H37*DCF!J22-H37*DCF!J23-(H37-G37)*DCF!J24</f>
        <v>142214.190320859</v>
      </c>
      <c r="I40" s="108" t="n">
        <f aca="false">I39+I37*DCF!K22-I37*DCF!K23-(I37-H37)*DCF!K24</f>
        <v>162567.739049141</v>
      </c>
      <c r="J40" s="108" t="n">
        <f aca="false">J39+J37*DCF!L22-J37*DCF!L23-(J37-I37)*DCF!L24</f>
        <v>179705.32358615</v>
      </c>
      <c r="K40" s="108" t="n">
        <f aca="false">K39+K37*DCF!M22-K37*DCF!M23-(K37-J37)*DCF!M24</f>
        <v>188579.398913165</v>
      </c>
      <c r="L40" s="108" t="n">
        <f aca="false">L39+L37*DCF!N22-L37*DCF!N23-(L37-K37)*DCF!N24</f>
        <v>202580.814682209</v>
      </c>
      <c r="M40" s="108" t="n">
        <f aca="false">M39+M37*DCF!O22-M37*DCF!O23-(M37-L37)*DCF!O24</f>
        <v>213134.216679649</v>
      </c>
    </row>
    <row r="41" customFormat="false" ht="15" hidden="false" customHeight="false" outlineLevel="0" collapsed="false">
      <c r="A41" s="4" t="s">
        <v>59</v>
      </c>
      <c r="D41" s="109" t="n">
        <f aca="false">1/(1+C$24)^D43</f>
        <v>0.949135431764707</v>
      </c>
      <c r="E41" s="109" t="n">
        <f aca="false">1/(1+C$24)^E43</f>
        <v>0.855036311169663</v>
      </c>
      <c r="F41" s="109" t="n">
        <f aca="false">1/(1+C$24)^F43</f>
        <v>0.770266359205799</v>
      </c>
      <c r="G41" s="109" t="n">
        <f aca="false">1/(1+C$24)^G43</f>
        <v>0.693900664069491</v>
      </c>
      <c r="H41" s="109" t="n">
        <f aca="false">1/(1+C$24)^H43</f>
        <v>0.625106011500412</v>
      </c>
      <c r="I41" s="109" t="n">
        <f aca="false">1/(1+C$24)^I43</f>
        <v>0.563131793709914</v>
      </c>
      <c r="J41" s="109" t="n">
        <f aca="false">1/(1+C$24)^J43</f>
        <v>0.507301819615818</v>
      </c>
      <c r="K41" s="109" t="n">
        <f aca="false">1/(1+C$24)^K43</f>
        <v>0.457006937026346</v>
      </c>
      <c r="L41" s="109" t="n">
        <f aca="false">1/(1+C$24)^L43</f>
        <v>0.411698386274998</v>
      </c>
      <c r="M41" s="109" t="n">
        <f aca="false">1/(1+C$24)^M43</f>
        <v>0.370881812788908</v>
      </c>
    </row>
    <row r="42" customFormat="false" ht="15" hidden="false" customHeight="false" outlineLevel="0" collapsed="false">
      <c r="A42" s="4" t="s">
        <v>222</v>
      </c>
      <c r="D42" s="108" t="n">
        <f aca="false">D40*D41</f>
        <v>46185.7567686663</v>
      </c>
      <c r="E42" s="108" t="n">
        <f aca="false">E40*E41</f>
        <v>55292.5698801904</v>
      </c>
      <c r="F42" s="108" t="n">
        <f aca="false">F40*F41</f>
        <v>68578.6736286813</v>
      </c>
      <c r="G42" s="108" t="n">
        <f aca="false">G40*G41</f>
        <v>81976.8678476271</v>
      </c>
      <c r="H42" s="108" t="n">
        <f aca="false">H40*H41</f>
        <v>88898.9452902328</v>
      </c>
      <c r="I42" s="108" t="n">
        <f aca="false">I40*I41</f>
        <v>91547.0624901082</v>
      </c>
      <c r="J42" s="108" t="n">
        <f aca="false">J40*J41</f>
        <v>91164.8376499033</v>
      </c>
      <c r="K42" s="108" t="n">
        <f aca="false">K40*K41</f>
        <v>86182.0934835751</v>
      </c>
      <c r="L42" s="108" t="n">
        <f aca="false">L40*L41</f>
        <v>83402.1944949396</v>
      </c>
      <c r="M42" s="108" t="n">
        <f aca="false">M40*M41</f>
        <v>79047.6046494921</v>
      </c>
    </row>
    <row r="43" customFormat="false" ht="15" hidden="false" customHeight="false" outlineLevel="0" collapsed="false">
      <c r="A43" s="4" t="s">
        <v>223</v>
      </c>
      <c r="D43" s="110" t="n">
        <f aca="false">DCF!F82</f>
        <v>0.5</v>
      </c>
      <c r="E43" s="110" t="n">
        <f aca="false">DCF!G82</f>
        <v>1.5</v>
      </c>
      <c r="F43" s="110" t="n">
        <f aca="false">DCF!H82</f>
        <v>2.5</v>
      </c>
      <c r="G43" s="110" t="n">
        <f aca="false">DCF!I82</f>
        <v>3.5</v>
      </c>
      <c r="H43" s="110" t="n">
        <f aca="false">DCF!J82</f>
        <v>4.5</v>
      </c>
      <c r="I43" s="110" t="n">
        <f aca="false">DCF!K82</f>
        <v>5.5</v>
      </c>
      <c r="J43" s="110" t="n">
        <f aca="false">DCF!L82</f>
        <v>6.5</v>
      </c>
      <c r="K43" s="110" t="n">
        <f aca="false">DCF!M82</f>
        <v>7.5</v>
      </c>
      <c r="L43" s="110" t="n">
        <f aca="false">DCF!N82</f>
        <v>8.5</v>
      </c>
      <c r="M43" s="110" t="n">
        <f aca="false">DCF!O82</f>
        <v>9.5</v>
      </c>
    </row>
    <row r="45" customFormat="false" ht="15" hidden="false" customHeight="false" outlineLevel="0" collapsed="false">
      <c r="A45" s="105" t="s">
        <v>224</v>
      </c>
      <c r="B45" s="105"/>
      <c r="C45" s="105"/>
      <c r="D45" s="105"/>
      <c r="E45" s="105"/>
      <c r="F45" s="105"/>
      <c r="G45" s="105"/>
      <c r="H45" s="105"/>
      <c r="I45" s="105"/>
      <c r="J45" s="105"/>
      <c r="K45" s="105"/>
      <c r="L45" s="105"/>
      <c r="M45" s="105"/>
    </row>
    <row r="46" customFormat="false" ht="15" hidden="false" customHeight="false" outlineLevel="0" collapsed="false">
      <c r="A46" s="106" t="s">
        <v>220</v>
      </c>
      <c r="B46" s="106"/>
      <c r="C46" s="106" t="s">
        <v>42</v>
      </c>
      <c r="D46" s="106" t="s">
        <v>15</v>
      </c>
      <c r="E46" s="106" t="s">
        <v>16</v>
      </c>
      <c r="F46" s="106" t="s">
        <v>17</v>
      </c>
      <c r="G46" s="106" t="s">
        <v>18</v>
      </c>
      <c r="H46" s="106" t="s">
        <v>19</v>
      </c>
      <c r="I46" s="106" t="s">
        <v>20</v>
      </c>
      <c r="J46" s="106" t="s">
        <v>21</v>
      </c>
      <c r="K46" s="106" t="s">
        <v>22</v>
      </c>
      <c r="L46" s="106" t="s">
        <v>23</v>
      </c>
      <c r="M46" s="106" t="s">
        <v>24</v>
      </c>
    </row>
    <row r="47" customFormat="false" ht="15" hidden="false" customHeight="false" outlineLevel="0" collapsed="false">
      <c r="A47" s="4" t="s">
        <v>43</v>
      </c>
      <c r="C47" s="107" t="n">
        <f aca="false">DCF!E64</f>
        <v>331839</v>
      </c>
      <c r="D47" s="108" t="n">
        <f aca="false">C47*(1+DCF!F31)</f>
        <v>384933.24</v>
      </c>
      <c r="E47" s="108" t="n">
        <f aca="false">D47*(1+DCF!G31)</f>
        <v>442673.226</v>
      </c>
      <c r="F47" s="108" t="n">
        <f aca="false">E47*(1+DCF!H31)</f>
        <v>504647.47764</v>
      </c>
      <c r="G47" s="108" t="n">
        <f aca="false">F47*(1+DCF!I31)</f>
        <v>570251.6497332</v>
      </c>
      <c r="H47" s="108" t="n">
        <f aca="false">G47*(1+DCF!J31)</f>
        <v>638681.847701184</v>
      </c>
      <c r="I47" s="108" t="n">
        <f aca="false">H47*(1+DCF!K31)</f>
        <v>708936.850948314</v>
      </c>
      <c r="J47" s="108" t="n">
        <f aca="false">I47*(1+DCF!L31)</f>
        <v>779830.536043146</v>
      </c>
      <c r="K47" s="108" t="n">
        <f aca="false">J47*(1+DCF!M31)</f>
        <v>842216.978926598</v>
      </c>
      <c r="L47" s="108" t="n">
        <f aca="false">K47*(1+DCF!N31)</f>
        <v>892749.997662193</v>
      </c>
      <c r="M47" s="108" t="n">
        <f aca="false">L47*(1+DCF!O31)</f>
        <v>932923.747556992</v>
      </c>
    </row>
    <row r="48" customFormat="false" ht="15" hidden="false" customHeight="false" outlineLevel="0" collapsed="false">
      <c r="A48" s="4" t="s">
        <v>221</v>
      </c>
      <c r="D48" s="108" t="n">
        <f aca="false">D47*DCF!F32</f>
        <v>178993.9566</v>
      </c>
      <c r="E48" s="108" t="n">
        <f aca="false">E47*DCF!G32</f>
        <v>205843.05009</v>
      </c>
      <c r="F48" s="108" t="n">
        <f aca="false">F47*DCF!H32</f>
        <v>237184.3144908</v>
      </c>
      <c r="G48" s="108" t="n">
        <f aca="false">G47*DCF!I32</f>
        <v>270869.53362327</v>
      </c>
      <c r="H48" s="108" t="n">
        <f aca="false">H47*DCF!J32</f>
        <v>306567.286896568</v>
      </c>
      <c r="I48" s="108" t="n">
        <f aca="false">I47*DCF!K32</f>
        <v>340289.688455191</v>
      </c>
      <c r="J48" s="108" t="n">
        <f aca="false">J47*DCF!L32</f>
        <v>374318.65730071</v>
      </c>
      <c r="K48" s="108" t="n">
        <f aca="false">K47*DCF!M32</f>
        <v>404264.149884767</v>
      </c>
      <c r="L48" s="108" t="n">
        <f aca="false">L47*DCF!N32</f>
        <v>428519.998877853</v>
      </c>
      <c r="M48" s="108" t="n">
        <f aca="false">M47*DCF!O32</f>
        <v>447803.398827356</v>
      </c>
    </row>
    <row r="49" customFormat="false" ht="15" hidden="false" customHeight="false" outlineLevel="0" collapsed="false">
      <c r="A49" s="4" t="s">
        <v>48</v>
      </c>
      <c r="D49" s="108" t="n">
        <f aca="false">D48*(1-DCF!F36)</f>
        <v>144985.104846</v>
      </c>
      <c r="E49" s="108" t="n">
        <f aca="false">E48*(1-DCF!G36)</f>
        <v>166732.8705729</v>
      </c>
      <c r="F49" s="108" t="n">
        <f aca="false">F48*(1-DCF!H36)</f>
        <v>192119.294737548</v>
      </c>
      <c r="G49" s="108" t="n">
        <f aca="false">G48*(1-DCF!I36)</f>
        <v>219404.322234849</v>
      </c>
      <c r="H49" s="108" t="n">
        <f aca="false">H48*(1-DCF!J36)</f>
        <v>248319.50238622</v>
      </c>
      <c r="I49" s="108" t="n">
        <f aca="false">I48*(1-DCF!K36)</f>
        <v>275634.647648705</v>
      </c>
      <c r="J49" s="108" t="n">
        <f aca="false">J48*(1-DCF!L36)</f>
        <v>303198.112413575</v>
      </c>
      <c r="K49" s="108" t="n">
        <f aca="false">K48*(1-DCF!M36)</f>
        <v>327453.961406661</v>
      </c>
      <c r="L49" s="108" t="n">
        <f aca="false">L48*(1-DCF!N36)</f>
        <v>347101.199091061</v>
      </c>
      <c r="M49" s="108" t="n">
        <f aca="false">M48*(1-DCF!O36)</f>
        <v>362720.753050159</v>
      </c>
    </row>
    <row r="50" customFormat="false" ht="15" hidden="false" customHeight="false" outlineLevel="0" collapsed="false">
      <c r="A50" s="4" t="s">
        <v>107</v>
      </c>
      <c r="D50" s="108" t="n">
        <f aca="false">D49+D47*DCF!F33-D47*DCF!F34-(D47-C47)*DCF!F35</f>
        <v>61826.251446</v>
      </c>
      <c r="E50" s="108" t="n">
        <f aca="false">E49+E47*DCF!G33-E47*DCF!G34-(E47-D47)*DCF!G35</f>
        <v>89072.5894029</v>
      </c>
      <c r="F50" s="108" t="n">
        <f aca="false">F49+F47*DCF!H33-F47*DCF!H34-(F47-E47)*DCF!H35</f>
        <v>126603.657289548</v>
      </c>
      <c r="G50" s="108" t="n">
        <f aca="false">G49+G47*DCF!I33-G47*DCF!I34-(G47-F47)*DCF!I35</f>
        <v>168535.856488737</v>
      </c>
      <c r="H50" s="108" t="n">
        <f aca="false">H49+H47*DCF!J33-H47*DCF!J34-(H47-G47)*DCF!J35</f>
        <v>210910.994163722</v>
      </c>
      <c r="I50" s="108" t="n">
        <f aca="false">I49+I47*DCF!K33-I47*DCF!K34-(I47-H47)*DCF!K35</f>
        <v>245201.457605743</v>
      </c>
      <c r="J50" s="108" t="n">
        <f aca="false">J49+J47*DCF!L33-J47*DCF!L34-(J47-I47)*DCF!L35</f>
        <v>278030.85420491</v>
      </c>
      <c r="K50" s="108" t="n">
        <f aca="false">K49+K47*DCF!M33-K47*DCF!M34-(K47-J47)*DCF!M35</f>
        <v>305618.706397453</v>
      </c>
      <c r="L50" s="108" t="n">
        <f aca="false">L49+L47*DCF!N33-L47*DCF!N34-(L47-K47)*DCF!N35</f>
        <v>329667.30762728</v>
      </c>
      <c r="M50" s="108" t="n">
        <f aca="false">M49+M47*DCF!O33-M47*DCF!O34-(M47-L47)*DCF!O35</f>
        <v>350177.615583005</v>
      </c>
    </row>
    <row r="51" customFormat="false" ht="15" hidden="false" customHeight="false" outlineLevel="0" collapsed="false">
      <c r="A51" s="4" t="s">
        <v>59</v>
      </c>
      <c r="D51" s="109" t="n">
        <f aca="false">1/(1+D$24)^D53</f>
        <v>0.951280271002508</v>
      </c>
      <c r="E51" s="109" t="n">
        <f aca="false">1/(1+D$24)^E53</f>
        <v>0.860846007255218</v>
      </c>
      <c r="F51" s="109" t="n">
        <f aca="false">1/(1+D$24)^F53</f>
        <v>0.779008953298577</v>
      </c>
      <c r="G51" s="109" t="n">
        <f aca="false">1/(1+D$24)^G53</f>
        <v>0.704951808110586</v>
      </c>
      <c r="H51" s="109" t="n">
        <f aca="false">1/(1+D$24)^H53</f>
        <v>0.63793496808234</v>
      </c>
      <c r="I51" s="109" t="n">
        <f aca="false">1/(1+D$24)^I53</f>
        <v>0.577289140647719</v>
      </c>
      <c r="J51" s="109" t="n">
        <f aca="false">1/(1+D$24)^J53</f>
        <v>0.522408660104625</v>
      </c>
      <c r="K51" s="109" t="n">
        <f aca="false">1/(1+D$24)^K53</f>
        <v>0.472745438873324</v>
      </c>
      <c r="L51" s="109" t="n">
        <f aca="false">1/(1+D$24)^L53</f>
        <v>0.42780349378353</v>
      </c>
      <c r="M51" s="109" t="n">
        <f aca="false">1/(1+D$24)^M53</f>
        <v>0.387133992724646</v>
      </c>
    </row>
    <row r="52" customFormat="false" ht="15" hidden="false" customHeight="false" outlineLevel="0" collapsed="false">
      <c r="A52" s="4" t="s">
        <v>222</v>
      </c>
      <c r="D52" s="108" t="n">
        <f aca="false">D50*D51</f>
        <v>58814.0932306201</v>
      </c>
      <c r="E52" s="108" t="n">
        <f aca="false">E50*E51</f>
        <v>76677.7829433699</v>
      </c>
      <c r="F52" s="108" t="n">
        <f aca="false">F50*F51</f>
        <v>98625.3825489026</v>
      </c>
      <c r="G52" s="108" t="n">
        <f aca="false">G50*G51</f>
        <v>118809.656763201</v>
      </c>
      <c r="H52" s="108" t="n">
        <f aca="false">H50*H51</f>
        <v>134547.498330049</v>
      </c>
      <c r="I52" s="108" t="n">
        <f aca="false">I50*I51</f>
        <v>141552.138746788</v>
      </c>
      <c r="J52" s="108" t="n">
        <f aca="false">J50*J51</f>
        <v>145245.726012931</v>
      </c>
      <c r="K52" s="108" t="n">
        <f aca="false">K50*K51</f>
        <v>144479.849483761</v>
      </c>
      <c r="L52" s="108" t="n">
        <f aca="false">L50*L51</f>
        <v>141032.82598916</v>
      </c>
      <c r="M52" s="108" t="n">
        <f aca="false">M50*M51</f>
        <v>135565.658483445</v>
      </c>
    </row>
    <row r="53" customFormat="false" ht="15" hidden="false" customHeight="false" outlineLevel="0" collapsed="false">
      <c r="A53" s="4" t="s">
        <v>223</v>
      </c>
      <c r="D53" s="110" t="n">
        <f aca="false">DCF!F82</f>
        <v>0.5</v>
      </c>
      <c r="E53" s="110" t="n">
        <f aca="false">DCF!G82</f>
        <v>1.5</v>
      </c>
      <c r="F53" s="110" t="n">
        <f aca="false">DCF!H82</f>
        <v>2.5</v>
      </c>
      <c r="G53" s="110" t="n">
        <f aca="false">DCF!I82</f>
        <v>3.5</v>
      </c>
      <c r="H53" s="110" t="n">
        <f aca="false">DCF!J82</f>
        <v>4.5</v>
      </c>
      <c r="I53" s="110" t="n">
        <f aca="false">DCF!K82</f>
        <v>5.5</v>
      </c>
      <c r="J53" s="110" t="n">
        <f aca="false">DCF!L82</f>
        <v>6.5</v>
      </c>
      <c r="K53" s="110" t="n">
        <f aca="false">DCF!M82</f>
        <v>7.5</v>
      </c>
      <c r="L53" s="110" t="n">
        <f aca="false">DCF!N82</f>
        <v>8.5</v>
      </c>
      <c r="M53" s="110" t="n">
        <f aca="false">DCF!O82</f>
        <v>9.5</v>
      </c>
    </row>
    <row r="55" customFormat="false" ht="15" hidden="false" customHeight="false" outlineLevel="0" collapsed="false">
      <c r="A55" s="105" t="s">
        <v>225</v>
      </c>
      <c r="B55" s="105"/>
      <c r="C55" s="105"/>
      <c r="D55" s="105"/>
      <c r="E55" s="105"/>
      <c r="F55" s="105"/>
      <c r="G55" s="105"/>
      <c r="H55" s="105"/>
      <c r="I55" s="105"/>
      <c r="J55" s="105"/>
      <c r="K55" s="105"/>
      <c r="L55" s="105"/>
      <c r="M55" s="105"/>
    </row>
    <row r="56" customFormat="false" ht="15" hidden="false" customHeight="false" outlineLevel="0" collapsed="false">
      <c r="A56" s="106" t="s">
        <v>220</v>
      </c>
      <c r="B56" s="106"/>
      <c r="C56" s="106" t="s">
        <v>42</v>
      </c>
      <c r="D56" s="106" t="s">
        <v>15</v>
      </c>
      <c r="E56" s="106" t="s">
        <v>16</v>
      </c>
      <c r="F56" s="106" t="s">
        <v>17</v>
      </c>
      <c r="G56" s="106" t="s">
        <v>18</v>
      </c>
      <c r="H56" s="106" t="s">
        <v>19</v>
      </c>
      <c r="I56" s="106" t="s">
        <v>20</v>
      </c>
      <c r="J56" s="106" t="s">
        <v>21</v>
      </c>
      <c r="K56" s="106" t="s">
        <v>22</v>
      </c>
      <c r="L56" s="106" t="s">
        <v>23</v>
      </c>
      <c r="M56" s="106" t="s">
        <v>24</v>
      </c>
    </row>
    <row r="57" customFormat="false" ht="15" hidden="false" customHeight="false" outlineLevel="0" collapsed="false">
      <c r="A57" s="4" t="s">
        <v>43</v>
      </c>
      <c r="C57" s="107" t="n">
        <f aca="false">DCF!E64</f>
        <v>331839</v>
      </c>
      <c r="D57" s="108" t="n">
        <f aca="false">C57*(1+DCF!F42)</f>
        <v>394888.41</v>
      </c>
      <c r="E57" s="108" t="n">
        <f aca="false">D57*(1+DCF!G42)</f>
        <v>465968.3238</v>
      </c>
      <c r="F57" s="108" t="n">
        <f aca="false">E57*(1+DCF!H42)</f>
        <v>545182.938846</v>
      </c>
      <c r="G57" s="108" t="n">
        <f aca="false">F57*(1+DCF!I42)</f>
        <v>632412.20906136</v>
      </c>
      <c r="H57" s="108" t="n">
        <f aca="false">G57*(1+DCF!J42)</f>
        <v>727274.040420564</v>
      </c>
      <c r="I57" s="108" t="n">
        <f aca="false">H57*(1+DCF!K42)</f>
        <v>821819.665675237</v>
      </c>
      <c r="J57" s="108" t="n">
        <f aca="false">I57*(1+DCF!L42)</f>
        <v>920438.025556266</v>
      </c>
      <c r="K57" s="108" t="n">
        <f aca="false">J57*(1+DCF!M42)</f>
        <v>1012481.82811189</v>
      </c>
      <c r="L57" s="108" t="n">
        <f aca="false">K57*(1+DCF!N42)</f>
        <v>1093480.37436084</v>
      </c>
      <c r="M57" s="108" t="n">
        <f aca="false">L57*(1+DCF!O42)</f>
        <v>1159089.19682249</v>
      </c>
    </row>
    <row r="58" customFormat="false" ht="15" hidden="false" customHeight="false" outlineLevel="0" collapsed="false">
      <c r="A58" s="4" t="s">
        <v>221</v>
      </c>
      <c r="D58" s="108" t="n">
        <f aca="false">D57*DCF!F43</f>
        <v>187571.99475</v>
      </c>
      <c r="E58" s="108" t="n">
        <f aca="false">E57*DCF!G43</f>
        <v>223664.795424</v>
      </c>
      <c r="F58" s="108" t="n">
        <f aca="false">F57*DCF!H43</f>
        <v>264413.72534031</v>
      </c>
      <c r="G58" s="108" t="n">
        <f aca="false">G57*DCF!I43</f>
        <v>309881.982440066</v>
      </c>
      <c r="H58" s="108" t="n">
        <f aca="false">H57*DCF!J43</f>
        <v>360000.650008179</v>
      </c>
      <c r="I58" s="108" t="n">
        <f aca="false">I57*DCF!K43</f>
        <v>410909.832837619</v>
      </c>
      <c r="J58" s="108" t="n">
        <f aca="false">J57*DCF!L43</f>
        <v>460219.012778133</v>
      </c>
      <c r="K58" s="108" t="n">
        <f aca="false">K57*DCF!M43</f>
        <v>506240.914055946</v>
      </c>
      <c r="L58" s="108" t="n">
        <f aca="false">L57*DCF!N43</f>
        <v>546740.187180422</v>
      </c>
      <c r="M58" s="108" t="n">
        <f aca="false">M57*DCF!O43</f>
        <v>579544.598411247</v>
      </c>
    </row>
    <row r="59" customFormat="false" ht="15" hidden="false" customHeight="false" outlineLevel="0" collapsed="false">
      <c r="A59" s="4" t="s">
        <v>48</v>
      </c>
      <c r="D59" s="108" t="n">
        <f aca="false">D58*(1-DCF!F47)</f>
        <v>151933.3157475</v>
      </c>
      <c r="E59" s="108" t="n">
        <f aca="false">E58*(1-DCF!G47)</f>
        <v>181168.48429344</v>
      </c>
      <c r="F59" s="108" t="n">
        <f aca="false">F58*(1-DCF!H47)</f>
        <v>214175.117525651</v>
      </c>
      <c r="G59" s="108" t="n">
        <f aca="false">G58*(1-DCF!I47)</f>
        <v>251004.405776454</v>
      </c>
      <c r="H59" s="108" t="n">
        <f aca="false">H58*(1-DCF!J47)</f>
        <v>291600.526506625</v>
      </c>
      <c r="I59" s="108" t="n">
        <f aca="false">I58*(1-DCF!K47)</f>
        <v>332836.964598471</v>
      </c>
      <c r="J59" s="108" t="n">
        <f aca="false">J58*(1-DCF!L47)</f>
        <v>372777.400350288</v>
      </c>
      <c r="K59" s="108" t="n">
        <f aca="false">K58*(1-DCF!M47)</f>
        <v>410055.140385316</v>
      </c>
      <c r="L59" s="108" t="n">
        <f aca="false">L58*(1-DCF!N47)</f>
        <v>442859.551616142</v>
      </c>
      <c r="M59" s="108" t="n">
        <f aca="false">M58*(1-DCF!O47)</f>
        <v>469431.12471311</v>
      </c>
    </row>
    <row r="60" customFormat="false" ht="15" hidden="false" customHeight="false" outlineLevel="0" collapsed="false">
      <c r="A60" s="4" t="s">
        <v>107</v>
      </c>
      <c r="D60" s="108" t="n">
        <f aca="false">D59+D57*DCF!F44-D57*DCF!F45-(D57-C57)*DCF!F46</f>
        <v>73835.0070975</v>
      </c>
      <c r="E60" s="108" t="n">
        <f aca="false">E59+E57*DCF!G44-E57*DCF!G45-(E57-D57)*DCF!G46</f>
        <v>110246.52585744</v>
      </c>
      <c r="F60" s="108" t="n">
        <f aca="false">F59+F57*DCF!H44-F57*DCF!H45-(F57-E57)*DCF!H46</f>
        <v>156045.569131601</v>
      </c>
      <c r="G60" s="108" t="n">
        <f aca="false">G59+G57*DCF!I44-G57*DCF!I45-(G57-F57)*DCF!I46</f>
        <v>209243.39266085</v>
      </c>
      <c r="H60" s="108" t="n">
        <f aca="false">H59+H57*DCF!J44-H57*DCF!J45-(H57-G57)*DCF!J46</f>
        <v>265829.728987375</v>
      </c>
      <c r="I60" s="108" t="n">
        <f aca="false">I59+I57*DCF!K44-I57*DCF!K45-(I57-H57)*DCF!K46</f>
        <v>312946.019592969</v>
      </c>
      <c r="J60" s="108" t="n">
        <f aca="false">J59+J57*DCF!L44-J57*DCF!L45-(J57-I57)*DCF!L46</f>
        <v>355683.551304243</v>
      </c>
      <c r="K60" s="108" t="n">
        <f aca="false">K59+K57*DCF!M44-K57*DCF!M45-(K57-J57)*DCF!M46</f>
        <v>397629.227040307</v>
      </c>
      <c r="L60" s="108" t="n">
        <f aca="false">L59+L57*DCF!N44-L57*DCF!N45-(L57-K57)*DCF!N46</f>
        <v>430912.266044421</v>
      </c>
      <c r="M60" s="108" t="n">
        <f aca="false">M59+M57*DCF!O44-M57*DCF!O45-(M57-L57)*DCF!O46</f>
        <v>464182.418916178</v>
      </c>
    </row>
    <row r="61" customFormat="false" ht="15" hidden="false" customHeight="false" outlineLevel="0" collapsed="false">
      <c r="A61" s="4" t="s">
        <v>59</v>
      </c>
      <c r="D61" s="109" t="n">
        <f aca="false">1/(1+E$24)^D63</f>
        <v>0.953439716876231</v>
      </c>
      <c r="E61" s="109" t="n">
        <f aca="false">1/(1+E$24)^E63</f>
        <v>0.866721794348666</v>
      </c>
      <c r="F61" s="109" t="n">
        <f aca="false">1/(1+E$24)^F63</f>
        <v>0.787891101558221</v>
      </c>
      <c r="G61" s="109" t="n">
        <f aca="false">1/(1+E$24)^G63</f>
        <v>0.716230273615228</v>
      </c>
      <c r="H61" s="109" t="n">
        <f aca="false">1/(1+E$24)^H63</f>
        <v>0.651087191908129</v>
      </c>
      <c r="I61" s="109" t="n">
        <f aca="false">1/(1+E$24)^I63</f>
        <v>0.591869049777903</v>
      </c>
      <c r="J61" s="109" t="n">
        <f aca="false">1/(1+E$24)^J63</f>
        <v>0.538036957935472</v>
      </c>
      <c r="K61" s="109" t="n">
        <f aca="false">1/(1+E$24)^K63</f>
        <v>0.489101040530982</v>
      </c>
      <c r="L61" s="109" t="n">
        <f aca="false">1/(1+E$24)^L63</f>
        <v>0.444615977248872</v>
      </c>
      <c r="M61" s="109" t="n">
        <f aca="false">1/(1+E$24)^M63</f>
        <v>0.404176950861438</v>
      </c>
    </row>
    <row r="62" customFormat="false" ht="15" hidden="false" customHeight="false" outlineLevel="0" collapsed="false">
      <c r="A62" s="4" t="s">
        <v>222</v>
      </c>
      <c r="D62" s="108" t="n">
        <f aca="false">D60*D61</f>
        <v>70397.2282625949</v>
      </c>
      <c r="E62" s="108" t="n">
        <f aca="false">E60*E61</f>
        <v>95553.066711867</v>
      </c>
      <c r="F62" s="108" t="n">
        <f aca="false">F60*F61</f>
        <v>122946.915356377</v>
      </c>
      <c r="G62" s="108" t="n">
        <f aca="false">G60*G61</f>
        <v>149866.452377659</v>
      </c>
      <c r="H62" s="108" t="n">
        <f aca="false">H60*H61</f>
        <v>173078.331772089</v>
      </c>
      <c r="I62" s="108" t="n">
        <f aca="false">I60*I61</f>
        <v>185223.063248267</v>
      </c>
      <c r="J62" s="108" t="n">
        <f aca="false">J60*J61</f>
        <v>191370.89593142</v>
      </c>
      <c r="K62" s="108" t="n">
        <f aca="false">K60*K61</f>
        <v>194480.868690944</v>
      </c>
      <c r="L62" s="108" t="n">
        <f aca="false">L60*L61</f>
        <v>191590.478275866</v>
      </c>
      <c r="M62" s="108" t="n">
        <f aca="false">M60*M61</f>
        <v>187611.834721028</v>
      </c>
    </row>
    <row r="63" customFormat="false" ht="15" hidden="false" customHeight="false" outlineLevel="0" collapsed="false">
      <c r="A63" s="4" t="s">
        <v>223</v>
      </c>
      <c r="D63" s="110" t="n">
        <f aca="false">DCF!F82</f>
        <v>0.5</v>
      </c>
      <c r="E63" s="110" t="n">
        <f aca="false">DCF!G82</f>
        <v>1.5</v>
      </c>
      <c r="F63" s="110" t="n">
        <f aca="false">DCF!H82</f>
        <v>2.5</v>
      </c>
      <c r="G63" s="110" t="n">
        <f aca="false">DCF!I82</f>
        <v>3.5</v>
      </c>
      <c r="H63" s="110" t="n">
        <f aca="false">DCF!J82</f>
        <v>4.5</v>
      </c>
      <c r="I63" s="110" t="n">
        <f aca="false">DCF!K82</f>
        <v>5.5</v>
      </c>
      <c r="J63" s="110" t="n">
        <f aca="false">DCF!L82</f>
        <v>6.5</v>
      </c>
      <c r="K63" s="110" t="n">
        <f aca="false">DCF!M82</f>
        <v>7.5</v>
      </c>
      <c r="L63" s="110" t="n">
        <f aca="false">DCF!N82</f>
        <v>8.5</v>
      </c>
      <c r="M63" s="110" t="n">
        <f aca="false">DCF!O82</f>
        <v>9.5</v>
      </c>
    </row>
  </sheetData>
  <mergeCells count="3">
    <mergeCell ref="A35:M35"/>
    <mergeCell ref="A45:M45"/>
    <mergeCell ref="A55:M5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2" min="2" style="0" width="14"/>
  </cols>
  <sheetData>
    <row r="1" customFormat="false" ht="17.35" hidden="false" customHeight="false" outlineLevel="0" collapsed="false">
      <c r="A1" s="1" t="s">
        <v>226</v>
      </c>
    </row>
    <row r="2" customFormat="false" ht="15" hidden="false" customHeight="false" outlineLevel="0" collapsed="false">
      <c r="A2" s="0" t="s">
        <v>227</v>
      </c>
    </row>
    <row r="3" customFormat="false" ht="15" hidden="false" customHeight="false" outlineLevel="0" collapsed="false">
      <c r="A3" s="0" t="s">
        <v>228</v>
      </c>
    </row>
    <row r="5" customFormat="false" ht="15" hidden="false" customHeight="false" outlineLevel="0" collapsed="false">
      <c r="A5" s="6" t="s">
        <v>229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</row>
    <row r="6" customFormat="false" ht="30" hidden="false" customHeight="true" outlineLevel="0" collapsed="false">
      <c r="A6" s="20" t="s">
        <v>230</v>
      </c>
      <c r="B6" s="21" t="s">
        <v>231</v>
      </c>
      <c r="C6" s="21" t="s">
        <v>43</v>
      </c>
      <c r="D6" s="21" t="s">
        <v>232</v>
      </c>
      <c r="E6" s="21" t="s">
        <v>233</v>
      </c>
      <c r="F6" s="21" t="s">
        <v>234</v>
      </c>
      <c r="G6" s="21" t="s">
        <v>235</v>
      </c>
      <c r="H6" s="21" t="s">
        <v>51</v>
      </c>
      <c r="I6" s="21" t="s">
        <v>236</v>
      </c>
      <c r="J6" s="21" t="s">
        <v>237</v>
      </c>
      <c r="K6" s="21" t="s">
        <v>238</v>
      </c>
      <c r="L6" s="22" t="s">
        <v>239</v>
      </c>
    </row>
    <row r="7" customFormat="false" ht="15" hidden="false" customHeight="false" outlineLevel="0" collapsed="false">
      <c r="A7" s="7" t="s">
        <v>240</v>
      </c>
      <c r="B7" s="111" t="s">
        <v>241</v>
      </c>
      <c r="C7" s="11" t="n">
        <v>445870</v>
      </c>
      <c r="D7" s="11" t="n">
        <v>271520</v>
      </c>
      <c r="E7" s="28" t="n">
        <f aca="false">D7/C7</f>
        <v>0.608966739184067</v>
      </c>
      <c r="F7" s="11" t="n">
        <v>147630</v>
      </c>
      <c r="G7" s="28" t="n">
        <f aca="false">F7/C7</f>
        <v>0.331105479175544</v>
      </c>
      <c r="H7" s="11" t="n">
        <v>173160</v>
      </c>
      <c r="I7" s="28" t="n">
        <f aca="false">H7/C7</f>
        <v>0.388364321438984</v>
      </c>
      <c r="J7" s="11" t="n">
        <v>244120</v>
      </c>
      <c r="K7" s="11" t="n">
        <v>53270</v>
      </c>
      <c r="L7" s="29" t="n">
        <f aca="false">K7/C7</f>
        <v>0.119474286226927</v>
      </c>
    </row>
    <row r="8" customFormat="false" ht="15" hidden="false" customHeight="false" outlineLevel="0" collapsed="false">
      <c r="A8" s="7" t="s">
        <v>242</v>
      </c>
      <c r="B8" s="111" t="s">
        <v>243</v>
      </c>
      <c r="C8" s="11" t="n">
        <v>775680</v>
      </c>
      <c r="D8" s="11" t="n">
        <v>393810</v>
      </c>
      <c r="E8" s="28" t="n">
        <f aca="false">D8/C8</f>
        <v>0.507696472772277</v>
      </c>
      <c r="F8" s="11" t="n">
        <v>93710</v>
      </c>
      <c r="G8" s="28" t="n">
        <f aca="false">F8/C8</f>
        <v>0.120810127887789</v>
      </c>
      <c r="H8" s="11" t="n">
        <v>168910</v>
      </c>
      <c r="I8" s="28" t="n">
        <f aca="false">H8/C8</f>
        <v>0.217757322607261</v>
      </c>
      <c r="J8" s="11" t="n">
        <v>135280</v>
      </c>
      <c r="K8" s="11" t="n">
        <v>-11630</v>
      </c>
      <c r="L8" s="29" t="n">
        <f aca="false">K8/C8</f>
        <v>-0.0149932962046205</v>
      </c>
    </row>
    <row r="9" customFormat="false" ht="15" hidden="false" customHeight="false" outlineLevel="0" collapsed="false">
      <c r="A9" s="7" t="s">
        <v>244</v>
      </c>
      <c r="B9" s="111" t="s">
        <v>245</v>
      </c>
      <c r="C9" s="11" t="n">
        <v>228250</v>
      </c>
      <c r="D9" s="11" t="n">
        <v>186590</v>
      </c>
      <c r="E9" s="28" t="n">
        <f aca="false">D9/C9</f>
        <v>0.817480832420591</v>
      </c>
      <c r="F9" s="11" t="n">
        <v>86930</v>
      </c>
      <c r="G9" s="28" t="n">
        <f aca="false">F9/C9</f>
        <v>0.380854326396495</v>
      </c>
      <c r="H9" s="11" t="n">
        <v>109660</v>
      </c>
      <c r="I9" s="28" t="n">
        <f aca="false">H9/C9</f>
        <v>0.480438116100767</v>
      </c>
      <c r="J9" s="11" t="n">
        <v>68100</v>
      </c>
      <c r="K9" s="11" t="n">
        <v>40980</v>
      </c>
      <c r="L9" s="29" t="n">
        <f aca="false">K9/C9</f>
        <v>0.179539978094195</v>
      </c>
    </row>
    <row r="10" customFormat="false" ht="15" hidden="false" customHeight="false" outlineLevel="0" collapsed="false">
      <c r="A10" s="7" t="s">
        <v>246</v>
      </c>
      <c r="B10" s="111" t="s">
        <v>247</v>
      </c>
      <c r="C10" s="11" t="n">
        <v>466820</v>
      </c>
      <c r="D10" s="11" t="n">
        <v>227120</v>
      </c>
      <c r="E10" s="28" t="n">
        <f aca="false">D10/C10</f>
        <v>0.48652585579024</v>
      </c>
      <c r="F10" s="11" t="n">
        <v>154860</v>
      </c>
      <c r="G10" s="28" t="n">
        <f aca="false">F10/C10</f>
        <v>0.331733858874941</v>
      </c>
      <c r="H10" s="11" t="n">
        <v>167960</v>
      </c>
      <c r="I10" s="28" t="n">
        <f aca="false">H10/C10</f>
        <v>0.359796067006555</v>
      </c>
      <c r="J10" s="11" t="n">
        <v>128930</v>
      </c>
      <c r="K10" s="11" t="n">
        <v>136680</v>
      </c>
      <c r="L10" s="29" t="n">
        <f aca="false">K10/C10</f>
        <v>0.29278951201748</v>
      </c>
    </row>
    <row r="11" customFormat="false" ht="15" hidden="false" customHeight="false" outlineLevel="0" collapsed="false">
      <c r="A11" s="7" t="s">
        <v>248</v>
      </c>
      <c r="B11" s="111" t="s">
        <v>249</v>
      </c>
      <c r="C11" s="11" t="n">
        <v>71780</v>
      </c>
      <c r="D11" s="11" t="n">
        <v>45910</v>
      </c>
      <c r="E11" s="28" t="n">
        <f aca="false">D11/C11</f>
        <v>0.639593201448872</v>
      </c>
      <c r="F11" s="11" t="n">
        <v>24600</v>
      </c>
      <c r="G11" s="28" t="n">
        <f aca="false">F11/C11</f>
        <v>0.342713847868487</v>
      </c>
      <c r="H11" s="11" t="n">
        <v>34430</v>
      </c>
      <c r="I11" s="28" t="n">
        <f aca="false">H11/C11</f>
        <v>0.479660072443578</v>
      </c>
      <c r="J11" s="11" t="n">
        <v>18740</v>
      </c>
      <c r="K11" s="11" t="n">
        <v>-28720</v>
      </c>
      <c r="L11" s="29" t="n">
        <f aca="false">K11/C11</f>
        <v>-0.400111451657843</v>
      </c>
    </row>
    <row r="12" customFormat="false" ht="15" hidden="false" customHeight="false" outlineLevel="0" collapsed="false">
      <c r="A12" s="102"/>
      <c r="B12" s="9"/>
      <c r="C12" s="9"/>
      <c r="D12" s="9"/>
      <c r="E12" s="9"/>
      <c r="F12" s="9"/>
      <c r="G12" s="9"/>
      <c r="H12" s="9"/>
      <c r="I12" s="9"/>
      <c r="J12" s="9"/>
      <c r="K12" s="9"/>
      <c r="L12" s="10"/>
    </row>
    <row r="13" customFormat="false" ht="15" hidden="false" customHeight="false" outlineLevel="0" collapsed="false">
      <c r="A13" s="112" t="s">
        <v>250</v>
      </c>
      <c r="B13" s="113"/>
      <c r="C13" s="113"/>
      <c r="D13" s="113"/>
      <c r="E13" s="114" t="n">
        <f aca="false">MAX(E7:E11)</f>
        <v>0.817480832420591</v>
      </c>
      <c r="F13" s="113"/>
      <c r="G13" s="114" t="n">
        <f aca="false">MAX(G7:G11)</f>
        <v>0.380854326396495</v>
      </c>
      <c r="H13" s="113"/>
      <c r="I13" s="114" t="n">
        <f aca="false">MAX(I7:I11)</f>
        <v>0.480438116100767</v>
      </c>
      <c r="J13" s="113"/>
      <c r="K13" s="113"/>
      <c r="L13" s="115" t="n">
        <f aca="false">MAX(L7:L11)</f>
        <v>0.29278951201748</v>
      </c>
    </row>
    <row r="14" customFormat="false" ht="15" hidden="false" customHeight="false" outlineLevel="0" collapsed="false">
      <c r="A14" s="112" t="s">
        <v>251</v>
      </c>
      <c r="B14" s="113"/>
      <c r="C14" s="113"/>
      <c r="D14" s="113"/>
      <c r="E14" s="114" t="n">
        <f aca="false">QUARTILE(E7:E11,3)</f>
        <v>0.639593201448872</v>
      </c>
      <c r="F14" s="113"/>
      <c r="G14" s="114" t="n">
        <f aca="false">QUARTILE(G7:G11,3)</f>
        <v>0.342713847868487</v>
      </c>
      <c r="H14" s="113"/>
      <c r="I14" s="114" t="n">
        <f aca="false">QUARTILE(I7:I11,3)</f>
        <v>0.479660072443578</v>
      </c>
      <c r="J14" s="113"/>
      <c r="K14" s="113"/>
      <c r="L14" s="115" t="n">
        <f aca="false">QUARTILE(L7:L11,3)</f>
        <v>0.179539978094195</v>
      </c>
    </row>
    <row r="15" customFormat="false" ht="15" hidden="false" customHeight="false" outlineLevel="0" collapsed="false">
      <c r="A15" s="112" t="s">
        <v>252</v>
      </c>
      <c r="B15" s="113"/>
      <c r="C15" s="113"/>
      <c r="D15" s="113"/>
      <c r="E15" s="114" t="n">
        <f aca="false">MEDIAN(E7:E11)</f>
        <v>0.608966739184067</v>
      </c>
      <c r="F15" s="113"/>
      <c r="G15" s="114" t="n">
        <f aca="false">MEDIAN(G7:G11)</f>
        <v>0.331733858874941</v>
      </c>
      <c r="H15" s="113"/>
      <c r="I15" s="114" t="n">
        <f aca="false">MEDIAN(I7:I11)</f>
        <v>0.388364321438984</v>
      </c>
      <c r="J15" s="113"/>
      <c r="K15" s="113"/>
      <c r="L15" s="115" t="n">
        <f aca="false">MEDIAN(L7:L11)</f>
        <v>0.119474286226927</v>
      </c>
    </row>
    <row r="16" customFormat="false" ht="15" hidden="false" customHeight="false" outlineLevel="0" collapsed="false">
      <c r="A16" s="112" t="s">
        <v>253</v>
      </c>
      <c r="B16" s="113"/>
      <c r="C16" s="113"/>
      <c r="D16" s="113"/>
      <c r="E16" s="114" t="n">
        <f aca="false">QUARTILE(E7:E11,1)</f>
        <v>0.507696472772277</v>
      </c>
      <c r="F16" s="113"/>
      <c r="G16" s="114" t="n">
        <f aca="false">QUARTILE(G7:G11,1)</f>
        <v>0.331105479175544</v>
      </c>
      <c r="H16" s="113"/>
      <c r="I16" s="114" t="n">
        <f aca="false">QUARTILE(I7:I11,1)</f>
        <v>0.359796067006555</v>
      </c>
      <c r="J16" s="113"/>
      <c r="K16" s="113"/>
      <c r="L16" s="115" t="n">
        <f aca="false">QUARTILE(L7:L11,1)</f>
        <v>-0.0149932962046205</v>
      </c>
    </row>
    <row r="17" customFormat="false" ht="15" hidden="false" customHeight="false" outlineLevel="0" collapsed="false">
      <c r="A17" s="112" t="s">
        <v>254</v>
      </c>
      <c r="B17" s="113"/>
      <c r="C17" s="113"/>
      <c r="D17" s="113"/>
      <c r="E17" s="114" t="n">
        <f aca="false">MIN(E7:E11)</f>
        <v>0.48652585579024</v>
      </c>
      <c r="F17" s="113"/>
      <c r="G17" s="114" t="n">
        <f aca="false">MIN(G7:G11)</f>
        <v>0.120810127887789</v>
      </c>
      <c r="H17" s="113"/>
      <c r="I17" s="114" t="n">
        <f aca="false">MIN(I7:I11)</f>
        <v>0.217757322607261</v>
      </c>
      <c r="J17" s="113"/>
      <c r="K17" s="113"/>
      <c r="L17" s="115" t="n">
        <f aca="false">MIN(L7:L11)</f>
        <v>-0.400111451657843</v>
      </c>
    </row>
    <row r="18" customFormat="false" ht="15" hidden="false" customHeight="false" outlineLevel="0" collapsed="false">
      <c r="A18" s="102"/>
      <c r="B18" s="9"/>
      <c r="C18" s="9"/>
      <c r="D18" s="9"/>
      <c r="E18" s="9"/>
      <c r="F18" s="9"/>
      <c r="G18" s="9"/>
      <c r="H18" s="9"/>
      <c r="I18" s="9"/>
      <c r="J18" s="9"/>
      <c r="K18" s="9"/>
      <c r="L18" s="10"/>
    </row>
    <row r="19" customFormat="false" ht="15" hidden="false" customHeight="false" outlineLevel="0" collapsed="false">
      <c r="A19" s="16" t="s">
        <v>255</v>
      </c>
      <c r="B19" s="116" t="s">
        <v>256</v>
      </c>
      <c r="C19" s="117" t="n">
        <v>331839</v>
      </c>
      <c r="D19" s="117" t="n">
        <v>225465</v>
      </c>
      <c r="E19" s="31" t="n">
        <f aca="false">D19/C19</f>
        <v>0.679440933705803</v>
      </c>
      <c r="F19" s="117" t="n">
        <v>155237</v>
      </c>
      <c r="G19" s="31" t="n">
        <f aca="false">F19/C19</f>
        <v>0.467808184089272</v>
      </c>
      <c r="H19" s="117" t="n">
        <v>193771</v>
      </c>
      <c r="I19" s="31" t="n">
        <f aca="false">H19/C19</f>
        <v>0.583930761604272</v>
      </c>
      <c r="J19" s="117" t="n">
        <v>133749</v>
      </c>
      <c r="K19" s="117" t="n">
        <v>66987</v>
      </c>
      <c r="L19" s="100" t="n">
        <f aca="false">K19/C19</f>
        <v>0.20186596512164</v>
      </c>
    </row>
    <row r="21" customFormat="false" ht="15" hidden="false" customHeight="false" outlineLevel="0" collapsed="false">
      <c r="A21" s="6" t="s">
        <v>257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</row>
    <row r="22" customFormat="false" ht="30" hidden="false" customHeight="true" outlineLevel="0" collapsed="false">
      <c r="A22" s="20" t="s">
        <v>230</v>
      </c>
      <c r="B22" s="21" t="s">
        <v>231</v>
      </c>
      <c r="C22" s="21" t="s">
        <v>258</v>
      </c>
      <c r="D22" s="21" t="s">
        <v>259</v>
      </c>
      <c r="E22" s="21" t="s">
        <v>260</v>
      </c>
      <c r="F22" s="21" t="s">
        <v>261</v>
      </c>
      <c r="G22" s="21" t="s">
        <v>262</v>
      </c>
      <c r="H22" s="21" t="s">
        <v>263</v>
      </c>
      <c r="I22" s="21" t="s">
        <v>264</v>
      </c>
      <c r="J22" s="21" t="s">
        <v>265</v>
      </c>
      <c r="K22" s="21" t="s">
        <v>266</v>
      </c>
      <c r="L22" s="22" t="s">
        <v>267</v>
      </c>
    </row>
    <row r="23" customFormat="false" ht="15" hidden="false" customHeight="false" outlineLevel="0" collapsed="false">
      <c r="A23" s="7" t="s">
        <v>240</v>
      </c>
      <c r="B23" s="111" t="s">
        <v>241</v>
      </c>
      <c r="C23" s="8" t="n">
        <v>347.64</v>
      </c>
      <c r="D23" s="11" t="n">
        <v>12230</v>
      </c>
      <c r="E23" s="12" t="n">
        <f aca="false">C23*D23</f>
        <v>4251637.2</v>
      </c>
      <c r="F23" s="11" t="n">
        <v>120790</v>
      </c>
      <c r="G23" s="11" t="n">
        <v>242470</v>
      </c>
      <c r="H23" s="12" t="n">
        <f aca="false">E23+F23-G23</f>
        <v>4129957.2</v>
      </c>
      <c r="I23" s="46" t="n">
        <f aca="false">H23/C7</f>
        <v>9.26269361024514</v>
      </c>
      <c r="J23" s="46" t="n">
        <f aca="false">H23/H7</f>
        <v>23.8505266805267</v>
      </c>
      <c r="K23" s="46" t="n">
        <f aca="false">E23/J7</f>
        <v>17.4161772898574</v>
      </c>
      <c r="L23" s="29" t="n">
        <f aca="false">K7/E23</f>
        <v>0.0125292910693321</v>
      </c>
    </row>
    <row r="24" customFormat="false" ht="15" hidden="false" customHeight="false" outlineLevel="0" collapsed="false">
      <c r="A24" s="7" t="s">
        <v>242</v>
      </c>
      <c r="B24" s="111" t="s">
        <v>243</v>
      </c>
      <c r="C24" s="8" t="n">
        <v>254.08</v>
      </c>
      <c r="D24" s="11" t="n">
        <v>10790</v>
      </c>
      <c r="E24" s="12" t="n">
        <f aca="false">C24*D24</f>
        <v>2741523.2</v>
      </c>
      <c r="F24" s="11" t="n">
        <v>251640</v>
      </c>
      <c r="G24" s="11" t="n">
        <v>122990</v>
      </c>
      <c r="H24" s="12" t="n">
        <f aca="false">E24+F24-G24</f>
        <v>2870173.2</v>
      </c>
      <c r="I24" s="46" t="n">
        <f aca="false">H24/C8</f>
        <v>3.70020266089109</v>
      </c>
      <c r="J24" s="46" t="n">
        <f aca="false">H24/H8</f>
        <v>16.99232253863</v>
      </c>
      <c r="K24" s="46" t="n">
        <f aca="false">E24/J8</f>
        <v>20.2655470136014</v>
      </c>
      <c r="L24" s="29" t="n">
        <f aca="false">K8/E24</f>
        <v>-0.0042421672740176</v>
      </c>
    </row>
    <row r="25" customFormat="false" ht="15" hidden="false" customHeight="false" outlineLevel="0" collapsed="false">
      <c r="A25" s="7" t="s">
        <v>244</v>
      </c>
      <c r="B25" s="111" t="s">
        <v>245</v>
      </c>
      <c r="C25" s="8" t="n">
        <v>737.54</v>
      </c>
      <c r="D25" s="11" t="n">
        <v>2550</v>
      </c>
      <c r="E25" s="12" t="n">
        <f aca="false">C25*D25</f>
        <v>1880727</v>
      </c>
      <c r="F25" s="11" t="n">
        <v>112320</v>
      </c>
      <c r="G25" s="11" t="n">
        <v>90260</v>
      </c>
      <c r="H25" s="12" t="n">
        <f aca="false">E25+F25-G25</f>
        <v>1902787</v>
      </c>
      <c r="I25" s="46" t="n">
        <f aca="false">H25/C9</f>
        <v>8.33641621029573</v>
      </c>
      <c r="J25" s="46" t="n">
        <f aca="false">H25/H9</f>
        <v>17.3516961517418</v>
      </c>
      <c r="K25" s="46" t="n">
        <f aca="false">E25/J9</f>
        <v>27.6171365638767</v>
      </c>
      <c r="L25" s="29" t="n">
        <f aca="false">K9/E25</f>
        <v>0.0217894463151749</v>
      </c>
    </row>
    <row r="26" customFormat="false" ht="15" hidden="false" customHeight="false" outlineLevel="0" collapsed="false">
      <c r="A26" s="7" t="s">
        <v>246</v>
      </c>
      <c r="B26" s="111" t="s">
        <v>247</v>
      </c>
      <c r="C26" s="8" t="n">
        <v>342.96</v>
      </c>
      <c r="D26" s="11" t="n">
        <v>14590</v>
      </c>
      <c r="E26" s="12" t="n">
        <f aca="false">C26*D26</f>
        <v>5003786.4</v>
      </c>
      <c r="F26" s="11" t="n">
        <v>84340</v>
      </c>
      <c r="G26" s="11" t="n">
        <v>146520</v>
      </c>
      <c r="H26" s="12" t="n">
        <f aca="false">E26+F26-G26</f>
        <v>4941606.4</v>
      </c>
      <c r="I26" s="46" t="n">
        <f aca="false">H26/C10</f>
        <v>10.5856784199477</v>
      </c>
      <c r="J26" s="46" t="n">
        <f aca="false">H26/H10</f>
        <v>29.4213288878304</v>
      </c>
      <c r="K26" s="46" t="n">
        <f aca="false">E26/J10</f>
        <v>38.8101016055224</v>
      </c>
      <c r="L26" s="29" t="n">
        <f aca="false">K10/E26</f>
        <v>0.0273153146585154</v>
      </c>
    </row>
    <row r="27" customFormat="false" ht="15" hidden="false" customHeight="false" outlineLevel="0" collapsed="false">
      <c r="A27" s="7" t="s">
        <v>248</v>
      </c>
      <c r="B27" s="111" t="s">
        <v>249</v>
      </c>
      <c r="C27" s="8" t="n">
        <v>130.55</v>
      </c>
      <c r="D27" s="11" t="n">
        <v>3030</v>
      </c>
      <c r="E27" s="12" t="n">
        <f aca="false">C27*D27</f>
        <v>395566.5</v>
      </c>
      <c r="F27" s="11" t="n">
        <v>169140</v>
      </c>
      <c r="G27" s="11" t="n">
        <v>37080</v>
      </c>
      <c r="H27" s="12" t="n">
        <f aca="false">E27+F27-G27</f>
        <v>527626.5</v>
      </c>
      <c r="I27" s="46" t="n">
        <f aca="false">H27/C11</f>
        <v>7.35060601838952</v>
      </c>
      <c r="J27" s="46" t="n">
        <f aca="false">H27/H11</f>
        <v>15.3246151611966</v>
      </c>
      <c r="K27" s="46" t="n">
        <f aca="false">E27/J11</f>
        <v>21.1081376734258</v>
      </c>
      <c r="L27" s="29" t="n">
        <f aca="false">K11/E27</f>
        <v>-0.0726047327061316</v>
      </c>
    </row>
    <row r="28" customFormat="false" ht="15" hidden="false" customHeight="false" outlineLevel="0" collapsed="false">
      <c r="A28" s="102"/>
      <c r="B28" s="9"/>
      <c r="C28" s="9"/>
      <c r="D28" s="9"/>
      <c r="E28" s="9"/>
      <c r="F28" s="9"/>
      <c r="G28" s="9"/>
      <c r="H28" s="9"/>
      <c r="I28" s="9"/>
      <c r="J28" s="9"/>
      <c r="K28" s="9"/>
      <c r="L28" s="10"/>
    </row>
    <row r="29" customFormat="false" ht="15" hidden="false" customHeight="false" outlineLevel="0" collapsed="false">
      <c r="A29" s="112" t="s">
        <v>250</v>
      </c>
      <c r="B29" s="113"/>
      <c r="C29" s="113"/>
      <c r="D29" s="113"/>
      <c r="E29" s="113"/>
      <c r="F29" s="113"/>
      <c r="G29" s="113"/>
      <c r="H29" s="113"/>
      <c r="I29" s="118" t="n">
        <f aca="false">MAX(I23:I27)</f>
        <v>10.5856784199477</v>
      </c>
      <c r="J29" s="118" t="n">
        <f aca="false">MAX(J23:J27)</f>
        <v>29.4213288878304</v>
      </c>
      <c r="K29" s="118" t="n">
        <f aca="false">MAX(K23:K27)</f>
        <v>38.8101016055224</v>
      </c>
      <c r="L29" s="115" t="n">
        <f aca="false">MAX(L23:L27)</f>
        <v>0.0273153146585154</v>
      </c>
    </row>
    <row r="30" customFormat="false" ht="15" hidden="false" customHeight="false" outlineLevel="0" collapsed="false">
      <c r="A30" s="112" t="s">
        <v>251</v>
      </c>
      <c r="B30" s="113"/>
      <c r="C30" s="113"/>
      <c r="D30" s="113"/>
      <c r="E30" s="113"/>
      <c r="F30" s="113"/>
      <c r="G30" s="113"/>
      <c r="H30" s="113"/>
      <c r="I30" s="118" t="n">
        <f aca="false">QUARTILE(I23:I27,3)</f>
        <v>9.26269361024514</v>
      </c>
      <c r="J30" s="118" t="n">
        <f aca="false">QUARTILE(J23:J27,3)</f>
        <v>23.8505266805267</v>
      </c>
      <c r="K30" s="118" t="n">
        <f aca="false">QUARTILE(K23:K27,3)</f>
        <v>27.6171365638767</v>
      </c>
      <c r="L30" s="115" t="n">
        <f aca="false">QUARTILE(L23:L27,3)</f>
        <v>0.0217894463151749</v>
      </c>
    </row>
    <row r="31" customFormat="false" ht="15" hidden="false" customHeight="false" outlineLevel="0" collapsed="false">
      <c r="A31" s="112" t="s">
        <v>252</v>
      </c>
      <c r="B31" s="113"/>
      <c r="C31" s="113"/>
      <c r="D31" s="113"/>
      <c r="E31" s="113"/>
      <c r="F31" s="113"/>
      <c r="G31" s="113"/>
      <c r="H31" s="113"/>
      <c r="I31" s="119" t="n">
        <f aca="false">MEDIAN(I23:I27)</f>
        <v>8.33641621029573</v>
      </c>
      <c r="J31" s="119" t="n">
        <f aca="false">MEDIAN(J23:J27)</f>
        <v>17.3516961517418</v>
      </c>
      <c r="K31" s="118" t="n">
        <f aca="false">MEDIAN(K23:K27)</f>
        <v>21.1081376734258</v>
      </c>
      <c r="L31" s="115" t="n">
        <f aca="false">MEDIAN(L23:L27)</f>
        <v>0.0125292910693321</v>
      </c>
    </row>
    <row r="32" customFormat="false" ht="15" hidden="false" customHeight="false" outlineLevel="0" collapsed="false">
      <c r="A32" s="112" t="s">
        <v>253</v>
      </c>
      <c r="B32" s="113"/>
      <c r="C32" s="113"/>
      <c r="D32" s="113"/>
      <c r="E32" s="113"/>
      <c r="F32" s="113"/>
      <c r="G32" s="113"/>
      <c r="H32" s="113"/>
      <c r="I32" s="118" t="n">
        <f aca="false">QUARTILE(I23:I27,1)</f>
        <v>7.35060601838952</v>
      </c>
      <c r="J32" s="118" t="n">
        <f aca="false">QUARTILE(J23:J27,1)</f>
        <v>16.99232253863</v>
      </c>
      <c r="K32" s="118" t="n">
        <f aca="false">QUARTILE(K23:K27,1)</f>
        <v>20.2655470136014</v>
      </c>
      <c r="L32" s="115" t="n">
        <f aca="false">QUARTILE(L23:L27,1)</f>
        <v>-0.0042421672740176</v>
      </c>
    </row>
    <row r="33" customFormat="false" ht="15" hidden="false" customHeight="false" outlineLevel="0" collapsed="false">
      <c r="A33" s="112" t="s">
        <v>254</v>
      </c>
      <c r="B33" s="113"/>
      <c r="C33" s="113"/>
      <c r="D33" s="113"/>
      <c r="E33" s="113"/>
      <c r="F33" s="113"/>
      <c r="G33" s="113"/>
      <c r="H33" s="113"/>
      <c r="I33" s="118" t="n">
        <f aca="false">MIN(I23:I27)</f>
        <v>3.70020266089109</v>
      </c>
      <c r="J33" s="118" t="n">
        <f aca="false">MIN(J23:J27)</f>
        <v>15.3246151611966</v>
      </c>
      <c r="K33" s="118" t="n">
        <f aca="false">MIN(K23:K27)</f>
        <v>17.4161772898574</v>
      </c>
      <c r="L33" s="115" t="n">
        <f aca="false">MIN(L23:L27)</f>
        <v>-0.0726047327061316</v>
      </c>
    </row>
    <row r="34" customFormat="false" ht="15" hidden="false" customHeight="false" outlineLevel="0" collapsed="false">
      <c r="A34" s="102"/>
      <c r="B34" s="9"/>
      <c r="C34" s="9"/>
      <c r="D34" s="9"/>
      <c r="E34" s="9"/>
      <c r="F34" s="9"/>
      <c r="G34" s="9"/>
      <c r="H34" s="9"/>
      <c r="I34" s="9"/>
      <c r="J34" s="9"/>
      <c r="K34" s="9"/>
      <c r="L34" s="10"/>
    </row>
    <row r="35" customFormat="false" ht="15" hidden="false" customHeight="false" outlineLevel="0" collapsed="false">
      <c r="A35" s="16" t="s">
        <v>255</v>
      </c>
      <c r="B35" s="116" t="s">
        <v>256</v>
      </c>
      <c r="C35" s="120" t="n">
        <v>533.69</v>
      </c>
      <c r="D35" s="117" t="n">
        <v>7430</v>
      </c>
      <c r="E35" s="35" t="n">
        <f aca="false">C35*D35</f>
        <v>3965316.7</v>
      </c>
      <c r="F35" s="117" t="n">
        <v>128810</v>
      </c>
      <c r="G35" s="117" t="n">
        <v>76843</v>
      </c>
      <c r="H35" s="35" t="n">
        <f aca="false">E35+F35-G35</f>
        <v>4017283.7</v>
      </c>
      <c r="I35" s="48" t="n">
        <f aca="false">H35/C19</f>
        <v>12.1061228487309</v>
      </c>
      <c r="J35" s="48" t="n">
        <f aca="false">H35/H19</f>
        <v>20.732120389532</v>
      </c>
      <c r="K35" s="48" t="n">
        <f aca="false">E35/J19</f>
        <v>29.6474493267239</v>
      </c>
      <c r="L35" s="100" t="n">
        <f aca="false">K19/E35</f>
        <v>0.0168932282256295</v>
      </c>
    </row>
    <row r="38" customFormat="false" ht="15" hidden="false" customHeight="false" outlineLevel="0" collapsed="false">
      <c r="A38" s="2" t="s">
        <v>268</v>
      </c>
    </row>
    <row r="39" customFormat="false" ht="15" hidden="false" customHeight="false" outlineLevel="0" collapsed="false">
      <c r="A39" s="4" t="s">
        <v>269</v>
      </c>
    </row>
    <row r="40" customFormat="false" ht="15" hidden="false" customHeight="false" outlineLevel="0" collapsed="false">
      <c r="A40" s="4" t="s">
        <v>270</v>
      </c>
    </row>
    <row r="41" customFormat="false" ht="15" hidden="false" customHeight="false" outlineLevel="0" collapsed="false">
      <c r="A41" s="4" t="s">
        <v>271</v>
      </c>
    </row>
    <row r="42" customFormat="false" ht="15" hidden="false" customHeight="false" outlineLevel="0" collapsed="false">
      <c r="A42" s="4" t="s">
        <v>272</v>
      </c>
    </row>
  </sheetData>
  <mergeCells count="2">
    <mergeCell ref="A5:L5"/>
    <mergeCell ref="A21:L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2026-10-15T02:11:48Z</dcterms:created>
  <dc:creator>openpyxl</dc:creator>
  <dc:description/>
  <dc:language>en-US</dc:language>
  <cp:lastModifiedBy/>
  <dcterms:modified xsi:type="dcterms:W3CDTF">2026-10-15T02:11:48Z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