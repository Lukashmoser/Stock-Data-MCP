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comments3.xml" ContentType="application/vnd.openxmlformats-officedocument.spreadsheetml.comments+xml"/>
  <Override PartName="/xl/styles.xml" ContentType="application/vnd.openxmlformats-officedocument.spreadsheetml.styles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xl/comments2.xml" ContentType="application/vnd.openxmlformats-officedocument.spreadsheetml.comments+xml"/>
  <Override PartName="/xl/drawings/vmlDrawing1.vml" ContentType="application/vnd.openxmlformats-officedocument.vmlDrawing"/>
  <Override PartName="/xl/drawings/vmlDrawing2.vml" ContentType="application/vnd.openxmlformats-officedocument.vmlDrawing"/>
  <Override PartName="/xl/drawings/vmlDrawing3.vml" ContentType="application/vnd.openxmlformats-officedocument.vmlDrawing"/>
  <Override PartName="/xl/drawings/vmlDrawing4.vml" ContentType="application/vnd.openxmlformats-officedocument.vmlDrawing"/>
  <Override PartName="/xl/drawings/vmlDrawing5.vml" ContentType="application/vnd.openxmlformats-officedocument.vmlDrawing"/>
  <Override PartName="/xl/_rels/workbook.xml.rels" ContentType="application/vnd.openxmlformats-package.relationship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Cover" sheetId="1" state="visible" r:id="rId3"/>
    <sheet name="Assumptions" sheetId="2" state="visible" r:id="rId4"/>
    <sheet name="IS" sheetId="3" state="visible" r:id="rId5"/>
    <sheet name="BS" sheetId="4" state="visible" r:id="rId6"/>
    <sheet name="CFS" sheetId="5" state="visible" r:id="rId7"/>
    <sheet name="Schedules" sheetId="6" state="visible" r:id="rId8"/>
    <sheet name="Checks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mc="http://schemas.openxmlformats.org/markup-compatibility/2006" xmlns:xdr="http://schemas.openxmlformats.org/drawingml/2006/spreadsheetDrawing" xmlns:v2="http://schemas.openxmlformats.org/spreadsheetml/2006/main/v2" mc:Ignorable="v2">
  <authors>
    <author>Unknown Author</author>
  </authors>
  <commentList>
    <comment ref="B12" authorId="0">
      <text>
        <r>
          <rPr>
            <sz val="10"/>
            <rFont val="Arial"/>
            <family val="2"/>
          </rPr>
          <t xml:space="preserve">Interest rate on average total debt; interest expense includes finance lease interest, so the implied rate exceeds bond coupons.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-117</xdr:colOff>
                <xdr:row>5</xdr:row>
                <xdr:rowOff>14</xdr:rowOff>
              </xdr:to>
            </anchor>
          </commentPr>
        </mc:Choice>
        <mc:Fallback/>
      </mc:AlternateContent>
    </comment>
    <comment ref="B13" authorId="0">
      <text>
        <r>
          <rPr>
            <sz val="10"/>
            <rFont val="Arial"/>
            <family val="2"/>
          </rPr>
          <t xml:space="preserve">Interest &amp; dividend income / prior-year (cash + short-term investments). Beginning balance used to avoid circularity.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-117</xdr:colOff>
                <xdr:row>5</xdr:row>
                <xdr:rowOff>14</xdr:rowOff>
              </xdr:to>
            </anchor>
          </commentPr>
        </mc:Choice>
        <mc:Fallback/>
      </mc:AlternateContent>
    </comment>
    <comment ref="B20" authorId="0">
      <text>
        <r>
          <rPr>
            <sz val="10"/>
            <rFont val="Arial"/>
            <family val="2"/>
          </rPr>
          <t xml:space="preserve">DPO is high because accounts payable includes unpaid capex ($26.7bn at FY2026). Tapered toward 180 days.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-117</xdr:colOff>
                <xdr:row>4</xdr:row>
                <xdr:rowOff>19</xdr:rowOff>
              </xdr:to>
            </anchor>
          </commentPr>
        </mc:Choice>
        <mc:Fallback/>
      </mc:AlternateContent>
    </comment>
  </commentList>
</comments>
</file>

<file path=xl/comments3.xml><?xml version="1.0" encoding="utf-8"?>
<comments xmlns="http://schemas.openxmlformats.org/spreadsheetml/2006/main" xmlns:mc="http://schemas.openxmlformats.org/markup-compatibility/2006" xmlns:xdr="http://schemas.openxmlformats.org/drawingml/2006/spreadsheetDrawing" xmlns:v2="http://schemas.openxmlformats.org/spreadsheetml/2006/main/v2" mc:Ignorable="v2">
  <authors>
    <author>Unknown Author</author>
  </authors>
  <commentList>
    <comment ref="A7" authorId="0">
      <text>
        <r>
          <rPr>
            <sz val="10"/>
            <rFont val="Arial"/>
            <family val="2"/>
          </rPr>
          <t xml:space="preserve">Cost of revenue excluding D&amp;A (D&amp;A shown separately on row 13). Historical = reported cost of revenue less note D&amp;A.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-117</xdr:colOff>
                <xdr:row>5</xdr:row>
                <xdr:rowOff>14</xdr:rowOff>
              </xdr:to>
            </anchor>
          </commentPr>
        </mc:Choice>
        <mc:Fallback/>
      </mc:AlternateContent>
    </comment>
    <comment ref="B27" authorId="0">
      <text>
        <r>
          <rPr>
            <sz val="10"/>
            <rFont val="Arial"/>
            <family val="2"/>
          </rPr>
          <t xml:space="preserve">Historical: cash dividends declared per share (10-K equity statement). Projected: dividends paid / basic shares.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-117</xdr:colOff>
                <xdr:row>4</xdr:row>
                <xdr:rowOff>19</xdr:rowOff>
              </xdr:to>
            </anchor>
          </commentPr>
        </mc:Choice>
        <mc:Fallback/>
      </mc:AlternateContent>
    </comment>
  </commentList>
</comments>
</file>

<file path=xl/comments4.xml><?xml version="1.0" encoding="utf-8"?>
<comments xmlns="http://schemas.openxmlformats.org/spreadsheetml/2006/main" xmlns:mc="http://schemas.openxmlformats.org/markup-compatibility/2006" xmlns:xdr="http://schemas.openxmlformats.org/drawingml/2006/spreadsheetDrawing" xmlns:v2="http://schemas.openxmlformats.org/spreadsheetml/2006/main/v2" mc:Ignorable="v2">
  <authors>
    <author>Unknown Author</author>
  </authors>
  <commentList>
    <comment ref="A16" authorId="0">
      <text>
        <r>
          <rPr>
            <sz val="10"/>
            <rFont val="Arial"/>
            <family val="2"/>
          </rPr>
          <t xml:space="preserve">Historical: operating lease ROU assets + equity and other investments + other long-term assets.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-117</xdr:colOff>
                <xdr:row>4</xdr:row>
                <xdr:rowOff>4</xdr:rowOff>
              </xdr:to>
            </anchor>
          </commentPr>
        </mc:Choice>
        <mc:Fallback/>
      </mc:AlternateContent>
    </comment>
    <comment ref="A21" authorId="0">
      <text>
        <r>
          <rPr>
            <sz val="10"/>
            <rFont val="Arial"/>
            <family val="2"/>
          </rPr>
          <t xml:space="preserve">Accrued compensation + short-term income taxes + short-term unearned revenue + other current liabilities.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-117</xdr:colOff>
                <xdr:row>4</xdr:row>
                <xdr:rowOff>4</xdr:rowOff>
              </xdr:to>
            </anchor>
          </commentPr>
        </mc:Choice>
        <mc:Fallback/>
      </mc:AlternateContent>
    </comment>
    <comment ref="A25" authorId="0">
      <text>
        <r>
          <rPr>
            <sz val="10"/>
            <rFont val="Arial"/>
            <family val="2"/>
          </rPr>
          <t xml:space="preserve">LT income taxes + LT unearned revenue + deferred income taxes + operating lease liabilities + other LT liabilities.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-117</xdr:colOff>
                <xdr:row>4</xdr:row>
                <xdr:rowOff>19</xdr:rowOff>
              </xdr:to>
            </anchor>
          </commentPr>
        </mc:Choice>
        <mc:Fallback/>
      </mc:AlternateContent>
    </comment>
  </commentList>
</comments>
</file>

<file path=xl/comments5.xml><?xml version="1.0" encoding="utf-8"?>
<comments xmlns="http://schemas.openxmlformats.org/spreadsheetml/2006/main" xmlns:mc="http://schemas.openxmlformats.org/markup-compatibility/2006" xmlns:xdr="http://schemas.openxmlformats.org/drawingml/2006/spreadsheetDrawing" xmlns:v2="http://schemas.openxmlformats.org/spreadsheetml/2006/main/v2" mc:Ignorable="v2">
  <authors>
    <author>Unknown Author</author>
  </authors>
  <commentList>
    <comment ref="A15" authorId="0">
      <text>
        <r>
          <rPr>
            <sz val="10"/>
            <rFont val="Arial"/>
            <family val="2"/>
          </rPr>
          <t xml:space="preserve">Historical: changes in unearned revenue + income taxes + other current liabilities.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-117</xdr:colOff>
                <xdr:row>4</xdr:row>
                <xdr:rowOff>1</xdr:rowOff>
              </xdr:to>
            </anchor>
          </commentPr>
        </mc:Choice>
        <mc:Fallback/>
      </mc:AlternateContent>
    </comment>
    <comment ref="A16" authorId="0">
      <text>
        <r>
          <rPr>
            <sz val="10"/>
            <rFont val="Arial"/>
            <family val="2"/>
          </rPr>
          <t xml:space="preserve">Historical: reported "Depreciation, amortization, and other" less note D&amp;A, plus net recognized (gains)/losses on investments and derivatives, plus changes in other LT assets and other LT liabilities.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-117</xdr:colOff>
                <xdr:row>8</xdr:row>
                <xdr:rowOff>14</xdr:rowOff>
              </xdr:to>
            </anchor>
          </commentPr>
        </mc:Choice>
        <mc:Fallback/>
      </mc:AlternateContent>
    </comment>
    <comment ref="B37" authorId="0">
      <text>
        <r>
          <rPr>
            <sz val="10"/>
            <rFont val="Arial"/>
            <family val="2"/>
          </rPr>
          <t xml:space="preserve">FY2022 ending cash and cash equivalents per 10-K.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-117</xdr:colOff>
                <xdr:row>4</xdr:row>
                <xdr:rowOff>1</xdr:rowOff>
              </xdr:to>
            </anchor>
          </commentPr>
        </mc:Choice>
        <mc:Fallback/>
      </mc:AlternateContent>
    </comment>
  </commentList>
</comments>
</file>

<file path=xl/comments6.xml><?xml version="1.0" encoding="utf-8"?>
<comments xmlns="http://schemas.openxmlformats.org/spreadsheetml/2006/main" xmlns:mc="http://schemas.openxmlformats.org/markup-compatibility/2006" xmlns:xdr="http://schemas.openxmlformats.org/drawingml/2006/spreadsheetDrawing" xmlns:v2="http://schemas.openxmlformats.org/spreadsheetml/2006/main/v2" mc:Ignorable="v2">
  <authors>
    <author>Unknown Author</author>
  </authors>
  <commentList>
    <comment ref="A9" authorId="0">
      <text>
        <r>
          <rPr>
            <sz val="10"/>
            <rFont val="Arial"/>
            <family val="2"/>
          </rPr>
          <t xml:space="preserve">Historical depreciation expense per 10-K PP&amp;E note (reported in $bn, converted to $m). FY2023 from model knowledge.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-117</xdr:colOff>
                <xdr:row>4</xdr:row>
                <xdr:rowOff>19</xdr:rowOff>
              </xdr:to>
            </anchor>
          </commentPr>
        </mc:Choice>
        <mc:Fallback/>
      </mc:AlternateContent>
    </comment>
    <comment ref="A12" authorId="0">
      <text>
        <r>
          <rPr>
            <sz val="10"/>
            <rFont val="Arial"/>
            <family val="2"/>
          </rPr>
          <t xml:space="preserve">Historical intangible amortization per 10-K note ($bn). Projected = 10-K estimated future amortization schedule.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-117</xdr:colOff>
                <xdr:row>4</xdr:row>
                <xdr:rowOff>4</xdr:rowOff>
              </xdr:to>
            </anchor>
          </commentPr>
        </mc:Choice>
        <mc:Fallback/>
      </mc:AlternateContent>
    </comment>
  </commentList>
</comments>
</file>

<file path=xl/sharedStrings.xml><?xml version="1.0" encoding="utf-8"?>
<sst xmlns="http://schemas.openxmlformats.org/spreadsheetml/2006/main" count="265" uniqueCount="199">
  <si>
    <t xml:space="preserve">Three-Statement Financial Model</t>
  </si>
  <si>
    <t xml:space="preserve">Company name</t>
  </si>
  <si>
    <t xml:space="preserve">Microsoft Corporation</t>
  </si>
  <si>
    <t xml:space="preserve">Ticker</t>
  </si>
  <si>
    <t xml:space="preserve">MSFT</t>
  </si>
  <si>
    <t xml:space="preserve">Fiscal year end</t>
  </si>
  <si>
    <t xml:space="preserve">June 30</t>
  </si>
  <si>
    <t xml:space="preserve">Currency / units</t>
  </si>
  <si>
    <t xml:space="preserve">USD millions (per-share values in USD)</t>
  </si>
  <si>
    <t xml:space="preserve">Model date</t>
  </si>
  <si>
    <t xml:space="preserve">2026-10-14</t>
  </si>
  <si>
    <t xml:space="preserve">Prepared by</t>
  </si>
  <si>
    <t xml:space="preserve">Claude (financial-analysis:3-statement-model)</t>
  </si>
  <si>
    <t xml:space="preserve">Data sources</t>
  </si>
  <si>
    <t xml:space="preserve">Form 10-K FY2026 (filed 2026-07-29), 10-K FY2025 (filed 2025-07-30), 10-K FY2024 (filed 2024-07-30) via SEC EDGAR XBRL R-pages; stock-data get_financials cross-check</t>
  </si>
  <si>
    <t xml:space="preserve">Legend</t>
  </si>
  <si>
    <t xml:space="preserve">Blue font: hard-coded inputs (historicals and assumptions)</t>
  </si>
  <si>
    <t xml:space="preserve">Black font: formulas</t>
  </si>
  <si>
    <t xml:space="preserve">Green font: links to other sheets</t>
  </si>
  <si>
    <t xml:space="preserve">Columns: FY2023A to FY2026A = historical actuals (FYE June 30); FY2027E to FY2031E = projections</t>
  </si>
  <si>
    <t xml:space="preserve">Tabs: Assumptions, IS, BS, CFS, Schedules, Checks</t>
  </si>
  <si>
    <t xml:space="preserve">Mapping notes</t>
  </si>
  <si>
    <t xml:space="preserve">IS: D&amp;A (depreciation + intangible amortization per 10-K notes) is shown on its own line and removed from cost of revenue, so EBIT = reported operating income.</t>
  </si>
  <si>
    <t xml:space="preserve">IS: SG&amp;A = Sales and marketing + General and administrative. Other income/(expense) is split into interest income, interest expense and the residual.</t>
  </si>
  <si>
    <t xml:space="preserve">BS: Other current assets as reported; Other long-term assets = operating lease ROU + equity &amp; other investments + other long-term assets.</t>
  </si>
  <si>
    <t xml:space="preserve">BS: Accrued &amp; other current liabilities = accrued compensation + short-term income taxes + short-term unearned revenue + other current liabilities.</t>
  </si>
  <si>
    <t xml:space="preserve">BS: Deferred taxes &amp; other LT liabilities = LT income taxes + LT unearned revenue + deferred income taxes + operating lease liabilities + other LT liabilities.</t>
  </si>
  <si>
    <t xml:space="preserve">BS: Microsoft retires repurchased shares (no treasury stock); projected buybacks are charged to retained earnings.</t>
  </si>
  <si>
    <t xml:space="preserve">CFS: Reported "Depreciation, amortization, and other" minus note D&amp;A is moved to Other operating activities, with net investment gains/losses and LT asset/liability changes. CFO totals match the 10-K.</t>
  </si>
  <si>
    <t xml:space="preserve">CFS FY2024A-FY2026A use the FY2026 10-K presentation; FY2023A uses the FY2025 10-K presentation (the FY2026 10-K reclassified equity-method losses within operating adjustments; CFO total unaffected).</t>
  </si>
  <si>
    <t xml:space="preserve">Assumptions</t>
  </si>
  <si>
    <t xml:space="preserve">Units: USD millions unless stated. Historical columns show implied ratios (formulas); projection columns are inputs (blue).</t>
  </si>
  <si>
    <t xml:space="preserve">Fiscal year</t>
  </si>
  <si>
    <t xml:space="preserve">FY2023A</t>
  </si>
  <si>
    <t xml:space="preserve">FY2024A</t>
  </si>
  <si>
    <t xml:space="preserve">FY2025A</t>
  </si>
  <si>
    <t xml:space="preserve">FY2026A</t>
  </si>
  <si>
    <t xml:space="preserve">FY2027E</t>
  </si>
  <si>
    <t xml:space="preserve">FY2028E</t>
  </si>
  <si>
    <t xml:space="preserve">FY2029E</t>
  </si>
  <si>
    <t xml:space="preserve">FY2030E</t>
  </si>
  <si>
    <t xml:space="preserve">FY2031E</t>
  </si>
  <si>
    <t xml:space="preserve">Income statement</t>
  </si>
  <si>
    <t xml:space="preserve">Revenue growth (%)</t>
  </si>
  <si>
    <t xml:space="preserve">Cost of revenue (% of revenue)</t>
  </si>
  <si>
    <t xml:space="preserve">SG&amp;A (% of revenue)</t>
  </si>
  <si>
    <t xml:space="preserve">R&amp;D (% of revenue)</t>
  </si>
  <si>
    <t xml:space="preserve">Other operating expense (% of revenue)</t>
  </si>
  <si>
    <t xml:space="preserve">Interest rate on debt (%)</t>
  </si>
  <si>
    <t xml:space="preserve">Interest income rate on cash (%)</t>
  </si>
  <si>
    <t xml:space="preserve">Effective tax rate (%)</t>
  </si>
  <si>
    <t xml:space="preserve">Diluted shares outstanding</t>
  </si>
  <si>
    <t xml:space="preserve">Working capital</t>
  </si>
  <si>
    <t xml:space="preserve">Days sales outstanding (DSO)</t>
  </si>
  <si>
    <t xml:space="preserve">Days inventory outstanding (DIO)</t>
  </si>
  <si>
    <t xml:space="preserve">Days payable outstanding (DPO)</t>
  </si>
  <si>
    <t xml:space="preserve">Other current assets (% of revenue)</t>
  </si>
  <si>
    <t xml:space="preserve">Accrued &amp; other current liabilities (% of revenue)</t>
  </si>
  <si>
    <t xml:space="preserve">Capex and D&amp;A</t>
  </si>
  <si>
    <t xml:space="preserve">Capital expenditures (% of revenue)</t>
  </si>
  <si>
    <t xml:space="preserve">Depreciation (% of beginning PP&amp;E)</t>
  </si>
  <si>
    <t xml:space="preserve">Amortization of intangibles</t>
  </si>
  <si>
    <t xml:space="preserve">Financing and capital return</t>
  </si>
  <si>
    <t xml:space="preserve">Debt issuance / (repayment)</t>
  </si>
  <si>
    <t xml:space="preserve">Dividend payout ratio (%)</t>
  </si>
  <si>
    <t xml:space="preserve">Share repurchases</t>
  </si>
  <si>
    <t xml:space="preserve">Minimum cash balance</t>
  </si>
  <si>
    <t xml:space="preserve">Other assumptions</t>
  </si>
  <si>
    <t xml:space="preserve">Stock-based compensation (% of revenue)</t>
  </si>
  <si>
    <t xml:space="preserve">Proceeds from stock issuance</t>
  </si>
  <si>
    <t xml:space="preserve">Other income / (expense), net excl. interest</t>
  </si>
  <si>
    <t xml:space="preserve">Current portion of debt at year end (next-year maturities)</t>
  </si>
  <si>
    <t xml:space="preserve">Income Statement</t>
  </si>
  <si>
    <t xml:space="preserve">Units: USD millions unless stated (per-share in USD; shares in millions)</t>
  </si>
  <si>
    <t xml:space="preserve">Revenue</t>
  </si>
  <si>
    <t xml:space="preserve">Cost of revenue</t>
  </si>
  <si>
    <t xml:space="preserve">Gross profit</t>
  </si>
  <si>
    <t xml:space="preserve">Selling, general &amp; administrative</t>
  </si>
  <si>
    <t xml:space="preserve">Research &amp; development</t>
  </si>
  <si>
    <t xml:space="preserve">Other operating expenses</t>
  </si>
  <si>
    <t xml:space="preserve">EBITDA</t>
  </si>
  <si>
    <t xml:space="preserve">Depreciation &amp; amortization</t>
  </si>
  <si>
    <t xml:space="preserve">Operating income (EBIT)</t>
  </si>
  <si>
    <t xml:space="preserve">Interest expense</t>
  </si>
  <si>
    <t xml:space="preserve">Interest income</t>
  </si>
  <si>
    <t xml:space="preserve">Other income / (expense), net</t>
  </si>
  <si>
    <t xml:space="preserve">Pre-tax income</t>
  </si>
  <si>
    <t xml:space="preserve">Income tax expense</t>
  </si>
  <si>
    <t xml:space="preserve">Net income</t>
  </si>
  <si>
    <t xml:space="preserve">Per share</t>
  </si>
  <si>
    <t xml:space="preserve">Basic shares outstanding</t>
  </si>
  <si>
    <t xml:space="preserve">Basic EPS</t>
  </si>
  <si>
    <t xml:space="preserve">Diluted EPS</t>
  </si>
  <si>
    <t xml:space="preserve">Dividends per share</t>
  </si>
  <si>
    <t xml:space="preserve">Margins and growth</t>
  </si>
  <si>
    <t xml:space="preserve">Gross margin (%)</t>
  </si>
  <si>
    <t xml:space="preserve">EBITDA margin (%)</t>
  </si>
  <si>
    <t xml:space="preserve">Operating margin (%)</t>
  </si>
  <si>
    <t xml:space="preserve">Net margin (%)</t>
  </si>
  <si>
    <t xml:space="preserve">Memo: reported figures (10-K) and reconciliation</t>
  </si>
  <si>
    <t xml:space="preserve">Cost of revenue as reported (incl. D&amp;A)</t>
  </si>
  <si>
    <t xml:space="preserve">Gross margin as reported</t>
  </si>
  <si>
    <t xml:space="preserve">Operating income as reported</t>
  </si>
  <si>
    <t xml:space="preserve">Net income as reported</t>
  </si>
  <si>
    <t xml:space="preserve">Diluted EPS as reported</t>
  </si>
  <si>
    <t xml:space="preserve">Check: model EBIT less reported operating income</t>
  </si>
  <si>
    <t xml:space="preserve">Check: model net income less reported net income</t>
  </si>
  <si>
    <t xml:space="preserve">Balance Sheet</t>
  </si>
  <si>
    <t xml:space="preserve">Assets</t>
  </si>
  <si>
    <t xml:space="preserve">Cash and cash equivalents</t>
  </si>
  <si>
    <t xml:space="preserve">Short-term investments</t>
  </si>
  <si>
    <t xml:space="preserve">Accounts receivable, net</t>
  </si>
  <si>
    <t xml:space="preserve">Inventories</t>
  </si>
  <si>
    <t xml:space="preserve">Prepaid expenses &amp; other current assets</t>
  </si>
  <si>
    <t xml:space="preserve">Total current assets</t>
  </si>
  <si>
    <t xml:space="preserve">Property, plant &amp; equipment, net</t>
  </si>
  <si>
    <t xml:space="preserve">Goodwill</t>
  </si>
  <si>
    <t xml:space="preserve">Intangible assets, net</t>
  </si>
  <si>
    <t xml:space="preserve">Other long-term assets</t>
  </si>
  <si>
    <t xml:space="preserve">Total assets</t>
  </si>
  <si>
    <t xml:space="preserve">Liabilities</t>
  </si>
  <si>
    <t xml:space="preserve">Accounts payable</t>
  </si>
  <si>
    <t xml:space="preserve">Accrued expenses &amp; other current liabilities</t>
  </si>
  <si>
    <t xml:space="preserve">Short-term debt &amp; current portion of long-term debt</t>
  </si>
  <si>
    <t xml:space="preserve">Total current liabilities</t>
  </si>
  <si>
    <t xml:space="preserve">Long-term debt</t>
  </si>
  <si>
    <t xml:space="preserve">Deferred taxes &amp; other long-term liabilities</t>
  </si>
  <si>
    <t xml:space="preserve">Total liabilities</t>
  </si>
  <si>
    <t xml:space="preserve">Stockholders' equity</t>
  </si>
  <si>
    <t xml:space="preserve">Common stock &amp; additional paid-in capital</t>
  </si>
  <si>
    <t xml:space="preserve">Retained earnings</t>
  </si>
  <si>
    <t xml:space="preserve">Accumulated other comprehensive income / (loss)</t>
  </si>
  <si>
    <t xml:space="preserve">Treasury stock</t>
  </si>
  <si>
    <t xml:space="preserve">Total stockholders' equity</t>
  </si>
  <si>
    <t xml:space="preserve">Total liabilities &amp; stockholders' equity</t>
  </si>
  <si>
    <t xml:space="preserve">Cash Flow Statement</t>
  </si>
  <si>
    <t xml:space="preserve">Operating activities</t>
  </si>
  <si>
    <t xml:space="preserve">Stock-based compensation</t>
  </si>
  <si>
    <t xml:space="preserve">Deferred taxes</t>
  </si>
  <si>
    <t xml:space="preserve">(Increase) / decrease in accounts receivable</t>
  </si>
  <si>
    <t xml:space="preserve">(Increase) / decrease in inventories</t>
  </si>
  <si>
    <t xml:space="preserve">(Increase) / decrease in other current assets</t>
  </si>
  <si>
    <t xml:space="preserve">Increase / (decrease) in accounts payable</t>
  </si>
  <si>
    <t xml:space="preserve">Increase / (decrease) in accrued &amp; other current liabilities</t>
  </si>
  <si>
    <t xml:space="preserve">Other operating activities</t>
  </si>
  <si>
    <t xml:space="preserve">Cash flow from operating activities</t>
  </si>
  <si>
    <t xml:space="preserve">Investing activities</t>
  </si>
  <si>
    <t xml:space="preserve">Capital expenditures</t>
  </si>
  <si>
    <t xml:space="preserve">Acquisitions, net of cash acquired</t>
  </si>
  <si>
    <t xml:space="preserve">Purchases / sales of investments, net</t>
  </si>
  <si>
    <t xml:space="preserve">Other investing activities</t>
  </si>
  <si>
    <t xml:space="preserve">Cash flow from investing activities</t>
  </si>
  <si>
    <t xml:space="preserve">Financing activities</t>
  </si>
  <si>
    <t xml:space="preserve">Debt issuance</t>
  </si>
  <si>
    <t xml:space="preserve">Debt repayment</t>
  </si>
  <si>
    <t xml:space="preserve">Dividends paid</t>
  </si>
  <si>
    <t xml:space="preserve">Other financing activities</t>
  </si>
  <si>
    <t xml:space="preserve">Cash flow from financing activities</t>
  </si>
  <si>
    <t xml:space="preserve">Effect of exchange rates on cash</t>
  </si>
  <si>
    <t xml:space="preserve">Net change in cash</t>
  </si>
  <si>
    <t xml:space="preserve">Beginning cash balance</t>
  </si>
  <si>
    <t xml:space="preserve">Ending cash balance</t>
  </si>
  <si>
    <t xml:space="preserve">Memo: reported figures (10-K)</t>
  </si>
  <si>
    <t xml:space="preserve">Net cash from operations as reported</t>
  </si>
  <si>
    <t xml:space="preserve">Check: model CFO less reported CFO</t>
  </si>
  <si>
    <t xml:space="preserve">Supporting Schedules</t>
  </si>
  <si>
    <t xml:space="preserve">D&amp;A / PP&amp;E schedule</t>
  </si>
  <si>
    <t xml:space="preserve">Beginning PP&amp;E, net</t>
  </si>
  <si>
    <t xml:space="preserve">Depreciation</t>
  </si>
  <si>
    <t xml:space="preserve">Ending PP&amp;E, net</t>
  </si>
  <si>
    <t xml:space="preserve">Beginning intangible assets, net</t>
  </si>
  <si>
    <t xml:space="preserve">Amortization</t>
  </si>
  <si>
    <t xml:space="preserve">Ending intangible assets, net</t>
  </si>
  <si>
    <t xml:space="preserve">Total D&amp;A</t>
  </si>
  <si>
    <t xml:space="preserve">Working capital schedule</t>
  </si>
  <si>
    <t xml:space="preserve">Accounts receivable</t>
  </si>
  <si>
    <t xml:space="preserve">Other current assets</t>
  </si>
  <si>
    <t xml:space="preserve">Accrued &amp; other current liabilities</t>
  </si>
  <si>
    <t xml:space="preserve">Net working capital</t>
  </si>
  <si>
    <t xml:space="preserve">(Increase) / decrease in net working capital</t>
  </si>
  <si>
    <t xml:space="preserve">DSO (days)</t>
  </si>
  <si>
    <t xml:space="preserve">DIO (days)</t>
  </si>
  <si>
    <t xml:space="preserve">DPO (days)</t>
  </si>
  <si>
    <t xml:space="preserve">Debt schedule</t>
  </si>
  <si>
    <t xml:space="preserve">Beginning debt balance</t>
  </si>
  <si>
    <t xml:space="preserve">Issuance</t>
  </si>
  <si>
    <t xml:space="preserve">Repayment</t>
  </si>
  <si>
    <t xml:space="preserve">Ending debt balance</t>
  </si>
  <si>
    <t xml:space="preserve">Average debt balance</t>
  </si>
  <si>
    <t xml:space="preserve">Interest rate (%)</t>
  </si>
  <si>
    <t xml:space="preserve">Cash + ST investments, beginning of year (basis for interest income)</t>
  </si>
  <si>
    <t xml:space="preserve">Interest income rate (%)</t>
  </si>
  <si>
    <t xml:space="preserve">Model Checks</t>
  </si>
  <si>
    <t xml:space="preserve">Balance check: total assets less total liabilities &amp; equity (should be 0)</t>
  </si>
  <si>
    <t xml:space="preserve">Cash tie-out: CFS ending cash less BS cash (should be 0)</t>
  </si>
  <si>
    <t xml:space="preserve">Ending cash at or above minimum cash balance (1 = yes)</t>
  </si>
  <si>
    <t xml:space="preserve">Net income: IS vs CFS (should be 0)</t>
  </si>
  <si>
    <t xml:space="preserve">All checks pass (1 = yes)</t>
  </si>
  <si>
    <t xml:space="preserve">Model-wide: all periods pass (1 = yes)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</si>
</sst>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0.0%"/>
    <numFmt numFmtId="166" formatCode="#,##0;\(#,##0\);\-"/>
    <numFmt numFmtId="167" formatCode="0.0"/>
    <numFmt numFmtId="168" formatCode="0.00"/>
    <numFmt numFmtId="169" formatCode="0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i val="true"/>
      <sz val="8"/>
      <color rgb="FF595959"/>
      <name val="Arial"/>
      <family val="0"/>
      <charset val="1"/>
    </font>
    <font>
      <sz val="11"/>
      <color rgb="FF008000"/>
      <name val="Calibri"/>
      <family val="0"/>
      <charset val="1"/>
    </font>
    <font>
      <sz val="11"/>
      <color rgb="FF0000FF"/>
      <name val="Calibri"/>
      <family val="0"/>
      <charset val="1"/>
    </font>
    <font>
      <b val="true"/>
      <sz val="11"/>
      <name val="Cambria"/>
      <family val="0"/>
      <charset val="1"/>
    </font>
    <font>
      <sz val="10"/>
      <name val="Arial"/>
      <family val="2"/>
    </font>
    <font>
      <sz val="11"/>
      <color rgb="FF000000"/>
      <name val="Calibri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1.v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vmlDrawing" Target="../drawings/vmlDrawing2.v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vmlDrawing" Target="../drawings/vmlDrawing3.v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vmlDrawing" Target="../drawings/vmlDrawing4.v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comments" Target="../comments6.xml"/><Relationship Id="rId2" Type="http://schemas.openxmlformats.org/officeDocument/2006/relationships/vmlDrawing" Target="../drawings/vmlDrawing5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0"/>
    <col collapsed="false" customWidth="true" hidden="false" outlineLevel="0" max="2" min="2" style="0" width="30"/>
  </cols>
  <sheetData>
    <row r="1" customFormat="false" ht="15" hidden="false" customHeight="false" outlineLevel="0" collapsed="false">
      <c r="A1" s="1" t="s">
        <v>0</v>
      </c>
    </row>
    <row r="3" customFormat="false" ht="15" hidden="false" customHeight="false" outlineLevel="0" collapsed="false">
      <c r="A3" s="2" t="s">
        <v>1</v>
      </c>
      <c r="B3" s="3" t="s">
        <v>2</v>
      </c>
    </row>
    <row r="4" customFormat="false" ht="15" hidden="false" customHeight="false" outlineLevel="0" collapsed="false">
      <c r="A4" s="2" t="s">
        <v>3</v>
      </c>
      <c r="B4" s="3" t="s">
        <v>4</v>
      </c>
    </row>
    <row r="5" customFormat="false" ht="15" hidden="false" customHeight="false" outlineLevel="0" collapsed="false">
      <c r="A5" s="2" t="s">
        <v>5</v>
      </c>
      <c r="B5" s="3" t="s">
        <v>6</v>
      </c>
    </row>
    <row r="6" customFormat="false" ht="15" hidden="false" customHeight="false" outlineLevel="0" collapsed="false">
      <c r="A6" s="2" t="s">
        <v>7</v>
      </c>
      <c r="B6" s="3" t="s">
        <v>8</v>
      </c>
    </row>
    <row r="7" customFormat="false" ht="15" hidden="false" customHeight="false" outlineLevel="0" collapsed="false">
      <c r="A7" s="2" t="s">
        <v>9</v>
      </c>
      <c r="B7" s="3" t="s">
        <v>10</v>
      </c>
    </row>
    <row r="8" customFormat="false" ht="15" hidden="false" customHeight="false" outlineLevel="0" collapsed="false">
      <c r="A8" s="2" t="s">
        <v>11</v>
      </c>
      <c r="B8" s="3" t="s">
        <v>12</v>
      </c>
    </row>
    <row r="9" customFormat="false" ht="15" hidden="false" customHeight="false" outlineLevel="0" collapsed="false">
      <c r="A9" s="2" t="s">
        <v>13</v>
      </c>
      <c r="B9" s="3" t="s">
        <v>14</v>
      </c>
    </row>
    <row r="11" customFormat="false" ht="15" hidden="false" customHeight="false" outlineLevel="0" collapsed="false">
      <c r="A11" s="4" t="s">
        <v>15</v>
      </c>
    </row>
    <row r="12" customFormat="false" ht="15" hidden="false" customHeight="false" outlineLevel="0" collapsed="false">
      <c r="A12" s="2" t="s">
        <v>16</v>
      </c>
    </row>
    <row r="13" customFormat="false" ht="15" hidden="false" customHeight="false" outlineLevel="0" collapsed="false">
      <c r="A13" s="2" t="s">
        <v>17</v>
      </c>
    </row>
    <row r="14" customFormat="false" ht="15" hidden="false" customHeight="false" outlineLevel="0" collapsed="false">
      <c r="A14" s="2" t="s">
        <v>18</v>
      </c>
    </row>
    <row r="15" customFormat="false" ht="15" hidden="false" customHeight="false" outlineLevel="0" collapsed="false">
      <c r="A15" s="2" t="s">
        <v>19</v>
      </c>
    </row>
    <row r="16" customFormat="false" ht="15" hidden="false" customHeight="false" outlineLevel="0" collapsed="false">
      <c r="A16" s="2" t="s">
        <v>20</v>
      </c>
    </row>
    <row r="18" customFormat="false" ht="15" hidden="false" customHeight="false" outlineLevel="0" collapsed="false">
      <c r="A18" s="0" t="s">
        <v>21</v>
      </c>
    </row>
    <row r="19" customFormat="false" ht="15" hidden="false" customHeight="false" outlineLevel="0" collapsed="false">
      <c r="A19" s="0" t="s">
        <v>22</v>
      </c>
    </row>
    <row r="20" customFormat="false" ht="15" hidden="false" customHeight="false" outlineLevel="0" collapsed="false">
      <c r="A20" s="0" t="s">
        <v>23</v>
      </c>
    </row>
    <row r="21" customFormat="false" ht="15" hidden="false" customHeight="false" outlineLevel="0" collapsed="false">
      <c r="A21" s="0" t="s">
        <v>24</v>
      </c>
    </row>
    <row r="22" customFormat="false" ht="15" hidden="false" customHeight="false" outlineLevel="0" collapsed="false">
      <c r="A22" s="0" t="s">
        <v>25</v>
      </c>
    </row>
    <row r="23" customFormat="false" ht="15" hidden="false" customHeight="false" outlineLevel="0" collapsed="false">
      <c r="A23" s="0" t="s">
        <v>26</v>
      </c>
    </row>
    <row r="24" customFormat="false" ht="15" hidden="false" customHeight="false" outlineLevel="0" collapsed="false">
      <c r="A24" s="0" t="s">
        <v>27</v>
      </c>
    </row>
    <row r="25" customFormat="false" ht="15" hidden="false" customHeight="false" outlineLevel="0" collapsed="false">
      <c r="A25" s="0" t="s">
        <v>28</v>
      </c>
    </row>
    <row r="26" customFormat="false" ht="15" hidden="false" customHeight="false" outlineLevel="0" collapsed="false">
      <c r="A26" s="0" t="s">
        <v>29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10" min="2" style="0" width="12"/>
  </cols>
  <sheetData>
    <row r="1" customFormat="false" ht="15" hidden="false" customHeight="false" outlineLevel="0" collapsed="false">
      <c r="A1" s="1" t="s">
        <v>30</v>
      </c>
    </row>
    <row r="2" customFormat="false" ht="15" hidden="false" customHeight="false" outlineLevel="0" collapsed="false">
      <c r="A2" s="5" t="s">
        <v>31</v>
      </c>
    </row>
    <row r="4" customFormat="false" ht="15" hidden="false" customHeight="false" outlineLevel="0" collapsed="false">
      <c r="A4" s="4" t="s">
        <v>32</v>
      </c>
      <c r="B4" s="6" t="s">
        <v>33</v>
      </c>
      <c r="C4" s="6" t="s">
        <v>34</v>
      </c>
      <c r="D4" s="6" t="s">
        <v>35</v>
      </c>
      <c r="E4" s="6" t="s">
        <v>36</v>
      </c>
      <c r="F4" s="6" t="s">
        <v>37</v>
      </c>
      <c r="G4" s="6" t="s">
        <v>38</v>
      </c>
      <c r="H4" s="6" t="s">
        <v>39</v>
      </c>
      <c r="I4" s="6" t="s">
        <v>40</v>
      </c>
      <c r="J4" s="6" t="s">
        <v>41</v>
      </c>
    </row>
    <row r="6" customFormat="false" ht="15" hidden="false" customHeight="false" outlineLevel="0" collapsed="false">
      <c r="A6" s="4" t="s">
        <v>42</v>
      </c>
    </row>
    <row r="7" customFormat="false" ht="15" hidden="false" customHeight="false" outlineLevel="0" collapsed="false">
      <c r="A7" s="2" t="s">
        <v>43</v>
      </c>
      <c r="C7" s="7" t="n">
        <f aca="false">IS!C6/IS!B6-1</f>
        <v>0.156699620130713</v>
      </c>
      <c r="D7" s="7" t="n">
        <f aca="false">IS!D6/IS!C6-1</f>
        <v>0.149321562324067</v>
      </c>
      <c r="E7" s="7" t="n">
        <f aca="false">IS!E6/IS!D6-1</f>
        <v>0.177886867998467</v>
      </c>
      <c r="F7" s="8" t="n">
        <v>0.16</v>
      </c>
      <c r="G7" s="8" t="n">
        <v>0.14</v>
      </c>
      <c r="H7" s="8" t="n">
        <v>0.12</v>
      </c>
      <c r="I7" s="8" t="n">
        <v>0.11</v>
      </c>
      <c r="J7" s="8" t="n">
        <v>0.1</v>
      </c>
    </row>
    <row r="8" customFormat="false" ht="15" hidden="false" customHeight="false" outlineLevel="0" collapsed="false">
      <c r="A8" s="2" t="s">
        <v>44</v>
      </c>
      <c r="B8" s="7" t="n">
        <f aca="false">IS!B7/IS!B6</f>
        <v>0.247094353868296</v>
      </c>
      <c r="C8" s="7" t="n">
        <f aca="false">IS!C7/IS!C6</f>
        <v>0.22076353815651</v>
      </c>
      <c r="D8" s="7" t="n">
        <f aca="false">IS!D7/IS!D6</f>
        <v>0.212374522582386</v>
      </c>
      <c r="E8" s="7" t="n">
        <f aca="false">IS!E7/IS!E6</f>
        <v>0.203032193322666</v>
      </c>
      <c r="F8" s="8" t="n">
        <v>0.205</v>
      </c>
      <c r="G8" s="8" t="n">
        <v>0.205</v>
      </c>
      <c r="H8" s="8" t="n">
        <v>0.205</v>
      </c>
      <c r="I8" s="8" t="n">
        <v>0.205</v>
      </c>
      <c r="J8" s="8" t="n">
        <v>0.205</v>
      </c>
    </row>
    <row r="9" customFormat="false" ht="15" hidden="false" customHeight="false" outlineLevel="0" collapsed="false">
      <c r="A9" s="2" t="s">
        <v>45</v>
      </c>
      <c r="B9" s="7" t="n">
        <f aca="false">IS!B9/IS!B6</f>
        <v>0.143142297619329</v>
      </c>
      <c r="C9" s="7" t="n">
        <f aca="false">IS!C9/IS!C6</f>
        <v>0.130812411778625</v>
      </c>
      <c r="D9" s="7" t="n">
        <f aca="false">IS!D9/IS!D6</f>
        <v>0.116699322741406</v>
      </c>
      <c r="E9" s="7" t="n">
        <f aca="false">IS!E9/IS!E6</f>
        <v>0.104466322523875</v>
      </c>
      <c r="F9" s="8" t="n">
        <v>0.102</v>
      </c>
      <c r="G9" s="8" t="n">
        <v>0.1</v>
      </c>
      <c r="H9" s="8" t="n">
        <v>0.098</v>
      </c>
      <c r="I9" s="8" t="n">
        <v>0.097</v>
      </c>
      <c r="J9" s="8" t="n">
        <v>0.096</v>
      </c>
    </row>
    <row r="10" customFormat="false" ht="15" hidden="false" customHeight="false" outlineLevel="0" collapsed="false">
      <c r="A10" s="2" t="s">
        <v>46</v>
      </c>
      <c r="B10" s="7" t="n">
        <f aca="false">IS!B10/IS!B6</f>
        <v>0.128329754854541</v>
      </c>
      <c r="C10" s="7" t="n">
        <f aca="false">IS!C10/IS!C6</f>
        <v>0.120389030768352</v>
      </c>
      <c r="D10" s="7" t="n">
        <f aca="false">IS!D10/IS!D6</f>
        <v>0.115318538711647</v>
      </c>
      <c r="E10" s="7" t="n">
        <f aca="false">IS!E10/IS!E6</f>
        <v>0.107166427092656</v>
      </c>
      <c r="F10" s="8" t="n">
        <v>0.105</v>
      </c>
      <c r="G10" s="8" t="n">
        <v>0.105</v>
      </c>
      <c r="H10" s="8" t="n">
        <v>0.105</v>
      </c>
      <c r="I10" s="8" t="n">
        <v>0.105</v>
      </c>
      <c r="J10" s="8" t="n">
        <v>0.105</v>
      </c>
    </row>
    <row r="11" customFormat="false" ht="15" hidden="false" customHeight="false" outlineLevel="0" collapsed="false">
      <c r="A11" s="2" t="s">
        <v>47</v>
      </c>
      <c r="B11" s="7" t="n">
        <f aca="false">IS!B11/IS!B6</f>
        <v>0</v>
      </c>
      <c r="C11" s="7" t="n">
        <f aca="false">IS!C11/IS!C6</f>
        <v>0</v>
      </c>
      <c r="D11" s="7" t="n">
        <f aca="false">IS!D11/IS!D6</f>
        <v>0</v>
      </c>
      <c r="E11" s="7" t="n">
        <f aca="false">IS!E11/IS!E6</f>
        <v>0</v>
      </c>
      <c r="F11" s="8" t="n">
        <v>0</v>
      </c>
      <c r="G11" s="8" t="n">
        <v>0</v>
      </c>
      <c r="H11" s="8" t="n">
        <v>0</v>
      </c>
      <c r="I11" s="8" t="n">
        <v>0</v>
      </c>
      <c r="J11" s="8" t="n">
        <v>0</v>
      </c>
    </row>
    <row r="12" customFormat="false" ht="15" hidden="false" customHeight="false" outlineLevel="0" collapsed="false">
      <c r="A12" s="2" t="s">
        <v>48</v>
      </c>
      <c r="C12" s="7" t="n">
        <f aca="false">IS!C15/AVERAGE(BS!B22+BS!B24,BS!C22+BS!C24)</f>
        <v>0.05937269260724</v>
      </c>
      <c r="D12" s="7" t="n">
        <f aca="false">IS!D15/AVERAGE(BS!C22+BS!C24,BS!D22+BS!D24)</f>
        <v>0.0503265422394784</v>
      </c>
      <c r="E12" s="7" t="n">
        <f aca="false">IS!E15/AVERAGE(BS!D22+BS!D24,BS!E22+BS!E24)</f>
        <v>0.0731260111450656</v>
      </c>
      <c r="F12" s="8" t="n">
        <v>0.07</v>
      </c>
      <c r="G12" s="8" t="n">
        <v>0.07</v>
      </c>
      <c r="H12" s="8" t="n">
        <v>0.07</v>
      </c>
      <c r="I12" s="8" t="n">
        <v>0.07</v>
      </c>
      <c r="J12" s="8" t="n">
        <v>0.07</v>
      </c>
    </row>
    <row r="13" customFormat="false" ht="15" hidden="false" customHeight="false" outlineLevel="0" collapsed="false">
      <c r="A13" s="2" t="s">
        <v>49</v>
      </c>
      <c r="C13" s="7" t="n">
        <f aca="false">IS!C16/(BS!B7+BS!B8)</f>
        <v>0.0283744674731714</v>
      </c>
      <c r="D13" s="7" t="n">
        <f aca="false">IS!D16/(BS!C7+BS!C8)</f>
        <v>0.0350396462941636</v>
      </c>
      <c r="E13" s="7" t="n">
        <f aca="false">IS!E16/(BS!D7+BS!D8)</f>
        <v>0.0349072066832338</v>
      </c>
      <c r="F13" s="8" t="n">
        <v>0.035</v>
      </c>
      <c r="G13" s="8" t="n">
        <v>0.035</v>
      </c>
      <c r="H13" s="8" t="n">
        <v>0.035</v>
      </c>
      <c r="I13" s="8" t="n">
        <v>0.035</v>
      </c>
      <c r="J13" s="8" t="n">
        <v>0.035</v>
      </c>
    </row>
    <row r="14" customFormat="false" ht="15" hidden="false" customHeight="false" outlineLevel="0" collapsed="false">
      <c r="A14" s="2" t="s">
        <v>50</v>
      </c>
      <c r="B14" s="7" t="n">
        <f aca="false">IS!B19/IS!B18</f>
        <v>0.189786252533283</v>
      </c>
      <c r="C14" s="7" t="n">
        <f aca="false">IS!C19/IS!C18</f>
        <v>0.182313265978272</v>
      </c>
      <c r="D14" s="7" t="n">
        <f aca="false">IS!D19/IS!D18</f>
        <v>0.176296440098037</v>
      </c>
      <c r="E14" s="7" t="n">
        <f aca="false">IS!E19/IS!E18</f>
        <v>0.193962659852713</v>
      </c>
      <c r="F14" s="8" t="n">
        <v>0.19</v>
      </c>
      <c r="G14" s="8" t="n">
        <v>0.19</v>
      </c>
      <c r="H14" s="8" t="n">
        <v>0.19</v>
      </c>
      <c r="I14" s="8" t="n">
        <v>0.19</v>
      </c>
      <c r="J14" s="8" t="n">
        <v>0.19</v>
      </c>
    </row>
    <row r="15" customFormat="false" ht="15" hidden="false" customHeight="false" outlineLevel="0" collapsed="false">
      <c r="A15" s="2" t="s">
        <v>51</v>
      </c>
      <c r="B15" s="9" t="n">
        <f aca="false">IS!B24</f>
        <v>7472</v>
      </c>
      <c r="C15" s="9" t="n">
        <f aca="false">IS!C24</f>
        <v>7469</v>
      </c>
      <c r="D15" s="9" t="n">
        <f aca="false">IS!D24</f>
        <v>7465</v>
      </c>
      <c r="E15" s="9" t="n">
        <f aca="false">IS!E24</f>
        <v>7453</v>
      </c>
      <c r="F15" s="10" t="n">
        <v>7440</v>
      </c>
      <c r="G15" s="10" t="n">
        <v>7425</v>
      </c>
      <c r="H15" s="10" t="n">
        <v>7410</v>
      </c>
      <c r="I15" s="10" t="n">
        <v>7395</v>
      </c>
      <c r="J15" s="10" t="n">
        <v>7380</v>
      </c>
    </row>
    <row r="17" customFormat="false" ht="15" hidden="false" customHeight="false" outlineLevel="0" collapsed="false">
      <c r="A17" s="4" t="s">
        <v>52</v>
      </c>
    </row>
    <row r="18" customFormat="false" ht="15" hidden="false" customHeight="false" outlineLevel="0" collapsed="false">
      <c r="A18" s="2" t="s">
        <v>53</v>
      </c>
      <c r="B18" s="11" t="n">
        <f aca="false">BS!B9/IS!B6*365</f>
        <v>83.8596607130217</v>
      </c>
      <c r="C18" s="11" t="n">
        <f aca="false">BS!C9/IS!C6*365</f>
        <v>84.7629343755355</v>
      </c>
      <c r="D18" s="11" t="n">
        <f aca="false">BS!D9/IS!D6*365</f>
        <v>90.5685174142068</v>
      </c>
      <c r="E18" s="11" t="n">
        <f aca="false">BS!E9/IS!E6*365</f>
        <v>88.9580187982727</v>
      </c>
      <c r="F18" s="12" t="n">
        <v>89</v>
      </c>
      <c r="G18" s="12" t="n">
        <v>89</v>
      </c>
      <c r="H18" s="12" t="n">
        <v>89</v>
      </c>
      <c r="I18" s="12" t="n">
        <v>89</v>
      </c>
      <c r="J18" s="12" t="n">
        <v>89</v>
      </c>
    </row>
    <row r="19" customFormat="false" ht="15" hidden="false" customHeight="false" outlineLevel="0" collapsed="false">
      <c r="A19" s="2" t="s">
        <v>54</v>
      </c>
      <c r="B19" s="11" t="n">
        <f aca="false">BS!B10/IS!B7*365</f>
        <v>17.4264270572733</v>
      </c>
      <c r="C19" s="11" t="n">
        <f aca="false">BS!C10/IS!C7*365</f>
        <v>8.40429463724729</v>
      </c>
      <c r="D19" s="11" t="n">
        <f aca="false">BS!D10/IS!D7*365</f>
        <v>5.72228443449048</v>
      </c>
      <c r="E19" s="11" t="n">
        <f aca="false">BS!E10/IS!E7*365</f>
        <v>7.56827559592721</v>
      </c>
      <c r="F19" s="12" t="n">
        <v>7.5</v>
      </c>
      <c r="G19" s="12" t="n">
        <v>7.5</v>
      </c>
      <c r="H19" s="12" t="n">
        <v>7.5</v>
      </c>
      <c r="I19" s="12" t="n">
        <v>7.5</v>
      </c>
      <c r="J19" s="12" t="n">
        <v>7.5</v>
      </c>
    </row>
    <row r="20" customFormat="false" ht="15" hidden="false" customHeight="false" outlineLevel="0" collapsed="false">
      <c r="A20" s="2" t="s">
        <v>55</v>
      </c>
      <c r="B20" s="11" t="n">
        <f aca="false">BS!B20/IS!B7*365</f>
        <v>126.132479040544</v>
      </c>
      <c r="C20" s="11" t="n">
        <f aca="false">BS!C20/IS!C7*365</f>
        <v>148.363454928484</v>
      </c>
      <c r="D20" s="11" t="n">
        <f aca="false">BS!D20/IS!D7*365</f>
        <v>169.130718189567</v>
      </c>
      <c r="E20" s="11" t="n">
        <f aca="false">BS!E20/IS!E7*365</f>
        <v>229.789533054294</v>
      </c>
      <c r="F20" s="12" t="n">
        <v>220</v>
      </c>
      <c r="G20" s="12" t="n">
        <v>210</v>
      </c>
      <c r="H20" s="12" t="n">
        <v>200</v>
      </c>
      <c r="I20" s="12" t="n">
        <v>190</v>
      </c>
      <c r="J20" s="12" t="n">
        <v>180</v>
      </c>
    </row>
    <row r="21" customFormat="false" ht="15" hidden="false" customHeight="false" outlineLevel="0" collapsed="false">
      <c r="A21" s="2" t="s">
        <v>56</v>
      </c>
      <c r="B21" s="7" t="n">
        <f aca="false">BS!B11/IS!B6</f>
        <v>0.10290446641342</v>
      </c>
      <c r="C21" s="7" t="n">
        <f aca="false">BS!C11/IS!C6</f>
        <v>0.106155302257651</v>
      </c>
      <c r="D21" s="7" t="n">
        <f aca="false">BS!D11/IS!D6</f>
        <v>0.091305675057858</v>
      </c>
      <c r="E21" s="7" t="n">
        <f aca="false">BS!E11/IS!E6</f>
        <v>0.146438483722528</v>
      </c>
      <c r="F21" s="8" t="n">
        <v>0.146</v>
      </c>
      <c r="G21" s="8" t="n">
        <v>0.146</v>
      </c>
      <c r="H21" s="8" t="n">
        <v>0.146</v>
      </c>
      <c r="I21" s="8" t="n">
        <v>0.146</v>
      </c>
      <c r="J21" s="8" t="n">
        <v>0.146</v>
      </c>
    </row>
    <row r="22" customFormat="false" ht="15" hidden="false" customHeight="false" outlineLevel="0" collapsed="false">
      <c r="A22" s="2" t="s">
        <v>57</v>
      </c>
      <c r="B22" s="7" t="n">
        <f aca="false">BS!B21/IS!B6</f>
        <v>0.381317981266074</v>
      </c>
      <c r="C22" s="7" t="n">
        <f aca="false">BS!C21/IS!C6</f>
        <v>0.384902211959759</v>
      </c>
      <c r="D22" s="7" t="n">
        <f aca="false">BS!D21/IS!D6</f>
        <v>0.392210106345217</v>
      </c>
      <c r="E22" s="7" t="n">
        <f aca="false">BS!E21/IS!E6</f>
        <v>0.353129077655128</v>
      </c>
      <c r="F22" s="8" t="n">
        <v>0.353</v>
      </c>
      <c r="G22" s="8" t="n">
        <v>0.353</v>
      </c>
      <c r="H22" s="8" t="n">
        <v>0.353</v>
      </c>
      <c r="I22" s="8" t="n">
        <v>0.353</v>
      </c>
      <c r="J22" s="8" t="n">
        <v>0.353</v>
      </c>
    </row>
    <row r="24" customFormat="false" ht="15" hidden="false" customHeight="false" outlineLevel="0" collapsed="false">
      <c r="A24" s="4" t="s">
        <v>58</v>
      </c>
    </row>
    <row r="25" customFormat="false" ht="15" hidden="false" customHeight="false" outlineLevel="0" collapsed="false">
      <c r="A25" s="2" t="s">
        <v>59</v>
      </c>
      <c r="B25" s="7" t="n">
        <f aca="false">-CFS!B20/IS!B6</f>
        <v>0.132633367151924</v>
      </c>
      <c r="C25" s="7" t="n">
        <f aca="false">-CFS!C20/IS!C6</f>
        <v>0.181448421602304</v>
      </c>
      <c r="D25" s="7" t="n">
        <f aca="false">-CFS!D20/IS!D6</f>
        <v>0.229128508753248</v>
      </c>
      <c r="E25" s="7" t="n">
        <f aca="false">-CFS!E20/IS!E6</f>
        <v>0.349410406853926</v>
      </c>
      <c r="F25" s="8" t="n">
        <v>0.35</v>
      </c>
      <c r="G25" s="8" t="n">
        <v>0.33</v>
      </c>
      <c r="H25" s="8" t="n">
        <v>0.3</v>
      </c>
      <c r="I25" s="8" t="n">
        <v>0.28</v>
      </c>
      <c r="J25" s="8" t="n">
        <v>0.26</v>
      </c>
    </row>
    <row r="26" customFormat="false" ht="15" hidden="false" customHeight="false" outlineLevel="0" collapsed="false">
      <c r="A26" s="2" t="s">
        <v>60</v>
      </c>
      <c r="C26" s="7" t="n">
        <f aca="false">Schedules!C9/Schedules!C7</f>
        <v>0.15892765654897</v>
      </c>
      <c r="D26" s="7" t="n">
        <f aca="false">Schedules!D9/Schedules!D7</f>
        <v>0.162252656887257</v>
      </c>
      <c r="E26" s="7" t="n">
        <f aca="false">Schedules!E9/Schedules!E7</f>
        <v>0.16734482792268</v>
      </c>
      <c r="F26" s="8" t="n">
        <v>0.17</v>
      </c>
      <c r="G26" s="8" t="n">
        <v>0.17</v>
      </c>
      <c r="H26" s="8" t="n">
        <v>0.17</v>
      </c>
      <c r="I26" s="8" t="n">
        <v>0.17</v>
      </c>
      <c r="J26" s="8" t="n">
        <v>0.17</v>
      </c>
    </row>
    <row r="27" customFormat="false" ht="15" hidden="false" customHeight="false" outlineLevel="0" collapsed="false">
      <c r="A27" s="2" t="s">
        <v>61</v>
      </c>
      <c r="B27" s="9" t="n">
        <f aca="false">Schedules!B12</f>
        <v>2500</v>
      </c>
      <c r="C27" s="9" t="n">
        <f aca="false">Schedules!C12</f>
        <v>4800</v>
      </c>
      <c r="D27" s="9" t="n">
        <f aca="false">Schedules!D12</f>
        <v>6000</v>
      </c>
      <c r="E27" s="9" t="n">
        <f aca="false">Schedules!E12</f>
        <v>4700</v>
      </c>
      <c r="F27" s="10" t="n">
        <v>3097</v>
      </c>
      <c r="G27" s="10" t="n">
        <v>2141</v>
      </c>
      <c r="H27" s="10" t="n">
        <v>1944</v>
      </c>
      <c r="I27" s="10" t="n">
        <v>1477</v>
      </c>
      <c r="J27" s="10" t="n">
        <v>1128</v>
      </c>
    </row>
    <row r="29" customFormat="false" ht="15" hidden="false" customHeight="false" outlineLevel="0" collapsed="false">
      <c r="A29" s="4" t="s">
        <v>62</v>
      </c>
    </row>
    <row r="30" customFormat="false" ht="15" hidden="false" customHeight="false" outlineLevel="0" collapsed="false">
      <c r="A30" s="2" t="s">
        <v>63</v>
      </c>
      <c r="B30" s="9" t="n">
        <f aca="false">CFS!B27+CFS!B28</f>
        <v>-2750</v>
      </c>
      <c r="C30" s="9" t="n">
        <f aca="false">CFS!C27+CFS!C28</f>
        <v>575</v>
      </c>
      <c r="D30" s="9" t="n">
        <f aca="false">CFS!D27+CFS!D28</f>
        <v>-8962</v>
      </c>
      <c r="E30" s="9" t="n">
        <f aca="false">CFS!E27+CFS!E28</f>
        <v>-3000</v>
      </c>
      <c r="F30" s="10" t="n">
        <v>-9227</v>
      </c>
      <c r="G30" s="10" t="n">
        <v>0</v>
      </c>
      <c r="H30" s="10" t="n">
        <v>-2001</v>
      </c>
      <c r="I30" s="10" t="n">
        <v>0</v>
      </c>
      <c r="J30" s="10" t="n">
        <v>-500</v>
      </c>
    </row>
    <row r="31" customFormat="false" ht="15" hidden="false" customHeight="false" outlineLevel="0" collapsed="false">
      <c r="A31" s="2" t="s">
        <v>64</v>
      </c>
      <c r="B31" s="7" t="n">
        <f aca="false">-CFS!B29/IS!B20</f>
        <v>0.273628059313719</v>
      </c>
      <c r="C31" s="7" t="n">
        <f aca="false">-CFS!C29/IS!C20</f>
        <v>0.247015975310883</v>
      </c>
      <c r="D31" s="7" t="n">
        <f aca="false">-CFS!D29/IS!D20</f>
        <v>0.23648754811847</v>
      </c>
      <c r="E31" s="7" t="n">
        <f aca="false">-CFS!E29/IS!E20</f>
        <v>0.197721104456856</v>
      </c>
      <c r="F31" s="8" t="n">
        <v>0.2</v>
      </c>
      <c r="G31" s="8" t="n">
        <v>0.2</v>
      </c>
      <c r="H31" s="8" t="n">
        <v>0.2</v>
      </c>
      <c r="I31" s="8" t="n">
        <v>0.2</v>
      </c>
      <c r="J31" s="8" t="n">
        <v>0.2</v>
      </c>
    </row>
    <row r="32" customFormat="false" ht="15" hidden="false" customHeight="false" outlineLevel="0" collapsed="false">
      <c r="A32" s="2" t="s">
        <v>65</v>
      </c>
      <c r="B32" s="9" t="n">
        <f aca="false">-CFS!B30</f>
        <v>22245</v>
      </c>
      <c r="C32" s="9" t="n">
        <f aca="false">-CFS!C30</f>
        <v>17254</v>
      </c>
      <c r="D32" s="9" t="n">
        <f aca="false">-CFS!D30</f>
        <v>18420</v>
      </c>
      <c r="E32" s="9" t="n">
        <f aca="false">-CFS!E30</f>
        <v>22271</v>
      </c>
      <c r="F32" s="10" t="n">
        <v>24000</v>
      </c>
      <c r="G32" s="10" t="n">
        <v>25000</v>
      </c>
      <c r="H32" s="10" t="n">
        <v>26000</v>
      </c>
      <c r="I32" s="10" t="n">
        <v>27000</v>
      </c>
      <c r="J32" s="10" t="n">
        <v>28000</v>
      </c>
    </row>
    <row r="33" customFormat="false" ht="15" hidden="false" customHeight="false" outlineLevel="0" collapsed="false">
      <c r="A33" s="2" t="s">
        <v>66</v>
      </c>
      <c r="F33" s="10" t="n">
        <v>15000</v>
      </c>
      <c r="G33" s="10" t="n">
        <v>15000</v>
      </c>
      <c r="H33" s="10" t="n">
        <v>15000</v>
      </c>
      <c r="I33" s="10" t="n">
        <v>15000</v>
      </c>
      <c r="J33" s="10" t="n">
        <v>15000</v>
      </c>
    </row>
    <row r="35" customFormat="false" ht="15" hidden="false" customHeight="false" outlineLevel="0" collapsed="false">
      <c r="A35" s="13" t="s">
        <v>67</v>
      </c>
    </row>
    <row r="36" customFormat="false" ht="15" hidden="false" customHeight="false" outlineLevel="0" collapsed="false">
      <c r="A36" s="0" t="s">
        <v>68</v>
      </c>
      <c r="B36" s="7" t="n">
        <f aca="false">CFS!B9/IS!B6</f>
        <v>0.0453530896821839</v>
      </c>
      <c r="C36" s="7" t="n">
        <f aca="false">CFS!C9/IS!C6</f>
        <v>0.0437904390466788</v>
      </c>
      <c r="D36" s="7" t="n">
        <f aca="false">CFS!D9/IS!D6</f>
        <v>0.0425025911885391</v>
      </c>
      <c r="E36" s="7" t="n">
        <f aca="false">CFS!E9/IS!E6</f>
        <v>0.0373825861336371</v>
      </c>
      <c r="F36" s="8" t="n">
        <v>0.037</v>
      </c>
      <c r="G36" s="8" t="n">
        <v>0.037</v>
      </c>
      <c r="H36" s="8" t="n">
        <v>0.037</v>
      </c>
      <c r="I36" s="8" t="n">
        <v>0.037</v>
      </c>
      <c r="J36" s="8" t="n">
        <v>0.037</v>
      </c>
    </row>
    <row r="37" customFormat="false" ht="15" hidden="false" customHeight="false" outlineLevel="0" collapsed="false">
      <c r="A37" s="0" t="s">
        <v>69</v>
      </c>
      <c r="B37" s="9" t="n">
        <f aca="false">CFS!B31</f>
        <v>1866</v>
      </c>
      <c r="C37" s="9" t="n">
        <f aca="false">CFS!C31</f>
        <v>2002</v>
      </c>
      <c r="D37" s="9" t="n">
        <f aca="false">CFS!D31</f>
        <v>2056</v>
      </c>
      <c r="E37" s="9" t="n">
        <f aca="false">CFS!E31</f>
        <v>2009</v>
      </c>
      <c r="F37" s="10" t="n">
        <v>2000</v>
      </c>
      <c r="G37" s="10" t="n">
        <v>2000</v>
      </c>
      <c r="H37" s="10" t="n">
        <v>2000</v>
      </c>
      <c r="I37" s="10" t="n">
        <v>2000</v>
      </c>
      <c r="J37" s="10" t="n">
        <v>2000</v>
      </c>
    </row>
    <row r="38" customFormat="false" ht="15" hidden="false" customHeight="false" outlineLevel="0" collapsed="false">
      <c r="A38" s="0" t="s">
        <v>70</v>
      </c>
      <c r="B38" s="9" t="n">
        <f aca="false">IS!B17</f>
        <v>-238</v>
      </c>
      <c r="C38" s="9" t="n">
        <f aca="false">IS!C17</f>
        <v>-1868</v>
      </c>
      <c r="D38" s="9" t="n">
        <f aca="false">IS!D17</f>
        <v>-5163</v>
      </c>
      <c r="E38" s="9" t="n">
        <f aca="false">IS!E17</f>
        <v>10447</v>
      </c>
      <c r="F38" s="10" t="n">
        <v>0</v>
      </c>
      <c r="G38" s="10" t="n">
        <v>0</v>
      </c>
      <c r="H38" s="10" t="n">
        <v>0</v>
      </c>
      <c r="I38" s="10" t="n">
        <v>0</v>
      </c>
      <c r="J38" s="10" t="n">
        <v>0</v>
      </c>
    </row>
    <row r="39" customFormat="false" ht="15" hidden="false" customHeight="false" outlineLevel="0" collapsed="false">
      <c r="A39" s="0" t="s">
        <v>71</v>
      </c>
      <c r="B39" s="9" t="n">
        <f aca="false">BS!B22</f>
        <v>5247</v>
      </c>
      <c r="C39" s="9" t="n">
        <f aca="false">BS!C22</f>
        <v>8942</v>
      </c>
      <c r="D39" s="9" t="n">
        <f aca="false">BS!D22</f>
        <v>2999</v>
      </c>
      <c r="E39" s="9" t="n">
        <f aca="false">BS!E22</f>
        <v>9227</v>
      </c>
      <c r="F39" s="10" t="n">
        <v>0</v>
      </c>
      <c r="G39" s="10" t="n">
        <v>2001</v>
      </c>
      <c r="H39" s="10" t="n">
        <v>0</v>
      </c>
      <c r="I39" s="10" t="n">
        <v>500</v>
      </c>
      <c r="J39" s="10" t="n"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4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10" min="2" style="0" width="12"/>
  </cols>
  <sheetData>
    <row r="1" customFormat="false" ht="15" hidden="false" customHeight="false" outlineLevel="0" collapsed="false">
      <c r="A1" s="1" t="s">
        <v>72</v>
      </c>
    </row>
    <row r="2" customFormat="false" ht="15" hidden="false" customHeight="false" outlineLevel="0" collapsed="false">
      <c r="A2" s="5" t="s">
        <v>73</v>
      </c>
    </row>
    <row r="4" customFormat="false" ht="15" hidden="false" customHeight="false" outlineLevel="0" collapsed="false">
      <c r="A4" s="4" t="s">
        <v>32</v>
      </c>
      <c r="B4" s="6" t="s">
        <v>33</v>
      </c>
      <c r="C4" s="6" t="s">
        <v>34</v>
      </c>
      <c r="D4" s="6" t="s">
        <v>35</v>
      </c>
      <c r="E4" s="6" t="s">
        <v>36</v>
      </c>
      <c r="F4" s="6" t="s">
        <v>37</v>
      </c>
      <c r="G4" s="6" t="s">
        <v>38</v>
      </c>
      <c r="H4" s="6" t="s">
        <v>39</v>
      </c>
      <c r="I4" s="6" t="s">
        <v>40</v>
      </c>
      <c r="J4" s="6" t="s">
        <v>41</v>
      </c>
    </row>
    <row r="6" customFormat="false" ht="15" hidden="false" customHeight="false" outlineLevel="0" collapsed="false">
      <c r="A6" s="2" t="s">
        <v>74</v>
      </c>
      <c r="B6" s="10" t="n">
        <v>211915</v>
      </c>
      <c r="C6" s="10" t="n">
        <v>245122</v>
      </c>
      <c r="D6" s="10" t="n">
        <v>281724</v>
      </c>
      <c r="E6" s="10" t="n">
        <v>331839</v>
      </c>
      <c r="F6" s="9" t="n">
        <f aca="false">E6*(1+Assumptions!F7)</f>
        <v>384933.24</v>
      </c>
      <c r="G6" s="9" t="n">
        <f aca="false">F6*(1+Assumptions!G7)</f>
        <v>438823.8936</v>
      </c>
      <c r="H6" s="9" t="n">
        <f aca="false">G6*(1+Assumptions!H7)</f>
        <v>491482.760832</v>
      </c>
      <c r="I6" s="9" t="n">
        <f aca="false">H6*(1+Assumptions!I7)</f>
        <v>545545.86452352</v>
      </c>
      <c r="J6" s="9" t="n">
        <f aca="false">I6*(1+Assumptions!J7)</f>
        <v>600100.450975872</v>
      </c>
    </row>
    <row r="7" customFormat="false" ht="15" hidden="false" customHeight="false" outlineLevel="0" collapsed="false">
      <c r="A7" s="2" t="s">
        <v>75</v>
      </c>
      <c r="B7" s="9" t="n">
        <f aca="false">IS!B38-Schedules!B14</f>
        <v>52363</v>
      </c>
      <c r="C7" s="9" t="n">
        <f aca="false">IS!C38-Schedules!C14</f>
        <v>54114</v>
      </c>
      <c r="D7" s="9" t="n">
        <f aca="false">IS!D38-Schedules!D14</f>
        <v>59831</v>
      </c>
      <c r="E7" s="9" t="n">
        <f aca="false">IS!E38-Schedules!E14</f>
        <v>67374</v>
      </c>
      <c r="F7" s="9" t="n">
        <f aca="false">F6*Assumptions!F8</f>
        <v>78911.3142</v>
      </c>
      <c r="G7" s="9" t="n">
        <f aca="false">G6*Assumptions!G8</f>
        <v>89958.898188</v>
      </c>
      <c r="H7" s="9" t="n">
        <f aca="false">H6*Assumptions!H8</f>
        <v>100753.96597056</v>
      </c>
      <c r="I7" s="9" t="n">
        <f aca="false">I6*Assumptions!I8</f>
        <v>111836.902227322</v>
      </c>
      <c r="J7" s="9" t="n">
        <f aca="false">J6*Assumptions!J8</f>
        <v>123020.592450054</v>
      </c>
    </row>
    <row r="8" customFormat="false" ht="15" hidden="false" customHeight="false" outlineLevel="0" collapsed="false">
      <c r="A8" s="4" t="s">
        <v>76</v>
      </c>
      <c r="B8" s="14" t="n">
        <f aca="false">B6-B7</f>
        <v>159552</v>
      </c>
      <c r="C8" s="14" t="n">
        <f aca="false">C6-C7</f>
        <v>191008</v>
      </c>
      <c r="D8" s="14" t="n">
        <f aca="false">D6-D7</f>
        <v>221893</v>
      </c>
      <c r="E8" s="14" t="n">
        <f aca="false">E6-E7</f>
        <v>264465</v>
      </c>
      <c r="F8" s="14" t="n">
        <f aca="false">F6-F7</f>
        <v>306021.9258</v>
      </c>
      <c r="G8" s="14" t="n">
        <f aca="false">G6-G7</f>
        <v>348864.995412</v>
      </c>
      <c r="H8" s="14" t="n">
        <f aca="false">H6-H7</f>
        <v>390728.79486144</v>
      </c>
      <c r="I8" s="14" t="n">
        <f aca="false">I6-I7</f>
        <v>433708.962296199</v>
      </c>
      <c r="J8" s="14" t="n">
        <f aca="false">J6-J7</f>
        <v>477079.858525818</v>
      </c>
    </row>
    <row r="9" customFormat="false" ht="15" hidden="false" customHeight="false" outlineLevel="0" collapsed="false">
      <c r="A9" s="2" t="s">
        <v>77</v>
      </c>
      <c r="B9" s="10" t="n">
        <v>30334</v>
      </c>
      <c r="C9" s="10" t="n">
        <v>32065</v>
      </c>
      <c r="D9" s="10" t="n">
        <v>32877</v>
      </c>
      <c r="E9" s="10" t="n">
        <v>34666</v>
      </c>
      <c r="F9" s="9" t="n">
        <f aca="false">F6*Assumptions!F9</f>
        <v>39263.19048</v>
      </c>
      <c r="G9" s="9" t="n">
        <f aca="false">G6*Assumptions!G9</f>
        <v>43882.38936</v>
      </c>
      <c r="H9" s="9" t="n">
        <f aca="false">H6*Assumptions!H9</f>
        <v>48165.310561536</v>
      </c>
      <c r="I9" s="9" t="n">
        <f aca="false">I6*Assumptions!I9</f>
        <v>52917.9488587815</v>
      </c>
      <c r="J9" s="9" t="n">
        <f aca="false">J6*Assumptions!J9</f>
        <v>57609.6432936837</v>
      </c>
    </row>
    <row r="10" customFormat="false" ht="15" hidden="false" customHeight="false" outlineLevel="0" collapsed="false">
      <c r="A10" s="2" t="s">
        <v>78</v>
      </c>
      <c r="B10" s="10" t="n">
        <v>27195</v>
      </c>
      <c r="C10" s="10" t="n">
        <v>29510</v>
      </c>
      <c r="D10" s="10" t="n">
        <v>32488</v>
      </c>
      <c r="E10" s="10" t="n">
        <v>35562</v>
      </c>
      <c r="F10" s="9" t="n">
        <f aca="false">F6*Assumptions!F10</f>
        <v>40417.9902</v>
      </c>
      <c r="G10" s="9" t="n">
        <f aca="false">G6*Assumptions!G10</f>
        <v>46076.508828</v>
      </c>
      <c r="H10" s="9" t="n">
        <f aca="false">H6*Assumptions!H10</f>
        <v>51605.68988736</v>
      </c>
      <c r="I10" s="9" t="n">
        <f aca="false">I6*Assumptions!I10</f>
        <v>57282.3157749696</v>
      </c>
      <c r="J10" s="9" t="n">
        <f aca="false">J6*Assumptions!J10</f>
        <v>63010.5473524666</v>
      </c>
    </row>
    <row r="11" customFormat="false" ht="15" hidden="false" customHeight="false" outlineLevel="0" collapsed="false">
      <c r="A11" s="2" t="s">
        <v>79</v>
      </c>
      <c r="B11" s="10" t="n">
        <v>0</v>
      </c>
      <c r="C11" s="10" t="n">
        <v>0</v>
      </c>
      <c r="D11" s="10" t="n">
        <v>0</v>
      </c>
      <c r="E11" s="10" t="n">
        <v>0</v>
      </c>
      <c r="F11" s="9" t="n">
        <f aca="false">F6*Assumptions!F11</f>
        <v>0</v>
      </c>
      <c r="G11" s="9" t="n">
        <f aca="false">G6*Assumptions!G11</f>
        <v>0</v>
      </c>
      <c r="H11" s="9" t="n">
        <f aca="false">H6*Assumptions!H11</f>
        <v>0</v>
      </c>
      <c r="I11" s="9" t="n">
        <f aca="false">I6*Assumptions!I11</f>
        <v>0</v>
      </c>
      <c r="J11" s="9" t="n">
        <f aca="false">J6*Assumptions!J11</f>
        <v>0</v>
      </c>
    </row>
    <row r="12" customFormat="false" ht="15" hidden="false" customHeight="false" outlineLevel="0" collapsed="false">
      <c r="A12" s="4" t="s">
        <v>80</v>
      </c>
      <c r="B12" s="14" t="n">
        <f aca="false">B8-B9-B10-B11</f>
        <v>102023</v>
      </c>
      <c r="C12" s="14" t="n">
        <f aca="false">C8-C9-C10-C11</f>
        <v>129433</v>
      </c>
      <c r="D12" s="14" t="n">
        <f aca="false">D8-D9-D10-D11</f>
        <v>156528</v>
      </c>
      <c r="E12" s="14" t="n">
        <f aca="false">E8-E9-E10-E11</f>
        <v>194237</v>
      </c>
      <c r="F12" s="14" t="n">
        <f aca="false">F8-F9-F10-F11</f>
        <v>226340.74512</v>
      </c>
      <c r="G12" s="14" t="n">
        <f aca="false">G8-G9-G10-G11</f>
        <v>258906.097224</v>
      </c>
      <c r="H12" s="14" t="n">
        <f aca="false">H8-H9-H10-H11</f>
        <v>290957.794412544</v>
      </c>
      <c r="I12" s="14" t="n">
        <f aca="false">I8-I9-I10-I11</f>
        <v>323508.697662447</v>
      </c>
      <c r="J12" s="14" t="n">
        <f aca="false">J8-J9-J10-J11</f>
        <v>356459.667879668</v>
      </c>
    </row>
    <row r="13" customFormat="false" ht="15" hidden="false" customHeight="false" outlineLevel="0" collapsed="false">
      <c r="A13" s="2" t="s">
        <v>81</v>
      </c>
      <c r="B13" s="9" t="n">
        <f aca="false">Schedules!B14</f>
        <v>13500</v>
      </c>
      <c r="C13" s="9" t="n">
        <f aca="false">Schedules!C14</f>
        <v>20000</v>
      </c>
      <c r="D13" s="9" t="n">
        <f aca="false">Schedules!D14</f>
        <v>28000</v>
      </c>
      <c r="E13" s="9" t="n">
        <f aca="false">Schedules!E14</f>
        <v>39000</v>
      </c>
      <c r="F13" s="9" t="n">
        <f aca="false">Schedules!F14</f>
        <v>56319.92</v>
      </c>
      <c r="G13" s="9" t="n">
        <f aca="false">Schedules!G14</f>
        <v>69219.55138</v>
      </c>
      <c r="H13" s="9" t="n">
        <f aca="false">Schedules!H14</f>
        <v>82237.21807636</v>
      </c>
      <c r="I13" s="9" t="n">
        <f aca="false">Schedules!I14</f>
        <v>93185.9918058108</v>
      </c>
      <c r="J13" s="9" t="n">
        <f aca="false">Schedules!J14</f>
        <v>103214.446350143</v>
      </c>
    </row>
    <row r="14" customFormat="false" ht="15" hidden="false" customHeight="false" outlineLevel="0" collapsed="false">
      <c r="A14" s="4" t="s">
        <v>82</v>
      </c>
      <c r="B14" s="14" t="n">
        <f aca="false">B12-B13</f>
        <v>88523</v>
      </c>
      <c r="C14" s="14" t="n">
        <f aca="false">C12-C13</f>
        <v>109433</v>
      </c>
      <c r="D14" s="14" t="n">
        <f aca="false">D12-D13</f>
        <v>128528</v>
      </c>
      <c r="E14" s="14" t="n">
        <f aca="false">E12-E13</f>
        <v>155237</v>
      </c>
      <c r="F14" s="14" t="n">
        <f aca="false">F12-F13</f>
        <v>170020.82512</v>
      </c>
      <c r="G14" s="14" t="n">
        <f aca="false">G12-G13</f>
        <v>189686.545844</v>
      </c>
      <c r="H14" s="14" t="n">
        <f aca="false">H12-H13</f>
        <v>208720.576336184</v>
      </c>
      <c r="I14" s="14" t="n">
        <f aca="false">I12-I13</f>
        <v>230322.705856637</v>
      </c>
      <c r="J14" s="14" t="n">
        <f aca="false">J12-J13</f>
        <v>253245.221529526</v>
      </c>
    </row>
    <row r="15" customFormat="false" ht="15" hidden="false" customHeight="false" outlineLevel="0" collapsed="false">
      <c r="A15" s="2" t="s">
        <v>83</v>
      </c>
      <c r="B15" s="10" t="n">
        <v>1968</v>
      </c>
      <c r="C15" s="10" t="n">
        <v>2935</v>
      </c>
      <c r="D15" s="10" t="n">
        <v>2385</v>
      </c>
      <c r="E15" s="10" t="n">
        <v>3051</v>
      </c>
      <c r="F15" s="9" t="n">
        <f aca="false">Schedules!F35</f>
        <v>2497.635</v>
      </c>
      <c r="G15" s="9" t="n">
        <f aca="false">Schedules!G35</f>
        <v>2174.69</v>
      </c>
      <c r="H15" s="9" t="n">
        <f aca="false">Schedules!H35</f>
        <v>2104.655</v>
      </c>
      <c r="I15" s="9" t="n">
        <f aca="false">Schedules!I35</f>
        <v>2034.62</v>
      </c>
      <c r="J15" s="9" t="n">
        <f aca="false">Schedules!J35</f>
        <v>2017.12</v>
      </c>
    </row>
    <row r="16" customFormat="false" ht="15" hidden="false" customHeight="false" outlineLevel="0" collapsed="false">
      <c r="A16" s="2" t="s">
        <v>84</v>
      </c>
      <c r="B16" s="10" t="n">
        <v>2994</v>
      </c>
      <c r="C16" s="10" t="n">
        <v>3157</v>
      </c>
      <c r="D16" s="10" t="n">
        <v>2647</v>
      </c>
      <c r="E16" s="10" t="n">
        <v>3301</v>
      </c>
      <c r="F16" s="9" t="n">
        <f aca="false">Schedules!F38</f>
        <v>2689.505</v>
      </c>
      <c r="G16" s="9" t="n">
        <f aca="false">Schedules!G38</f>
        <v>3317.33176865448</v>
      </c>
      <c r="H16" s="9" t="n">
        <f aca="false">Schedules!H38</f>
        <v>4832.25615622951</v>
      </c>
      <c r="I16" s="9" t="n">
        <f aca="false">Schedules!I38</f>
        <v>7117.18254061943</v>
      </c>
      <c r="J16" s="9" t="n">
        <f aca="false">Schedules!J38</f>
        <v>10230.4534844801</v>
      </c>
    </row>
    <row r="17" customFormat="false" ht="15" hidden="false" customHeight="false" outlineLevel="0" collapsed="false">
      <c r="A17" s="2" t="s">
        <v>85</v>
      </c>
      <c r="B17" s="10" t="n">
        <v>-238</v>
      </c>
      <c r="C17" s="10" t="n">
        <v>-1868</v>
      </c>
      <c r="D17" s="10" t="n">
        <v>-5163</v>
      </c>
      <c r="E17" s="10" t="n">
        <v>10447</v>
      </c>
      <c r="F17" s="9" t="n">
        <f aca="false">Assumptions!F38</f>
        <v>0</v>
      </c>
      <c r="G17" s="9" t="n">
        <f aca="false">Assumptions!G38</f>
        <v>0</v>
      </c>
      <c r="H17" s="9" t="n">
        <f aca="false">Assumptions!H38</f>
        <v>0</v>
      </c>
      <c r="I17" s="9" t="n">
        <f aca="false">Assumptions!I38</f>
        <v>0</v>
      </c>
      <c r="J17" s="9" t="n">
        <f aca="false">Assumptions!J38</f>
        <v>0</v>
      </c>
    </row>
    <row r="18" customFormat="false" ht="15" hidden="false" customHeight="false" outlineLevel="0" collapsed="false">
      <c r="A18" s="4" t="s">
        <v>86</v>
      </c>
      <c r="B18" s="14" t="n">
        <f aca="false">B14-B15+B16+B17</f>
        <v>89311</v>
      </c>
      <c r="C18" s="14" t="n">
        <f aca="false">C14-C15+C16+C17</f>
        <v>107787</v>
      </c>
      <c r="D18" s="14" t="n">
        <f aca="false">D14-D15+D16+D17</f>
        <v>123627</v>
      </c>
      <c r="E18" s="14" t="n">
        <f aca="false">E14-E15+E16+E17</f>
        <v>165934</v>
      </c>
      <c r="F18" s="14" t="n">
        <f aca="false">F14-F15+F16+F17</f>
        <v>170212.69512</v>
      </c>
      <c r="G18" s="14" t="n">
        <f aca="false">G14-G15+G16+G17</f>
        <v>190829.187612654</v>
      </c>
      <c r="H18" s="14" t="n">
        <f aca="false">H14-H15+H16+H17</f>
        <v>211448.177492414</v>
      </c>
      <c r="I18" s="14" t="n">
        <f aca="false">I14-I15+I16+I17</f>
        <v>235405.268397256</v>
      </c>
      <c r="J18" s="14" t="n">
        <f aca="false">J14-J15+J16+J17</f>
        <v>261458.555014006</v>
      </c>
    </row>
    <row r="19" customFormat="false" ht="15" hidden="false" customHeight="false" outlineLevel="0" collapsed="false">
      <c r="A19" s="2" t="s">
        <v>87</v>
      </c>
      <c r="B19" s="10" t="n">
        <v>16950</v>
      </c>
      <c r="C19" s="10" t="n">
        <v>19651</v>
      </c>
      <c r="D19" s="10" t="n">
        <v>21795</v>
      </c>
      <c r="E19" s="10" t="n">
        <v>32185</v>
      </c>
      <c r="F19" s="9" t="n">
        <f aca="false">F18*Assumptions!F14</f>
        <v>32340.4120728</v>
      </c>
      <c r="G19" s="9" t="n">
        <f aca="false">G18*Assumptions!G14</f>
        <v>36257.5456464043</v>
      </c>
      <c r="H19" s="9" t="n">
        <f aca="false">H18*Assumptions!H14</f>
        <v>40175.1537235586</v>
      </c>
      <c r="I19" s="9" t="n">
        <f aca="false">I18*Assumptions!I14</f>
        <v>44727.0009954786</v>
      </c>
      <c r="J19" s="9" t="n">
        <f aca="false">J18*Assumptions!J14</f>
        <v>49677.1254526611</v>
      </c>
    </row>
    <row r="20" customFormat="false" ht="15" hidden="false" customHeight="false" outlineLevel="0" collapsed="false">
      <c r="A20" s="4" t="s">
        <v>88</v>
      </c>
      <c r="B20" s="14" t="n">
        <f aca="false">B18-B19</f>
        <v>72361</v>
      </c>
      <c r="C20" s="14" t="n">
        <f aca="false">C18-C19</f>
        <v>88136</v>
      </c>
      <c r="D20" s="14" t="n">
        <f aca="false">D18-D19</f>
        <v>101832</v>
      </c>
      <c r="E20" s="14" t="n">
        <f aca="false">E18-E19</f>
        <v>133749</v>
      </c>
      <c r="F20" s="14" t="n">
        <f aca="false">F18-F19</f>
        <v>137872.2830472</v>
      </c>
      <c r="G20" s="14" t="n">
        <f aca="false">G18-G19</f>
        <v>154571.64196625</v>
      </c>
      <c r="H20" s="14" t="n">
        <f aca="false">H18-H19</f>
        <v>171273.023768855</v>
      </c>
      <c r="I20" s="14" t="n">
        <f aca="false">I18-I19</f>
        <v>190678.267401777</v>
      </c>
      <c r="J20" s="14" t="n">
        <f aca="false">J18-J19</f>
        <v>211781.429561345</v>
      </c>
    </row>
    <row r="22" customFormat="false" ht="15" hidden="false" customHeight="false" outlineLevel="0" collapsed="false">
      <c r="A22" s="4" t="s">
        <v>89</v>
      </c>
    </row>
    <row r="23" customFormat="false" ht="15" hidden="false" customHeight="false" outlineLevel="0" collapsed="false">
      <c r="A23" s="2" t="s">
        <v>90</v>
      </c>
      <c r="B23" s="10" t="n">
        <v>7446</v>
      </c>
      <c r="C23" s="10" t="n">
        <v>7431</v>
      </c>
      <c r="D23" s="10" t="n">
        <v>7433</v>
      </c>
      <c r="E23" s="10" t="n">
        <v>7429</v>
      </c>
      <c r="F23" s="14" t="n">
        <f aca="false">F24-(E24-E23)</f>
        <v>7416</v>
      </c>
      <c r="G23" s="14" t="n">
        <f aca="false">G24-(F24-F23)</f>
        <v>7401</v>
      </c>
      <c r="H23" s="14" t="n">
        <f aca="false">H24-(G24-G23)</f>
        <v>7386</v>
      </c>
      <c r="I23" s="14" t="n">
        <f aca="false">I24-(H24-H23)</f>
        <v>7371</v>
      </c>
      <c r="J23" s="14" t="n">
        <f aca="false">J24-(I24-I23)</f>
        <v>7356</v>
      </c>
    </row>
    <row r="24" customFormat="false" ht="15" hidden="false" customHeight="false" outlineLevel="0" collapsed="false">
      <c r="A24" s="2" t="s">
        <v>51</v>
      </c>
      <c r="B24" s="10" t="n">
        <v>7472</v>
      </c>
      <c r="C24" s="10" t="n">
        <v>7469</v>
      </c>
      <c r="D24" s="10" t="n">
        <v>7465</v>
      </c>
      <c r="E24" s="10" t="n">
        <v>7453</v>
      </c>
      <c r="F24" s="9" t="n">
        <f aca="false">Assumptions!F15</f>
        <v>7440</v>
      </c>
      <c r="G24" s="9" t="n">
        <f aca="false">Assumptions!G15</f>
        <v>7425</v>
      </c>
      <c r="H24" s="9" t="n">
        <f aca="false">Assumptions!H15</f>
        <v>7410</v>
      </c>
      <c r="I24" s="9" t="n">
        <f aca="false">Assumptions!I15</f>
        <v>7395</v>
      </c>
      <c r="J24" s="9" t="n">
        <f aca="false">Assumptions!J15</f>
        <v>7380</v>
      </c>
    </row>
    <row r="25" customFormat="false" ht="15" hidden="false" customHeight="false" outlineLevel="0" collapsed="false">
      <c r="A25" s="2" t="s">
        <v>91</v>
      </c>
      <c r="B25" s="15" t="n">
        <f aca="false">B20/B23</f>
        <v>9.7181036798281</v>
      </c>
      <c r="C25" s="15" t="n">
        <f aca="false">C20/C23</f>
        <v>11.8605840398331</v>
      </c>
      <c r="D25" s="15" t="n">
        <f aca="false">D20/D23</f>
        <v>13.6999865464819</v>
      </c>
      <c r="E25" s="15" t="n">
        <f aca="false">E20/E23</f>
        <v>18.0036344057074</v>
      </c>
      <c r="F25" s="15" t="n">
        <f aca="false">F20/F23</f>
        <v>18.5911924281553</v>
      </c>
      <c r="G25" s="15" t="n">
        <f aca="false">G20/G23</f>
        <v>20.8852373957911</v>
      </c>
      <c r="H25" s="15" t="n">
        <f aca="false">H20/H23</f>
        <v>23.1888740548138</v>
      </c>
      <c r="I25" s="15" t="n">
        <f aca="false">I20/I23</f>
        <v>25.8687108128853</v>
      </c>
      <c r="J25" s="15" t="n">
        <f aca="false">J20/J23</f>
        <v>28.7902976565178</v>
      </c>
    </row>
    <row r="26" customFormat="false" ht="15" hidden="false" customHeight="false" outlineLevel="0" collapsed="false">
      <c r="A26" s="2" t="s">
        <v>92</v>
      </c>
      <c r="B26" s="15" t="n">
        <f aca="false">B20/B24</f>
        <v>9.68428800856531</v>
      </c>
      <c r="C26" s="15" t="n">
        <f aca="false">C20/C24</f>
        <v>11.8002409961173</v>
      </c>
      <c r="D26" s="15" t="n">
        <f aca="false">D20/D24</f>
        <v>13.641259209645</v>
      </c>
      <c r="E26" s="15" t="n">
        <f aca="false">E20/E24</f>
        <v>17.9456594659869</v>
      </c>
      <c r="F26" s="15" t="n">
        <f aca="false">F20/F24</f>
        <v>18.5312208396774</v>
      </c>
      <c r="G26" s="15" t="n">
        <f aca="false">G20/G24</f>
        <v>20.8177295577441</v>
      </c>
      <c r="H26" s="15" t="n">
        <f aca="false">H20/H24</f>
        <v>23.113768389859</v>
      </c>
      <c r="I26" s="15" t="n">
        <f aca="false">I20/I24</f>
        <v>25.784755564811</v>
      </c>
      <c r="J26" s="15" t="n">
        <f aca="false">J20/J24</f>
        <v>28.6966706722689</v>
      </c>
    </row>
    <row r="27" customFormat="false" ht="15" hidden="false" customHeight="false" outlineLevel="0" collapsed="false">
      <c r="A27" s="2" t="s">
        <v>93</v>
      </c>
      <c r="B27" s="16" t="n">
        <v>2.72</v>
      </c>
      <c r="C27" s="16" t="n">
        <v>3</v>
      </c>
      <c r="D27" s="16" t="n">
        <v>3.32</v>
      </c>
      <c r="E27" s="16" t="n">
        <v>3.64</v>
      </c>
      <c r="F27" s="17" t="n">
        <f aca="false">-CFS!F29/F23</f>
        <v>3.71823848563107</v>
      </c>
      <c r="G27" s="17" t="n">
        <f aca="false">-CFS!G29/G23</f>
        <v>4.17704747915822</v>
      </c>
      <c r="H27" s="17" t="n">
        <f aca="false">-CFS!H29/H23</f>
        <v>4.63777481096277</v>
      </c>
      <c r="I27" s="17" t="n">
        <f aca="false">-CFS!I29/I23</f>
        <v>5.17374216257706</v>
      </c>
      <c r="J27" s="17" t="n">
        <f aca="false">-CFS!J29/J23</f>
        <v>5.75805953130355</v>
      </c>
    </row>
    <row r="29" customFormat="false" ht="15" hidden="false" customHeight="false" outlineLevel="0" collapsed="false">
      <c r="A29" s="4" t="s">
        <v>94</v>
      </c>
    </row>
    <row r="30" customFormat="false" ht="15" hidden="false" customHeight="false" outlineLevel="0" collapsed="false">
      <c r="A30" s="2" t="s">
        <v>43</v>
      </c>
      <c r="C30" s="18" t="n">
        <f aca="false">C6/B6-1</f>
        <v>0.156699620130713</v>
      </c>
      <c r="D30" s="18" t="n">
        <f aca="false">D6/C6-1</f>
        <v>0.149321562324067</v>
      </c>
      <c r="E30" s="18" t="n">
        <f aca="false">E6/D6-1</f>
        <v>0.177886867998467</v>
      </c>
      <c r="F30" s="18" t="n">
        <f aca="false">F6/E6-1</f>
        <v>0.16</v>
      </c>
      <c r="G30" s="18" t="n">
        <f aca="false">G6/F6-1</f>
        <v>0.14</v>
      </c>
      <c r="H30" s="18" t="n">
        <f aca="false">H6/G6-1</f>
        <v>0.12</v>
      </c>
      <c r="I30" s="18" t="n">
        <f aca="false">I6/H6-1</f>
        <v>0.11</v>
      </c>
      <c r="J30" s="18" t="n">
        <f aca="false">J6/I6-1</f>
        <v>0.1</v>
      </c>
    </row>
    <row r="31" customFormat="false" ht="15" hidden="false" customHeight="false" outlineLevel="0" collapsed="false">
      <c r="A31" s="2" t="s">
        <v>95</v>
      </c>
      <c r="B31" s="18" t="n">
        <f aca="false">B8/B6</f>
        <v>0.752905646131704</v>
      </c>
      <c r="C31" s="18" t="n">
        <f aca="false">C8/C6</f>
        <v>0.77923646184349</v>
      </c>
      <c r="D31" s="18" t="n">
        <f aca="false">D8/D6</f>
        <v>0.787625477417614</v>
      </c>
      <c r="E31" s="18" t="n">
        <f aca="false">E8/E6</f>
        <v>0.796967806677335</v>
      </c>
      <c r="F31" s="18" t="n">
        <f aca="false">F8/F6</f>
        <v>0.795</v>
      </c>
      <c r="G31" s="18" t="n">
        <f aca="false">G8/G6</f>
        <v>0.795</v>
      </c>
      <c r="H31" s="18" t="n">
        <f aca="false">H8/H6</f>
        <v>0.795</v>
      </c>
      <c r="I31" s="18" t="n">
        <f aca="false">I8/I6</f>
        <v>0.795</v>
      </c>
      <c r="J31" s="18" t="n">
        <f aca="false">J8/J6</f>
        <v>0.795</v>
      </c>
    </row>
    <row r="32" customFormat="false" ht="15" hidden="false" customHeight="false" outlineLevel="0" collapsed="false">
      <c r="A32" s="2" t="s">
        <v>96</v>
      </c>
      <c r="B32" s="18" t="n">
        <f aca="false">B12/B6</f>
        <v>0.481433593657835</v>
      </c>
      <c r="C32" s="18" t="n">
        <f aca="false">C12/C6</f>
        <v>0.528035019296514</v>
      </c>
      <c r="D32" s="18" t="n">
        <f aca="false">D12/D6</f>
        <v>0.555607615964561</v>
      </c>
      <c r="E32" s="18" t="n">
        <f aca="false">E12/E6</f>
        <v>0.585335057060804</v>
      </c>
      <c r="F32" s="18" t="n">
        <f aca="false">F12/F6</f>
        <v>0.588</v>
      </c>
      <c r="G32" s="18" t="n">
        <f aca="false">G12/G6</f>
        <v>0.59</v>
      </c>
      <c r="H32" s="18" t="n">
        <f aca="false">H12/H6</f>
        <v>0.592</v>
      </c>
      <c r="I32" s="18" t="n">
        <f aca="false">I12/I6</f>
        <v>0.593</v>
      </c>
      <c r="J32" s="18" t="n">
        <f aca="false">J12/J6</f>
        <v>0.594</v>
      </c>
    </row>
    <row r="33" customFormat="false" ht="15" hidden="false" customHeight="false" outlineLevel="0" collapsed="false">
      <c r="A33" s="2" t="s">
        <v>97</v>
      </c>
      <c r="B33" s="18" t="n">
        <f aca="false">B14/B6</f>
        <v>0.417728806361041</v>
      </c>
      <c r="C33" s="18" t="n">
        <f aca="false">C14/C6</f>
        <v>0.446442995732737</v>
      </c>
      <c r="D33" s="18" t="n">
        <f aca="false">D14/D6</f>
        <v>0.456219562408599</v>
      </c>
      <c r="E33" s="18" t="n">
        <f aca="false">E14/E6</f>
        <v>0.467808184089272</v>
      </c>
      <c r="F33" s="18" t="n">
        <f aca="false">F14/F6</f>
        <v>0.441689122820362</v>
      </c>
      <c r="G33" s="18" t="n">
        <f aca="false">G14/G6</f>
        <v>0.432261206854211</v>
      </c>
      <c r="H33" s="18" t="n">
        <f aca="false">H14/H6</f>
        <v>0.424675274434558</v>
      </c>
      <c r="I33" s="18" t="n">
        <f aca="false">I14/I6</f>
        <v>0.422187612141099</v>
      </c>
      <c r="J33" s="18" t="n">
        <f aca="false">J14/J6</f>
        <v>0.422004717906315</v>
      </c>
    </row>
    <row r="34" customFormat="false" ht="15" hidden="false" customHeight="false" outlineLevel="0" collapsed="false">
      <c r="A34" s="2" t="s">
        <v>98</v>
      </c>
      <c r="B34" s="18" t="n">
        <f aca="false">B20/B6</f>
        <v>0.341462378783946</v>
      </c>
      <c r="C34" s="18" t="n">
        <f aca="false">C20/C6</f>
        <v>0.35955972944085</v>
      </c>
      <c r="D34" s="18" t="n">
        <f aca="false">D20/D6</f>
        <v>0.361460152489671</v>
      </c>
      <c r="E34" s="18" t="n">
        <f aca="false">E20/E6</f>
        <v>0.403053890591522</v>
      </c>
      <c r="F34" s="18" t="n">
        <f aca="false">F20/F6</f>
        <v>0.358171934040303</v>
      </c>
      <c r="G34" s="18" t="n">
        <f aca="false">G20/G6</f>
        <v>0.352240714830233</v>
      </c>
      <c r="H34" s="18" t="n">
        <f aca="false">H20/H6</f>
        <v>0.34848226106429</v>
      </c>
      <c r="I34" s="18" t="n">
        <f aca="false">I20/I6</f>
        <v>0.349518307811417</v>
      </c>
      <c r="J34" s="18" t="n">
        <f aca="false">J20/J6</f>
        <v>0.352909965684828</v>
      </c>
    </row>
    <row r="35" customFormat="false" ht="15" hidden="false" customHeight="false" outlineLevel="0" collapsed="false">
      <c r="A35" s="2" t="s">
        <v>50</v>
      </c>
      <c r="B35" s="18" t="n">
        <f aca="false">B19/B18</f>
        <v>0.189786252533283</v>
      </c>
      <c r="C35" s="18" t="n">
        <f aca="false">C19/C18</f>
        <v>0.182313265978272</v>
      </c>
      <c r="D35" s="18" t="n">
        <f aca="false">D19/D18</f>
        <v>0.176296440098037</v>
      </c>
      <c r="E35" s="18" t="n">
        <f aca="false">E19/E18</f>
        <v>0.193962659852713</v>
      </c>
      <c r="F35" s="18" t="n">
        <f aca="false">F19/F18</f>
        <v>0.19</v>
      </c>
      <c r="G35" s="18" t="n">
        <f aca="false">G19/G18</f>
        <v>0.19</v>
      </c>
      <c r="H35" s="18" t="n">
        <f aca="false">H19/H18</f>
        <v>0.19</v>
      </c>
      <c r="I35" s="18" t="n">
        <f aca="false">I19/I18</f>
        <v>0.19</v>
      </c>
      <c r="J35" s="18" t="n">
        <f aca="false">J19/J18</f>
        <v>0.19</v>
      </c>
    </row>
    <row r="37" customFormat="false" ht="15" hidden="false" customHeight="false" outlineLevel="0" collapsed="false">
      <c r="A37" s="13" t="s">
        <v>99</v>
      </c>
    </row>
    <row r="38" customFormat="false" ht="15" hidden="false" customHeight="false" outlineLevel="0" collapsed="false">
      <c r="A38" s="0" t="s">
        <v>100</v>
      </c>
      <c r="B38" s="10" t="n">
        <v>65863</v>
      </c>
      <c r="C38" s="10" t="n">
        <v>74114</v>
      </c>
      <c r="D38" s="10" t="n">
        <v>87831</v>
      </c>
      <c r="E38" s="10" t="n">
        <v>106374</v>
      </c>
    </row>
    <row r="39" customFormat="false" ht="15" hidden="false" customHeight="false" outlineLevel="0" collapsed="false">
      <c r="A39" s="0" t="s">
        <v>101</v>
      </c>
      <c r="B39" s="14" t="n">
        <f aca="false">B6-B38</f>
        <v>146052</v>
      </c>
      <c r="C39" s="14" t="n">
        <f aca="false">C6-C38</f>
        <v>171008</v>
      </c>
      <c r="D39" s="14" t="n">
        <f aca="false">D6-D38</f>
        <v>193893</v>
      </c>
      <c r="E39" s="14" t="n">
        <f aca="false">E6-E38</f>
        <v>225465</v>
      </c>
    </row>
    <row r="40" customFormat="false" ht="15" hidden="false" customHeight="false" outlineLevel="0" collapsed="false">
      <c r="A40" s="0" t="s">
        <v>102</v>
      </c>
      <c r="B40" s="10" t="n">
        <v>88523</v>
      </c>
      <c r="C40" s="10" t="n">
        <v>109433</v>
      </c>
      <c r="D40" s="10" t="n">
        <v>128528</v>
      </c>
      <c r="E40" s="10" t="n">
        <v>155237</v>
      </c>
    </row>
    <row r="41" customFormat="false" ht="15" hidden="false" customHeight="false" outlineLevel="0" collapsed="false">
      <c r="A41" s="0" t="s">
        <v>103</v>
      </c>
      <c r="B41" s="10" t="n">
        <v>72361</v>
      </c>
      <c r="C41" s="10" t="n">
        <v>88136</v>
      </c>
      <c r="D41" s="10" t="n">
        <v>101832</v>
      </c>
      <c r="E41" s="10" t="n">
        <v>133749</v>
      </c>
    </row>
    <row r="42" customFormat="false" ht="15" hidden="false" customHeight="false" outlineLevel="0" collapsed="false">
      <c r="A42" s="0" t="s">
        <v>104</v>
      </c>
      <c r="B42" s="16" t="n">
        <v>9.68</v>
      </c>
      <c r="C42" s="16" t="n">
        <v>11.8</v>
      </c>
      <c r="D42" s="16" t="n">
        <v>13.64</v>
      </c>
      <c r="E42" s="16" t="n">
        <v>17.95</v>
      </c>
    </row>
    <row r="43" customFormat="false" ht="15" hidden="false" customHeight="false" outlineLevel="0" collapsed="false">
      <c r="A43" s="0" t="s">
        <v>105</v>
      </c>
      <c r="B43" s="14" t="n">
        <f aca="false">B14-B40</f>
        <v>0</v>
      </c>
      <c r="C43" s="14" t="n">
        <f aca="false">C14-C40</f>
        <v>0</v>
      </c>
      <c r="D43" s="14" t="n">
        <f aca="false">D14-D40</f>
        <v>0</v>
      </c>
      <c r="E43" s="14" t="n">
        <f aca="false">E14-E40</f>
        <v>0</v>
      </c>
    </row>
    <row r="44" customFormat="false" ht="15" hidden="false" customHeight="false" outlineLevel="0" collapsed="false">
      <c r="A44" s="0" t="s">
        <v>106</v>
      </c>
      <c r="B44" s="14" t="n">
        <f aca="false">B20-B41</f>
        <v>0</v>
      </c>
      <c r="C44" s="14" t="n">
        <f aca="false">C20-C41</f>
        <v>0</v>
      </c>
      <c r="D44" s="14" t="n">
        <f aca="false">D20-D41</f>
        <v>0</v>
      </c>
      <c r="E44" s="14" t="n">
        <f aca="false">E20-E41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10" min="2" style="0" width="12"/>
  </cols>
  <sheetData>
    <row r="1" customFormat="false" ht="15" hidden="false" customHeight="false" outlineLevel="0" collapsed="false">
      <c r="A1" s="1" t="s">
        <v>107</v>
      </c>
    </row>
    <row r="2" customFormat="false" ht="15" hidden="false" customHeight="false" outlineLevel="0" collapsed="false">
      <c r="A2" s="5" t="s">
        <v>73</v>
      </c>
    </row>
    <row r="4" customFormat="false" ht="15" hidden="false" customHeight="false" outlineLevel="0" collapsed="false">
      <c r="A4" s="4" t="s">
        <v>32</v>
      </c>
      <c r="B4" s="6" t="s">
        <v>33</v>
      </c>
      <c r="C4" s="6" t="s">
        <v>34</v>
      </c>
      <c r="D4" s="6" t="s">
        <v>35</v>
      </c>
      <c r="E4" s="6" t="s">
        <v>36</v>
      </c>
      <c r="F4" s="6" t="s">
        <v>37</v>
      </c>
      <c r="G4" s="6" t="s">
        <v>38</v>
      </c>
      <c r="H4" s="6" t="s">
        <v>39</v>
      </c>
      <c r="I4" s="6" t="s">
        <v>40</v>
      </c>
      <c r="J4" s="6" t="s">
        <v>41</v>
      </c>
    </row>
    <row r="6" customFormat="false" ht="15" hidden="false" customHeight="false" outlineLevel="0" collapsed="false">
      <c r="A6" s="4" t="s">
        <v>108</v>
      </c>
    </row>
    <row r="7" customFormat="false" ht="15" hidden="false" customHeight="false" outlineLevel="0" collapsed="false">
      <c r="A7" s="2" t="s">
        <v>109</v>
      </c>
      <c r="B7" s="10" t="n">
        <v>34704</v>
      </c>
      <c r="C7" s="10" t="n">
        <v>18315</v>
      </c>
      <c r="D7" s="10" t="n">
        <v>30242</v>
      </c>
      <c r="E7" s="10" t="n">
        <v>20935</v>
      </c>
      <c r="F7" s="9" t="n">
        <f aca="false">CFS!F38</f>
        <v>38872.9076758422</v>
      </c>
      <c r="G7" s="9" t="n">
        <f aca="false">CFS!G38</f>
        <v>82156.4616065573</v>
      </c>
      <c r="H7" s="9" t="n">
        <f aca="false">CFS!H38</f>
        <v>147440.072589127</v>
      </c>
      <c r="I7" s="9" t="n">
        <f aca="false">CFS!I38</f>
        <v>236390.670985146</v>
      </c>
      <c r="J7" s="9" t="n">
        <f aca="false">CFS!J38</f>
        <v>348919.726516187</v>
      </c>
    </row>
    <row r="8" customFormat="false" ht="15" hidden="false" customHeight="false" outlineLevel="0" collapsed="false">
      <c r="A8" s="2" t="s">
        <v>110</v>
      </c>
      <c r="B8" s="10" t="n">
        <v>76558</v>
      </c>
      <c r="C8" s="10" t="n">
        <v>57228</v>
      </c>
      <c r="D8" s="10" t="n">
        <v>64323</v>
      </c>
      <c r="E8" s="10" t="n">
        <v>55908</v>
      </c>
      <c r="F8" s="9" t="n">
        <f aca="false">E8-CFS!F22</f>
        <v>55908</v>
      </c>
      <c r="G8" s="9" t="n">
        <f aca="false">F8-CFS!G22</f>
        <v>55908</v>
      </c>
      <c r="H8" s="9" t="n">
        <f aca="false">G8-CFS!H22</f>
        <v>55908</v>
      </c>
      <c r="I8" s="9" t="n">
        <f aca="false">H8-CFS!I22</f>
        <v>55908</v>
      </c>
      <c r="J8" s="9" t="n">
        <f aca="false">I8-CFS!J22</f>
        <v>55908</v>
      </c>
    </row>
    <row r="9" customFormat="false" ht="15" hidden="false" customHeight="false" outlineLevel="0" collapsed="false">
      <c r="A9" s="2" t="s">
        <v>111</v>
      </c>
      <c r="B9" s="10" t="n">
        <v>48688</v>
      </c>
      <c r="C9" s="10" t="n">
        <v>56924</v>
      </c>
      <c r="D9" s="10" t="n">
        <v>69905</v>
      </c>
      <c r="E9" s="10" t="n">
        <v>80876</v>
      </c>
      <c r="F9" s="9" t="n">
        <f aca="false">Schedules!F17</f>
        <v>93860.4338630137</v>
      </c>
      <c r="G9" s="9" t="n">
        <f aca="false">Schedules!G17</f>
        <v>107000.894603836</v>
      </c>
      <c r="H9" s="9" t="n">
        <f aca="false">Schedules!H17</f>
        <v>119841.001956296</v>
      </c>
      <c r="I9" s="9" t="n">
        <f aca="false">Schedules!I17</f>
        <v>133023.512171488</v>
      </c>
      <c r="J9" s="9" t="n">
        <f aca="false">Schedules!J17</f>
        <v>146325.863388637</v>
      </c>
    </row>
    <row r="10" customFormat="false" ht="15" hidden="false" customHeight="false" outlineLevel="0" collapsed="false">
      <c r="A10" s="2" t="s">
        <v>112</v>
      </c>
      <c r="B10" s="10" t="n">
        <v>2500</v>
      </c>
      <c r="C10" s="10" t="n">
        <v>1246</v>
      </c>
      <c r="D10" s="10" t="n">
        <v>938</v>
      </c>
      <c r="E10" s="10" t="n">
        <v>1397</v>
      </c>
      <c r="F10" s="9" t="n">
        <f aca="false">Schedules!F18</f>
        <v>1621.46536027397</v>
      </c>
      <c r="G10" s="9" t="n">
        <f aca="false">Schedules!G18</f>
        <v>1848.47051071233</v>
      </c>
      <c r="H10" s="9" t="n">
        <f aca="false">Schedules!H18</f>
        <v>2070.28697199781</v>
      </c>
      <c r="I10" s="9" t="n">
        <f aca="false">Schedules!I18</f>
        <v>2298.01853891757</v>
      </c>
      <c r="J10" s="9" t="n">
        <f aca="false">Schedules!J18</f>
        <v>2527.82039280932</v>
      </c>
    </row>
    <row r="11" customFormat="false" ht="15" hidden="false" customHeight="false" outlineLevel="0" collapsed="false">
      <c r="A11" s="2" t="s">
        <v>113</v>
      </c>
      <c r="B11" s="10" t="n">
        <v>21807</v>
      </c>
      <c r="C11" s="10" t="n">
        <v>26021</v>
      </c>
      <c r="D11" s="10" t="n">
        <v>25723</v>
      </c>
      <c r="E11" s="10" t="n">
        <v>48594</v>
      </c>
      <c r="F11" s="9" t="n">
        <f aca="false">Schedules!F19</f>
        <v>56200.25304</v>
      </c>
      <c r="G11" s="9" t="n">
        <f aca="false">Schedules!G19</f>
        <v>64068.2884656</v>
      </c>
      <c r="H11" s="9" t="n">
        <f aca="false">Schedules!H19</f>
        <v>71756.483081472</v>
      </c>
      <c r="I11" s="9" t="n">
        <f aca="false">Schedules!I19</f>
        <v>79649.6962204339</v>
      </c>
      <c r="J11" s="9" t="n">
        <f aca="false">Schedules!J19</f>
        <v>87614.6658424773</v>
      </c>
    </row>
    <row r="12" customFormat="false" ht="15" hidden="false" customHeight="false" outlineLevel="0" collapsed="false">
      <c r="A12" s="4" t="s">
        <v>114</v>
      </c>
      <c r="B12" s="14" t="n">
        <f aca="false">SUM(B7:B11)</f>
        <v>184257</v>
      </c>
      <c r="C12" s="14" t="n">
        <f aca="false">SUM(C7:C11)</f>
        <v>159734</v>
      </c>
      <c r="D12" s="14" t="n">
        <f aca="false">SUM(D7:D11)</f>
        <v>191131</v>
      </c>
      <c r="E12" s="14" t="n">
        <f aca="false">SUM(E7:E11)</f>
        <v>207710</v>
      </c>
      <c r="F12" s="14" t="n">
        <f aca="false">SUM(F7:F11)</f>
        <v>246463.05993913</v>
      </c>
      <c r="G12" s="14" t="n">
        <f aca="false">SUM(G7:G11)</f>
        <v>310982.115186705</v>
      </c>
      <c r="H12" s="14" t="n">
        <f aca="false">SUM(H7:H11)</f>
        <v>397015.844598892</v>
      </c>
      <c r="I12" s="14" t="n">
        <f aca="false">SUM(I7:I11)</f>
        <v>507269.897915986</v>
      </c>
      <c r="J12" s="14" t="n">
        <f aca="false">SUM(J7:J11)</f>
        <v>641296.076140111</v>
      </c>
    </row>
    <row r="13" customFormat="false" ht="15" hidden="false" customHeight="false" outlineLevel="0" collapsed="false">
      <c r="A13" s="2" t="s">
        <v>115</v>
      </c>
      <c r="B13" s="10" t="n">
        <v>95641</v>
      </c>
      <c r="C13" s="10" t="n">
        <v>135591</v>
      </c>
      <c r="D13" s="10" t="n">
        <v>204966</v>
      </c>
      <c r="E13" s="10" t="n">
        <v>313076</v>
      </c>
      <c r="F13" s="9" t="n">
        <f aca="false">Schedules!F10</f>
        <v>394579.714</v>
      </c>
      <c r="G13" s="9" t="n">
        <f aca="false">Schedules!G10</f>
        <v>472313.047508</v>
      </c>
      <c r="H13" s="9" t="n">
        <f aca="false">Schedules!H10</f>
        <v>539464.65768124</v>
      </c>
      <c r="I13" s="9" t="n">
        <f aca="false">Schedules!I10</f>
        <v>600508.507942015</v>
      </c>
      <c r="J13" s="9" t="n">
        <f aca="false">Schedules!J10</f>
        <v>654448.178845599</v>
      </c>
    </row>
    <row r="14" customFormat="false" ht="15" hidden="false" customHeight="false" outlineLevel="0" collapsed="false">
      <c r="A14" s="2" t="s">
        <v>116</v>
      </c>
      <c r="B14" s="10" t="n">
        <v>67886</v>
      </c>
      <c r="C14" s="10" t="n">
        <v>119220</v>
      </c>
      <c r="D14" s="10" t="n">
        <v>119509</v>
      </c>
      <c r="E14" s="10" t="n">
        <v>119651</v>
      </c>
      <c r="F14" s="14" t="n">
        <f aca="false">E14</f>
        <v>119651</v>
      </c>
      <c r="G14" s="14" t="n">
        <f aca="false">F14</f>
        <v>119651</v>
      </c>
      <c r="H14" s="14" t="n">
        <f aca="false">G14</f>
        <v>119651</v>
      </c>
      <c r="I14" s="14" t="n">
        <f aca="false">H14</f>
        <v>119651</v>
      </c>
      <c r="J14" s="14" t="n">
        <f aca="false">I14</f>
        <v>119651</v>
      </c>
    </row>
    <row r="15" customFormat="false" ht="15" hidden="false" customHeight="false" outlineLevel="0" collapsed="false">
      <c r="A15" s="2" t="s">
        <v>117</v>
      </c>
      <c r="B15" s="10" t="n">
        <v>9366</v>
      </c>
      <c r="C15" s="10" t="n">
        <v>27597</v>
      </c>
      <c r="D15" s="10" t="n">
        <v>22604</v>
      </c>
      <c r="E15" s="10" t="n">
        <v>18609</v>
      </c>
      <c r="F15" s="9" t="n">
        <f aca="false">Schedules!F13</f>
        <v>15512</v>
      </c>
      <c r="G15" s="9" t="n">
        <f aca="false">Schedules!G13</f>
        <v>13371</v>
      </c>
      <c r="H15" s="9" t="n">
        <f aca="false">Schedules!H13</f>
        <v>11427</v>
      </c>
      <c r="I15" s="9" t="n">
        <f aca="false">Schedules!I13</f>
        <v>9950</v>
      </c>
      <c r="J15" s="9" t="n">
        <f aca="false">Schedules!J13</f>
        <v>8822</v>
      </c>
    </row>
    <row r="16" customFormat="false" ht="15" hidden="false" customHeight="false" outlineLevel="0" collapsed="false">
      <c r="A16" s="2" t="s">
        <v>118</v>
      </c>
      <c r="B16" s="10" t="n">
        <v>54826</v>
      </c>
      <c r="C16" s="10" t="n">
        <v>70021</v>
      </c>
      <c r="D16" s="10" t="n">
        <v>80793</v>
      </c>
      <c r="E16" s="10" t="n">
        <v>99330</v>
      </c>
      <c r="F16" s="14" t="n">
        <f aca="false">E16</f>
        <v>99330</v>
      </c>
      <c r="G16" s="14" t="n">
        <f aca="false">F16</f>
        <v>99330</v>
      </c>
      <c r="H16" s="14" t="n">
        <f aca="false">G16</f>
        <v>99330</v>
      </c>
      <c r="I16" s="14" t="n">
        <f aca="false">H16</f>
        <v>99330</v>
      </c>
      <c r="J16" s="14" t="n">
        <f aca="false">I16</f>
        <v>99330</v>
      </c>
    </row>
    <row r="17" customFormat="false" ht="15" hidden="false" customHeight="false" outlineLevel="0" collapsed="false">
      <c r="A17" s="4" t="s">
        <v>119</v>
      </c>
      <c r="B17" s="14" t="n">
        <f aca="false">B12+SUM(B13:B16)</f>
        <v>411976</v>
      </c>
      <c r="C17" s="14" t="n">
        <f aca="false">C12+SUM(C13:C16)</f>
        <v>512163</v>
      </c>
      <c r="D17" s="14" t="n">
        <f aca="false">D12+SUM(D13:D16)</f>
        <v>619003</v>
      </c>
      <c r="E17" s="14" t="n">
        <f aca="false">E12+SUM(E13:E16)</f>
        <v>758376</v>
      </c>
      <c r="F17" s="14" t="n">
        <f aca="false">F12+SUM(F13:F16)</f>
        <v>875535.77393913</v>
      </c>
      <c r="G17" s="14" t="n">
        <f aca="false">G12+SUM(G13:G16)</f>
        <v>1015647.16269471</v>
      </c>
      <c r="H17" s="14" t="n">
        <f aca="false">H12+SUM(H13:H16)</f>
        <v>1166888.50228013</v>
      </c>
      <c r="I17" s="14" t="n">
        <f aca="false">I12+SUM(I13:I16)</f>
        <v>1336709.405858</v>
      </c>
      <c r="J17" s="14" t="n">
        <f aca="false">J12+SUM(J13:J16)</f>
        <v>1523547.25498571</v>
      </c>
    </row>
    <row r="19" customFormat="false" ht="15" hidden="false" customHeight="false" outlineLevel="0" collapsed="false">
      <c r="A19" s="4" t="s">
        <v>120</v>
      </c>
    </row>
    <row r="20" customFormat="false" ht="15" hidden="false" customHeight="false" outlineLevel="0" collapsed="false">
      <c r="A20" s="2" t="s">
        <v>121</v>
      </c>
      <c r="B20" s="10" t="n">
        <v>18095</v>
      </c>
      <c r="C20" s="10" t="n">
        <v>21996</v>
      </c>
      <c r="D20" s="10" t="n">
        <v>27724</v>
      </c>
      <c r="E20" s="10" t="n">
        <v>42416</v>
      </c>
      <c r="F20" s="9" t="n">
        <f aca="false">Schedules!F20</f>
        <v>47562.9839013699</v>
      </c>
      <c r="G20" s="9" t="n">
        <f aca="false">Schedules!G20</f>
        <v>51757.1742999452</v>
      </c>
      <c r="H20" s="9" t="n">
        <f aca="false">Schedules!H20</f>
        <v>55207.6525866082</v>
      </c>
      <c r="I20" s="9" t="n">
        <f aca="false">Schedules!I20</f>
        <v>58216.4696525784</v>
      </c>
      <c r="J20" s="9" t="n">
        <f aca="false">Schedules!J20</f>
        <v>60667.6894274238</v>
      </c>
    </row>
    <row r="21" customFormat="false" ht="15" hidden="false" customHeight="false" outlineLevel="0" collapsed="false">
      <c r="A21" s="2" t="s">
        <v>122</v>
      </c>
      <c r="B21" s="10" t="n">
        <v>80807</v>
      </c>
      <c r="C21" s="10" t="n">
        <v>94348</v>
      </c>
      <c r="D21" s="10" t="n">
        <v>110495</v>
      </c>
      <c r="E21" s="10" t="n">
        <v>117182</v>
      </c>
      <c r="F21" s="9" t="n">
        <f aca="false">Schedules!F21</f>
        <v>135881.43372</v>
      </c>
      <c r="G21" s="9" t="n">
        <f aca="false">Schedules!G21</f>
        <v>154904.8344408</v>
      </c>
      <c r="H21" s="9" t="n">
        <f aca="false">Schedules!H21</f>
        <v>173493.414573696</v>
      </c>
      <c r="I21" s="9" t="n">
        <f aca="false">Schedules!I21</f>
        <v>192577.690176803</v>
      </c>
      <c r="J21" s="9" t="n">
        <f aca="false">Schedules!J21</f>
        <v>211835.459194483</v>
      </c>
    </row>
    <row r="22" customFormat="false" ht="15" hidden="false" customHeight="false" outlineLevel="0" collapsed="false">
      <c r="A22" s="2" t="s">
        <v>123</v>
      </c>
      <c r="B22" s="10" t="n">
        <v>5247</v>
      </c>
      <c r="C22" s="10" t="n">
        <v>8942</v>
      </c>
      <c r="D22" s="10" t="n">
        <v>2999</v>
      </c>
      <c r="E22" s="10" t="n">
        <v>9227</v>
      </c>
      <c r="F22" s="9" t="n">
        <f aca="false">MIN(Assumptions!F39,Schedules!F32)</f>
        <v>0</v>
      </c>
      <c r="G22" s="9" t="n">
        <f aca="false">MIN(Assumptions!G39,Schedules!G32)</f>
        <v>2001</v>
      </c>
      <c r="H22" s="9" t="n">
        <f aca="false">MIN(Assumptions!H39,Schedules!H32)</f>
        <v>0</v>
      </c>
      <c r="I22" s="9" t="n">
        <f aca="false">MIN(Assumptions!I39,Schedules!I32)</f>
        <v>500</v>
      </c>
      <c r="J22" s="9" t="n">
        <f aca="false">MIN(Assumptions!J39,Schedules!J32)</f>
        <v>0</v>
      </c>
    </row>
    <row r="23" customFormat="false" ht="15" hidden="false" customHeight="false" outlineLevel="0" collapsed="false">
      <c r="A23" s="4" t="s">
        <v>124</v>
      </c>
      <c r="B23" s="14" t="n">
        <f aca="false">SUM(B20:B22)</f>
        <v>104149</v>
      </c>
      <c r="C23" s="14" t="n">
        <f aca="false">SUM(C20:C22)</f>
        <v>125286</v>
      </c>
      <c r="D23" s="14" t="n">
        <f aca="false">SUM(D20:D22)</f>
        <v>141218</v>
      </c>
      <c r="E23" s="14" t="n">
        <f aca="false">SUM(E20:E22)</f>
        <v>168825</v>
      </c>
      <c r="F23" s="14" t="n">
        <f aca="false">SUM(F20:F22)</f>
        <v>183444.41762137</v>
      </c>
      <c r="G23" s="14" t="n">
        <f aca="false">SUM(G20:G22)</f>
        <v>208663.008740745</v>
      </c>
      <c r="H23" s="14" t="n">
        <f aca="false">SUM(H20:H22)</f>
        <v>228701.067160304</v>
      </c>
      <c r="I23" s="14" t="n">
        <f aca="false">SUM(I20:I22)</f>
        <v>251294.159829381</v>
      </c>
      <c r="J23" s="14" t="n">
        <f aca="false">SUM(J20:J22)</f>
        <v>272503.148621907</v>
      </c>
    </row>
    <row r="24" customFormat="false" ht="15" hidden="false" customHeight="false" outlineLevel="0" collapsed="false">
      <c r="A24" s="2" t="s">
        <v>125</v>
      </c>
      <c r="B24" s="10" t="n">
        <v>41990</v>
      </c>
      <c r="C24" s="10" t="n">
        <v>42688</v>
      </c>
      <c r="D24" s="10" t="n">
        <v>40152</v>
      </c>
      <c r="E24" s="10" t="n">
        <v>31067</v>
      </c>
      <c r="F24" s="9" t="n">
        <f aca="false">Schedules!F32-F22</f>
        <v>31067</v>
      </c>
      <c r="G24" s="9" t="n">
        <f aca="false">Schedules!G32-G22</f>
        <v>29066</v>
      </c>
      <c r="H24" s="9" t="n">
        <f aca="false">Schedules!H32-H22</f>
        <v>29066</v>
      </c>
      <c r="I24" s="9" t="n">
        <f aca="false">Schedules!I32-I22</f>
        <v>28566</v>
      </c>
      <c r="J24" s="9" t="n">
        <f aca="false">Schedules!J32-J22</f>
        <v>28566</v>
      </c>
    </row>
    <row r="25" customFormat="false" ht="15" hidden="false" customHeight="false" outlineLevel="0" collapsed="false">
      <c r="A25" s="2" t="s">
        <v>126</v>
      </c>
      <c r="B25" s="10" t="n">
        <v>59614</v>
      </c>
      <c r="C25" s="10" t="n">
        <v>75712</v>
      </c>
      <c r="D25" s="10" t="n">
        <v>94154</v>
      </c>
      <c r="E25" s="10" t="n">
        <v>116097</v>
      </c>
      <c r="F25" s="14" t="n">
        <f aca="false">E25</f>
        <v>116097</v>
      </c>
      <c r="G25" s="14" t="n">
        <f aca="false">F25</f>
        <v>116097</v>
      </c>
      <c r="H25" s="14" t="n">
        <f aca="false">G25</f>
        <v>116097</v>
      </c>
      <c r="I25" s="14" t="n">
        <f aca="false">H25</f>
        <v>116097</v>
      </c>
      <c r="J25" s="14" t="n">
        <f aca="false">I25</f>
        <v>116097</v>
      </c>
    </row>
    <row r="26" customFormat="false" ht="15" hidden="false" customHeight="false" outlineLevel="0" collapsed="false">
      <c r="A26" s="4" t="s">
        <v>127</v>
      </c>
      <c r="B26" s="14" t="n">
        <f aca="false">B23+B24+B25</f>
        <v>205753</v>
      </c>
      <c r="C26" s="14" t="n">
        <f aca="false">C23+C24+C25</f>
        <v>243686</v>
      </c>
      <c r="D26" s="14" t="n">
        <f aca="false">D23+D24+D25</f>
        <v>275524</v>
      </c>
      <c r="E26" s="14" t="n">
        <f aca="false">E23+E24+E25</f>
        <v>315989</v>
      </c>
      <c r="F26" s="14" t="n">
        <f aca="false">F23+F24+F25</f>
        <v>330608.41762137</v>
      </c>
      <c r="G26" s="14" t="n">
        <f aca="false">G23+G24+G25</f>
        <v>353826.008740745</v>
      </c>
      <c r="H26" s="14" t="n">
        <f aca="false">H23+H24+H25</f>
        <v>373864.067160304</v>
      </c>
      <c r="I26" s="14" t="n">
        <f aca="false">I23+I24+I25</f>
        <v>395957.159829381</v>
      </c>
      <c r="J26" s="14" t="n">
        <f aca="false">J23+J24+J25</f>
        <v>417166.148621907</v>
      </c>
    </row>
    <row r="28" customFormat="false" ht="15" hidden="false" customHeight="false" outlineLevel="0" collapsed="false">
      <c r="A28" s="4" t="s">
        <v>128</v>
      </c>
    </row>
    <row r="29" customFormat="false" ht="15" hidden="false" customHeight="false" outlineLevel="0" collapsed="false">
      <c r="A29" s="2" t="s">
        <v>129</v>
      </c>
      <c r="B29" s="10" t="n">
        <v>93718</v>
      </c>
      <c r="C29" s="10" t="n">
        <v>100923</v>
      </c>
      <c r="D29" s="10" t="n">
        <v>109095</v>
      </c>
      <c r="E29" s="10" t="n">
        <v>117406</v>
      </c>
      <c r="F29" s="9" t="n">
        <f aca="false">E29+CFS!F9+CFS!F31</f>
        <v>133648.52988</v>
      </c>
      <c r="G29" s="9" t="n">
        <f aca="false">F29+CFS!G9+CFS!G31</f>
        <v>151885.0139432</v>
      </c>
      <c r="H29" s="9" t="n">
        <f aca="false">G29+CFS!H9+CFS!H31</f>
        <v>172069.876093984</v>
      </c>
      <c r="I29" s="9" t="n">
        <f aca="false">H29+CFS!I9+CFS!I31</f>
        <v>194255.073081354</v>
      </c>
      <c r="J29" s="9" t="n">
        <f aca="false">I29+CFS!J9+CFS!J31</f>
        <v>218458.789767462</v>
      </c>
    </row>
    <row r="30" customFormat="false" ht="15" hidden="false" customHeight="false" outlineLevel="0" collapsed="false">
      <c r="A30" s="2" t="s">
        <v>130</v>
      </c>
      <c r="B30" s="10" t="n">
        <v>118848</v>
      </c>
      <c r="C30" s="10" t="n">
        <v>173144</v>
      </c>
      <c r="D30" s="10" t="n">
        <v>237731</v>
      </c>
      <c r="E30" s="10" t="n">
        <v>328265</v>
      </c>
      <c r="F30" s="9" t="n">
        <f aca="false">E30+IS!F20+CFS!F29+CFS!F30</f>
        <v>414562.82643776</v>
      </c>
      <c r="G30" s="9" t="n">
        <f aca="false">F30+IS!G20+CFS!G29+CFS!G30</f>
        <v>513220.14001076</v>
      </c>
      <c r="H30" s="9" t="n">
        <f aca="false">G30+IS!H20+CFS!H29+CFS!H30</f>
        <v>624238.559025844</v>
      </c>
      <c r="I30" s="9" t="n">
        <f aca="false">H30+IS!I20+CFS!I29+CFS!I30</f>
        <v>749781.172947266</v>
      </c>
      <c r="J30" s="9" t="n">
        <f aca="false">I30+IS!J20+CFS!J29+CFS!J30</f>
        <v>891206.316596341</v>
      </c>
    </row>
    <row r="31" customFormat="false" ht="15" hidden="false" customHeight="false" outlineLevel="0" collapsed="false">
      <c r="A31" s="2" t="s">
        <v>131</v>
      </c>
      <c r="B31" s="10" t="n">
        <v>-6343</v>
      </c>
      <c r="C31" s="10" t="n">
        <v>-5590</v>
      </c>
      <c r="D31" s="10" t="n">
        <v>-3347</v>
      </c>
      <c r="E31" s="10" t="n">
        <v>-3284</v>
      </c>
      <c r="F31" s="14" t="n">
        <f aca="false">E31</f>
        <v>-3284</v>
      </c>
      <c r="G31" s="14" t="n">
        <f aca="false">F31</f>
        <v>-3284</v>
      </c>
      <c r="H31" s="14" t="n">
        <f aca="false">G31</f>
        <v>-3284</v>
      </c>
      <c r="I31" s="14" t="n">
        <f aca="false">H31</f>
        <v>-3284</v>
      </c>
      <c r="J31" s="14" t="n">
        <f aca="false">I31</f>
        <v>-3284</v>
      </c>
    </row>
    <row r="32" customFormat="false" ht="15" hidden="false" customHeight="false" outlineLevel="0" collapsed="false">
      <c r="A32" s="2" t="s">
        <v>132</v>
      </c>
      <c r="B32" s="10" t="n">
        <v>0</v>
      </c>
      <c r="C32" s="10" t="n">
        <v>0</v>
      </c>
      <c r="D32" s="10" t="n">
        <v>0</v>
      </c>
      <c r="E32" s="10" t="n">
        <v>0</v>
      </c>
      <c r="F32" s="14" t="n">
        <f aca="false">E32</f>
        <v>0</v>
      </c>
      <c r="G32" s="14" t="n">
        <f aca="false">F32</f>
        <v>0</v>
      </c>
      <c r="H32" s="14" t="n">
        <f aca="false">G32</f>
        <v>0</v>
      </c>
      <c r="I32" s="14" t="n">
        <f aca="false">H32</f>
        <v>0</v>
      </c>
      <c r="J32" s="14" t="n">
        <f aca="false">I32</f>
        <v>0</v>
      </c>
    </row>
    <row r="33" customFormat="false" ht="15" hidden="false" customHeight="false" outlineLevel="0" collapsed="false">
      <c r="A33" s="4" t="s">
        <v>133</v>
      </c>
      <c r="B33" s="14" t="n">
        <f aca="false">SUM(B29:B32)</f>
        <v>206223</v>
      </c>
      <c r="C33" s="14" t="n">
        <f aca="false">SUM(C29:C32)</f>
        <v>268477</v>
      </c>
      <c r="D33" s="14" t="n">
        <f aca="false">SUM(D29:D32)</f>
        <v>343479</v>
      </c>
      <c r="E33" s="14" t="n">
        <f aca="false">SUM(E29:E32)</f>
        <v>442387</v>
      </c>
      <c r="F33" s="14" t="n">
        <f aca="false">SUM(F29:F32)</f>
        <v>544927.35631776</v>
      </c>
      <c r="G33" s="14" t="n">
        <f aca="false">SUM(G29:G32)</f>
        <v>661821.15395396</v>
      </c>
      <c r="H33" s="14" t="n">
        <f aca="false">SUM(H29:H32)</f>
        <v>793024.435119828</v>
      </c>
      <c r="I33" s="14" t="n">
        <f aca="false">SUM(I29:I32)</f>
        <v>940752.24602862</v>
      </c>
      <c r="J33" s="14" t="n">
        <f aca="false">SUM(J29:J32)</f>
        <v>1106381.1063638</v>
      </c>
    </row>
    <row r="34" customFormat="false" ht="15" hidden="false" customHeight="false" outlineLevel="0" collapsed="false">
      <c r="A34" s="4" t="s">
        <v>134</v>
      </c>
      <c r="B34" s="14" t="n">
        <f aca="false">B26+B33</f>
        <v>411976</v>
      </c>
      <c r="C34" s="14" t="n">
        <f aca="false">C26+C33</f>
        <v>512163</v>
      </c>
      <c r="D34" s="14" t="n">
        <f aca="false">D26+D33</f>
        <v>619003</v>
      </c>
      <c r="E34" s="14" t="n">
        <f aca="false">E26+E33</f>
        <v>758376</v>
      </c>
      <c r="F34" s="14" t="n">
        <f aca="false">F26+F33</f>
        <v>875535.77393913</v>
      </c>
      <c r="G34" s="14" t="n">
        <f aca="false">G26+G33</f>
        <v>1015647.16269471</v>
      </c>
      <c r="H34" s="14" t="n">
        <f aca="false">H26+H33</f>
        <v>1166888.50228013</v>
      </c>
      <c r="I34" s="14" t="n">
        <f aca="false">I26+I33</f>
        <v>1336709.405858</v>
      </c>
      <c r="J34" s="14" t="n">
        <f aca="false">J26+J33</f>
        <v>1523547.25498571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4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10" min="2" style="0" width="12"/>
  </cols>
  <sheetData>
    <row r="1" customFormat="false" ht="15" hidden="false" customHeight="false" outlineLevel="0" collapsed="false">
      <c r="A1" s="1" t="s">
        <v>135</v>
      </c>
    </row>
    <row r="2" customFormat="false" ht="15" hidden="false" customHeight="false" outlineLevel="0" collapsed="false">
      <c r="A2" s="5" t="s">
        <v>73</v>
      </c>
    </row>
    <row r="4" customFormat="false" ht="15" hidden="false" customHeight="false" outlineLevel="0" collapsed="false">
      <c r="A4" s="4" t="s">
        <v>32</v>
      </c>
      <c r="B4" s="6" t="s">
        <v>33</v>
      </c>
      <c r="C4" s="6" t="s">
        <v>34</v>
      </c>
      <c r="D4" s="6" t="s">
        <v>35</v>
      </c>
      <c r="E4" s="6" t="s">
        <v>36</v>
      </c>
      <c r="F4" s="6" t="s">
        <v>37</v>
      </c>
      <c r="G4" s="6" t="s">
        <v>38</v>
      </c>
      <c r="H4" s="6" t="s">
        <v>39</v>
      </c>
      <c r="I4" s="6" t="s">
        <v>40</v>
      </c>
      <c r="J4" s="6" t="s">
        <v>41</v>
      </c>
    </row>
    <row r="6" customFormat="false" ht="15" hidden="false" customHeight="false" outlineLevel="0" collapsed="false">
      <c r="A6" s="4" t="s">
        <v>136</v>
      </c>
    </row>
    <row r="7" customFormat="false" ht="15" hidden="false" customHeight="false" outlineLevel="0" collapsed="false">
      <c r="A7" s="2" t="s">
        <v>88</v>
      </c>
      <c r="B7" s="9" t="n">
        <f aca="false">IS!B20</f>
        <v>72361</v>
      </c>
      <c r="C7" s="9" t="n">
        <f aca="false">IS!C20</f>
        <v>88136</v>
      </c>
      <c r="D7" s="9" t="n">
        <f aca="false">IS!D20</f>
        <v>101832</v>
      </c>
      <c r="E7" s="9" t="n">
        <f aca="false">IS!E20</f>
        <v>133749</v>
      </c>
      <c r="F7" s="9" t="n">
        <f aca="false">IS!F20</f>
        <v>137872.2830472</v>
      </c>
      <c r="G7" s="9" t="n">
        <f aca="false">IS!G20</f>
        <v>154571.64196625</v>
      </c>
      <c r="H7" s="9" t="n">
        <f aca="false">IS!H20</f>
        <v>171273.023768855</v>
      </c>
      <c r="I7" s="9" t="n">
        <f aca="false">IS!I20</f>
        <v>190678.267401777</v>
      </c>
      <c r="J7" s="9" t="n">
        <f aca="false">IS!J20</f>
        <v>211781.429561345</v>
      </c>
    </row>
    <row r="8" customFormat="false" ht="15" hidden="false" customHeight="false" outlineLevel="0" collapsed="false">
      <c r="A8" s="2" t="s">
        <v>81</v>
      </c>
      <c r="B8" s="9" t="n">
        <f aca="false">IS!B13</f>
        <v>13500</v>
      </c>
      <c r="C8" s="9" t="n">
        <f aca="false">IS!C13</f>
        <v>20000</v>
      </c>
      <c r="D8" s="9" t="n">
        <f aca="false">IS!D13</f>
        <v>28000</v>
      </c>
      <c r="E8" s="9" t="n">
        <f aca="false">IS!E13</f>
        <v>39000</v>
      </c>
      <c r="F8" s="9" t="n">
        <f aca="false">IS!F13</f>
        <v>56319.92</v>
      </c>
      <c r="G8" s="9" t="n">
        <f aca="false">IS!G13</f>
        <v>69219.55138</v>
      </c>
      <c r="H8" s="9" t="n">
        <f aca="false">IS!H13</f>
        <v>82237.21807636</v>
      </c>
      <c r="I8" s="9" t="n">
        <f aca="false">IS!I13</f>
        <v>93185.9918058108</v>
      </c>
      <c r="J8" s="9" t="n">
        <f aca="false">IS!J13</f>
        <v>103214.446350143</v>
      </c>
    </row>
    <row r="9" customFormat="false" ht="15" hidden="false" customHeight="false" outlineLevel="0" collapsed="false">
      <c r="A9" s="2" t="s">
        <v>137</v>
      </c>
      <c r="B9" s="10" t="n">
        <v>9611</v>
      </c>
      <c r="C9" s="10" t="n">
        <v>10734</v>
      </c>
      <c r="D9" s="10" t="n">
        <v>11974</v>
      </c>
      <c r="E9" s="10" t="n">
        <v>12405</v>
      </c>
      <c r="F9" s="9" t="n">
        <f aca="false">IS!F6*Assumptions!F36</f>
        <v>14242.52988</v>
      </c>
      <c r="G9" s="9" t="n">
        <f aca="false">IS!G6*Assumptions!G36</f>
        <v>16236.4840632</v>
      </c>
      <c r="H9" s="9" t="n">
        <f aca="false">IS!H6*Assumptions!H36</f>
        <v>18184.862150784</v>
      </c>
      <c r="I9" s="9" t="n">
        <f aca="false">IS!I6*Assumptions!I36</f>
        <v>20185.1969873702</v>
      </c>
      <c r="J9" s="9" t="n">
        <f aca="false">IS!J6*Assumptions!J36</f>
        <v>22203.7166861073</v>
      </c>
    </row>
    <row r="10" customFormat="false" ht="15" hidden="false" customHeight="false" outlineLevel="0" collapsed="false">
      <c r="A10" s="2" t="s">
        <v>138</v>
      </c>
      <c r="B10" s="10" t="n">
        <v>-6059</v>
      </c>
      <c r="C10" s="10" t="n">
        <v>-4738</v>
      </c>
      <c r="D10" s="10" t="n">
        <v>-7056</v>
      </c>
      <c r="E10" s="10" t="n">
        <v>14189</v>
      </c>
      <c r="F10" s="10" t="n">
        <v>0</v>
      </c>
      <c r="G10" s="10" t="n">
        <v>0</v>
      </c>
      <c r="H10" s="10" t="n">
        <v>0</v>
      </c>
      <c r="I10" s="10" t="n">
        <v>0</v>
      </c>
      <c r="J10" s="10" t="n">
        <v>0</v>
      </c>
    </row>
    <row r="11" customFormat="false" ht="15" hidden="false" customHeight="false" outlineLevel="0" collapsed="false">
      <c r="A11" s="2" t="s">
        <v>139</v>
      </c>
      <c r="B11" s="10" t="n">
        <v>-4087</v>
      </c>
      <c r="C11" s="10" t="n">
        <v>-7191</v>
      </c>
      <c r="D11" s="10" t="n">
        <v>-10581</v>
      </c>
      <c r="E11" s="10" t="n">
        <v>-12737</v>
      </c>
      <c r="F11" s="9" t="n">
        <f aca="false">BS!E9-BS!F9</f>
        <v>-12984.4338630137</v>
      </c>
      <c r="G11" s="9" t="n">
        <f aca="false">BS!F9-BS!G9</f>
        <v>-13140.4607408219</v>
      </c>
      <c r="H11" s="9" t="n">
        <f aca="false">BS!G9-BS!H9</f>
        <v>-12840.1073524603</v>
      </c>
      <c r="I11" s="9" t="n">
        <f aca="false">BS!H9-BS!I9</f>
        <v>-13182.5102151926</v>
      </c>
      <c r="J11" s="9" t="n">
        <f aca="false">BS!I9-BS!J9</f>
        <v>-13302.3512171489</v>
      </c>
    </row>
    <row r="12" customFormat="false" ht="15" hidden="false" customHeight="false" outlineLevel="0" collapsed="false">
      <c r="A12" s="2" t="s">
        <v>140</v>
      </c>
      <c r="B12" s="10" t="n">
        <v>1242</v>
      </c>
      <c r="C12" s="10" t="n">
        <v>1284</v>
      </c>
      <c r="D12" s="10" t="n">
        <v>309</v>
      </c>
      <c r="E12" s="10" t="n">
        <v>-461</v>
      </c>
      <c r="F12" s="9" t="n">
        <f aca="false">BS!E10-BS!F10</f>
        <v>-224.465360273973</v>
      </c>
      <c r="G12" s="9" t="n">
        <f aca="false">BS!F10-BS!G10</f>
        <v>-227.005150438356</v>
      </c>
      <c r="H12" s="9" t="n">
        <f aca="false">BS!G10-BS!H10</f>
        <v>-221.81646128548</v>
      </c>
      <c r="I12" s="9" t="n">
        <f aca="false">BS!H10-BS!I10</f>
        <v>-227.731566919759</v>
      </c>
      <c r="J12" s="9" t="n">
        <f aca="false">BS!I10-BS!J10</f>
        <v>-229.801853891757</v>
      </c>
    </row>
    <row r="13" customFormat="false" ht="15" hidden="false" customHeight="false" outlineLevel="0" collapsed="false">
      <c r="A13" s="2" t="s">
        <v>141</v>
      </c>
      <c r="B13" s="10" t="n">
        <v>-1991</v>
      </c>
      <c r="C13" s="10" t="n">
        <v>-1648</v>
      </c>
      <c r="D13" s="10" t="n">
        <v>-3044</v>
      </c>
      <c r="E13" s="10" t="n">
        <v>-2627</v>
      </c>
      <c r="F13" s="9" t="n">
        <f aca="false">BS!E11-BS!F11</f>
        <v>-7606.25304</v>
      </c>
      <c r="G13" s="9" t="n">
        <f aca="false">BS!F11-BS!G11</f>
        <v>-7868.0354256</v>
      </c>
      <c r="H13" s="9" t="n">
        <f aca="false">BS!G11-BS!H11</f>
        <v>-7688.19461587201</v>
      </c>
      <c r="I13" s="9" t="n">
        <f aca="false">BS!H11-BS!I11</f>
        <v>-7893.21313896193</v>
      </c>
      <c r="J13" s="9" t="n">
        <f aca="false">BS!I11-BS!J11</f>
        <v>-7964.9696220434</v>
      </c>
    </row>
    <row r="14" customFormat="false" ht="15" hidden="false" customHeight="false" outlineLevel="0" collapsed="false">
      <c r="A14" s="2" t="s">
        <v>142</v>
      </c>
      <c r="B14" s="10" t="n">
        <v>-2721</v>
      </c>
      <c r="C14" s="10" t="n">
        <v>3545</v>
      </c>
      <c r="D14" s="10" t="n">
        <v>569</v>
      </c>
      <c r="E14" s="10" t="n">
        <v>5268</v>
      </c>
      <c r="F14" s="9" t="n">
        <f aca="false">BS!F20-BS!E20</f>
        <v>5146.98390136986</v>
      </c>
      <c r="G14" s="9" t="n">
        <f aca="false">BS!G20-BS!F20</f>
        <v>4194.19039857535</v>
      </c>
      <c r="H14" s="9" t="n">
        <f aca="false">BS!H20-BS!G20</f>
        <v>3450.47828666303</v>
      </c>
      <c r="I14" s="9" t="n">
        <f aca="false">BS!I20-BS!H20</f>
        <v>3008.81706597015</v>
      </c>
      <c r="J14" s="9" t="n">
        <f aca="false">BS!J20-BS!I20</f>
        <v>2451.21977484541</v>
      </c>
    </row>
    <row r="15" customFormat="false" ht="15" hidden="false" customHeight="false" outlineLevel="0" collapsed="false">
      <c r="A15" s="2" t="s">
        <v>143</v>
      </c>
      <c r="B15" s="10" t="n">
        <v>7449</v>
      </c>
      <c r="C15" s="10" t="n">
        <v>11902</v>
      </c>
      <c r="D15" s="10" t="n">
        <v>11322</v>
      </c>
      <c r="E15" s="10" t="n">
        <v>14333</v>
      </c>
      <c r="F15" s="9" t="n">
        <f aca="false">BS!F21-BS!E21</f>
        <v>18699.43372</v>
      </c>
      <c r="G15" s="9" t="n">
        <f aca="false">BS!G21-BS!F21</f>
        <v>19023.4007208</v>
      </c>
      <c r="H15" s="9" t="n">
        <f aca="false">BS!H21-BS!G21</f>
        <v>18588.580132896</v>
      </c>
      <c r="I15" s="9" t="n">
        <f aca="false">BS!I21-BS!H21</f>
        <v>19084.2756031066</v>
      </c>
      <c r="J15" s="9" t="n">
        <f aca="false">BS!J21-BS!I21</f>
        <v>19257.7690176803</v>
      </c>
    </row>
    <row r="16" customFormat="false" ht="15" hidden="false" customHeight="false" outlineLevel="0" collapsed="false">
      <c r="A16" s="2" t="s">
        <v>144</v>
      </c>
      <c r="B16" s="10" t="n">
        <v>-1723</v>
      </c>
      <c r="C16" s="10" t="n">
        <v>-3476</v>
      </c>
      <c r="D16" s="10" t="n">
        <v>2837</v>
      </c>
      <c r="E16" s="10" t="n">
        <v>-20184</v>
      </c>
      <c r="F16" s="10" t="n">
        <v>0</v>
      </c>
      <c r="G16" s="10" t="n">
        <v>0</v>
      </c>
      <c r="H16" s="10" t="n">
        <v>0</v>
      </c>
      <c r="I16" s="10" t="n">
        <v>0</v>
      </c>
      <c r="J16" s="10" t="n">
        <v>0</v>
      </c>
    </row>
    <row r="17" customFormat="false" ht="15" hidden="false" customHeight="false" outlineLevel="0" collapsed="false">
      <c r="A17" s="4" t="s">
        <v>145</v>
      </c>
      <c r="B17" s="14" t="n">
        <f aca="false">SUM(B7:B16)</f>
        <v>87582</v>
      </c>
      <c r="C17" s="14" t="n">
        <f aca="false">SUM(C7:C16)</f>
        <v>118548</v>
      </c>
      <c r="D17" s="14" t="n">
        <f aca="false">SUM(D7:D16)</f>
        <v>136162</v>
      </c>
      <c r="E17" s="14" t="n">
        <f aca="false">SUM(E7:E16)</f>
        <v>182935</v>
      </c>
      <c r="F17" s="14" t="n">
        <f aca="false">SUM(F7:F16)</f>
        <v>211465.998285282</v>
      </c>
      <c r="G17" s="14" t="n">
        <f aca="false">SUM(G7:G16)</f>
        <v>242009.767211965</v>
      </c>
      <c r="H17" s="14" t="n">
        <f aca="false">SUM(H7:H16)</f>
        <v>272984.04398594</v>
      </c>
      <c r="I17" s="14" t="n">
        <f aca="false">SUM(I7:I16)</f>
        <v>304839.093942961</v>
      </c>
      <c r="J17" s="14" t="n">
        <f aca="false">SUM(J7:J16)</f>
        <v>337411.458697036</v>
      </c>
    </row>
    <row r="19" customFormat="false" ht="15" hidden="false" customHeight="false" outlineLevel="0" collapsed="false">
      <c r="A19" s="4" t="s">
        <v>146</v>
      </c>
    </row>
    <row r="20" customFormat="false" ht="15" hidden="false" customHeight="false" outlineLevel="0" collapsed="false">
      <c r="A20" s="2" t="s">
        <v>147</v>
      </c>
      <c r="B20" s="10" t="n">
        <v>-28107</v>
      </c>
      <c r="C20" s="10" t="n">
        <v>-44477</v>
      </c>
      <c r="D20" s="10" t="n">
        <v>-64551</v>
      </c>
      <c r="E20" s="10" t="n">
        <v>-115948</v>
      </c>
      <c r="F20" s="9" t="n">
        <f aca="false">-Schedules!F8</f>
        <v>-134726.634</v>
      </c>
      <c r="G20" s="9" t="n">
        <f aca="false">-Schedules!G8</f>
        <v>-144811.884888</v>
      </c>
      <c r="H20" s="9" t="n">
        <f aca="false">-Schedules!H8</f>
        <v>-147444.8282496</v>
      </c>
      <c r="I20" s="9" t="n">
        <f aca="false">-Schedules!I8</f>
        <v>-152752.842066586</v>
      </c>
      <c r="J20" s="9" t="n">
        <f aca="false">-Schedules!J8</f>
        <v>-156026.117253727</v>
      </c>
    </row>
    <row r="21" customFormat="false" ht="15" hidden="false" customHeight="false" outlineLevel="0" collapsed="false">
      <c r="A21" s="2" t="s">
        <v>148</v>
      </c>
      <c r="B21" s="10" t="n">
        <v>-1670</v>
      </c>
      <c r="C21" s="10" t="n">
        <v>-69132</v>
      </c>
      <c r="D21" s="10" t="n">
        <v>-5978</v>
      </c>
      <c r="E21" s="10" t="n">
        <v>-1743</v>
      </c>
      <c r="F21" s="10" t="n">
        <v>0</v>
      </c>
      <c r="G21" s="10" t="n">
        <v>0</v>
      </c>
      <c r="H21" s="10" t="n">
        <v>0</v>
      </c>
      <c r="I21" s="10" t="n">
        <v>0</v>
      </c>
      <c r="J21" s="10" t="n">
        <v>0</v>
      </c>
    </row>
    <row r="22" customFormat="false" ht="15" hidden="false" customHeight="false" outlineLevel="0" collapsed="false">
      <c r="A22" s="2" t="s">
        <v>149</v>
      </c>
      <c r="B22" s="10" t="n">
        <v>10213</v>
      </c>
      <c r="C22" s="10" t="n">
        <v>17937</v>
      </c>
      <c r="D22" s="10" t="n">
        <v>-4387</v>
      </c>
      <c r="E22" s="10" t="n">
        <v>-1948</v>
      </c>
      <c r="F22" s="10" t="n">
        <v>0</v>
      </c>
      <c r="G22" s="10" t="n">
        <v>0</v>
      </c>
      <c r="H22" s="10" t="n">
        <v>0</v>
      </c>
      <c r="I22" s="10" t="n">
        <v>0</v>
      </c>
      <c r="J22" s="10" t="n">
        <v>0</v>
      </c>
    </row>
    <row r="23" customFormat="false" ht="15" hidden="false" customHeight="false" outlineLevel="0" collapsed="false">
      <c r="A23" s="2" t="s">
        <v>150</v>
      </c>
      <c r="B23" s="10" t="n">
        <v>-3116</v>
      </c>
      <c r="C23" s="10" t="n">
        <v>-1298</v>
      </c>
      <c r="D23" s="10" t="n">
        <v>2317</v>
      </c>
      <c r="E23" s="10" t="n">
        <v>-19861</v>
      </c>
      <c r="F23" s="10" t="n">
        <v>0</v>
      </c>
      <c r="G23" s="10" t="n">
        <v>0</v>
      </c>
      <c r="H23" s="10" t="n">
        <v>0</v>
      </c>
      <c r="I23" s="10" t="n">
        <v>0</v>
      </c>
      <c r="J23" s="10" t="n">
        <v>0</v>
      </c>
    </row>
    <row r="24" customFormat="false" ht="15" hidden="false" customHeight="false" outlineLevel="0" collapsed="false">
      <c r="A24" s="4" t="s">
        <v>151</v>
      </c>
      <c r="B24" s="14" t="n">
        <f aca="false">SUM(B20:B23)</f>
        <v>-22680</v>
      </c>
      <c r="C24" s="14" t="n">
        <f aca="false">SUM(C20:C23)</f>
        <v>-96970</v>
      </c>
      <c r="D24" s="14" t="n">
        <f aca="false">SUM(D20:D23)</f>
        <v>-72599</v>
      </c>
      <c r="E24" s="14" t="n">
        <f aca="false">SUM(E20:E23)</f>
        <v>-139500</v>
      </c>
      <c r="F24" s="14" t="n">
        <f aca="false">SUM(F20:F23)</f>
        <v>-134726.634</v>
      </c>
      <c r="G24" s="14" t="n">
        <f aca="false">SUM(G20:G23)</f>
        <v>-144811.884888</v>
      </c>
      <c r="H24" s="14" t="n">
        <f aca="false">SUM(H20:H23)</f>
        <v>-147444.8282496</v>
      </c>
      <c r="I24" s="14" t="n">
        <f aca="false">SUM(I20:I23)</f>
        <v>-152752.842066586</v>
      </c>
      <c r="J24" s="14" t="n">
        <f aca="false">SUM(J20:J23)</f>
        <v>-156026.117253727</v>
      </c>
    </row>
    <row r="26" customFormat="false" ht="15" hidden="false" customHeight="false" outlineLevel="0" collapsed="false">
      <c r="A26" s="4" t="s">
        <v>152</v>
      </c>
    </row>
    <row r="27" customFormat="false" ht="15" hidden="false" customHeight="false" outlineLevel="0" collapsed="false">
      <c r="A27" s="2" t="s">
        <v>153</v>
      </c>
      <c r="B27" s="10" t="n">
        <v>0</v>
      </c>
      <c r="C27" s="10" t="n">
        <v>29645</v>
      </c>
      <c r="D27" s="10" t="n">
        <v>0</v>
      </c>
      <c r="E27" s="10" t="n">
        <v>0</v>
      </c>
      <c r="F27" s="9" t="n">
        <f aca="false">Schedules!F30</f>
        <v>0</v>
      </c>
      <c r="G27" s="9" t="n">
        <f aca="false">Schedules!G30</f>
        <v>0</v>
      </c>
      <c r="H27" s="9" t="n">
        <f aca="false">Schedules!H30</f>
        <v>0</v>
      </c>
      <c r="I27" s="9" t="n">
        <f aca="false">Schedules!I30</f>
        <v>0</v>
      </c>
      <c r="J27" s="9" t="n">
        <f aca="false">Schedules!J30</f>
        <v>0</v>
      </c>
    </row>
    <row r="28" customFormat="false" ht="15" hidden="false" customHeight="false" outlineLevel="0" collapsed="false">
      <c r="A28" s="2" t="s">
        <v>154</v>
      </c>
      <c r="B28" s="10" t="n">
        <v>-2750</v>
      </c>
      <c r="C28" s="10" t="n">
        <v>-29070</v>
      </c>
      <c r="D28" s="10" t="n">
        <v>-8962</v>
      </c>
      <c r="E28" s="10" t="n">
        <v>-3000</v>
      </c>
      <c r="F28" s="9" t="n">
        <f aca="false">Schedules!F31</f>
        <v>-9227</v>
      </c>
      <c r="G28" s="9" t="n">
        <f aca="false">Schedules!G31</f>
        <v>0</v>
      </c>
      <c r="H28" s="9" t="n">
        <f aca="false">Schedules!H31</f>
        <v>-2001</v>
      </c>
      <c r="I28" s="9" t="n">
        <f aca="false">Schedules!I31</f>
        <v>0</v>
      </c>
      <c r="J28" s="9" t="n">
        <f aca="false">Schedules!J31</f>
        <v>-500</v>
      </c>
    </row>
    <row r="29" customFormat="false" ht="15" hidden="false" customHeight="false" outlineLevel="0" collapsed="false">
      <c r="A29" s="2" t="s">
        <v>155</v>
      </c>
      <c r="B29" s="10" t="n">
        <v>-19800</v>
      </c>
      <c r="C29" s="10" t="n">
        <v>-21771</v>
      </c>
      <c r="D29" s="10" t="n">
        <v>-24082</v>
      </c>
      <c r="E29" s="10" t="n">
        <v>-26445</v>
      </c>
      <c r="F29" s="9" t="n">
        <f aca="false">-IS!F20*Assumptions!F31</f>
        <v>-27574.45660944</v>
      </c>
      <c r="G29" s="9" t="n">
        <f aca="false">-IS!G20*Assumptions!G31</f>
        <v>-30914.32839325</v>
      </c>
      <c r="H29" s="9" t="n">
        <f aca="false">-IS!H20*Assumptions!H31</f>
        <v>-34254.604753771</v>
      </c>
      <c r="I29" s="9" t="n">
        <f aca="false">-IS!I20*Assumptions!I31</f>
        <v>-38135.6534803555</v>
      </c>
      <c r="J29" s="9" t="n">
        <f aca="false">-IS!J20*Assumptions!J31</f>
        <v>-42356.2859122689</v>
      </c>
    </row>
    <row r="30" customFormat="false" ht="15" hidden="false" customHeight="false" outlineLevel="0" collapsed="false">
      <c r="A30" s="2" t="s">
        <v>65</v>
      </c>
      <c r="B30" s="10" t="n">
        <v>-22245</v>
      </c>
      <c r="C30" s="10" t="n">
        <v>-17254</v>
      </c>
      <c r="D30" s="10" t="n">
        <v>-18420</v>
      </c>
      <c r="E30" s="10" t="n">
        <v>-22271</v>
      </c>
      <c r="F30" s="9" t="n">
        <f aca="false">-Assumptions!F32</f>
        <v>-24000</v>
      </c>
      <c r="G30" s="9" t="n">
        <f aca="false">-Assumptions!G32</f>
        <v>-25000</v>
      </c>
      <c r="H30" s="9" t="n">
        <f aca="false">-Assumptions!H32</f>
        <v>-26000</v>
      </c>
      <c r="I30" s="9" t="n">
        <f aca="false">-Assumptions!I32</f>
        <v>-27000</v>
      </c>
      <c r="J30" s="9" t="n">
        <f aca="false">-Assumptions!J32</f>
        <v>-28000</v>
      </c>
    </row>
    <row r="31" customFormat="false" ht="15" hidden="false" customHeight="false" outlineLevel="0" collapsed="false">
      <c r="A31" s="2" t="s">
        <v>69</v>
      </c>
      <c r="B31" s="10" t="n">
        <v>1866</v>
      </c>
      <c r="C31" s="10" t="n">
        <v>2002</v>
      </c>
      <c r="D31" s="10" t="n">
        <v>2056</v>
      </c>
      <c r="E31" s="10" t="n">
        <v>2009</v>
      </c>
      <c r="F31" s="9" t="n">
        <f aca="false">Assumptions!F37</f>
        <v>2000</v>
      </c>
      <c r="G31" s="9" t="n">
        <f aca="false">Assumptions!G37</f>
        <v>2000</v>
      </c>
      <c r="H31" s="9" t="n">
        <f aca="false">Assumptions!H37</f>
        <v>2000</v>
      </c>
      <c r="I31" s="9" t="n">
        <f aca="false">Assumptions!I37</f>
        <v>2000</v>
      </c>
      <c r="J31" s="9" t="n">
        <f aca="false">Assumptions!J37</f>
        <v>2000</v>
      </c>
    </row>
    <row r="32" customFormat="false" ht="15" hidden="false" customHeight="false" outlineLevel="0" collapsed="false">
      <c r="A32" s="2" t="s">
        <v>156</v>
      </c>
      <c r="B32" s="10" t="n">
        <v>-1006</v>
      </c>
      <c r="C32" s="10" t="n">
        <v>-1309</v>
      </c>
      <c r="D32" s="10" t="n">
        <v>-2291</v>
      </c>
      <c r="E32" s="10" t="n">
        <v>-2839</v>
      </c>
      <c r="F32" s="10" t="n">
        <v>0</v>
      </c>
      <c r="G32" s="10" t="n">
        <v>0</v>
      </c>
      <c r="H32" s="10" t="n">
        <v>0</v>
      </c>
      <c r="I32" s="10" t="n">
        <v>0</v>
      </c>
      <c r="J32" s="10" t="n">
        <v>0</v>
      </c>
    </row>
    <row r="33" customFormat="false" ht="15" hidden="false" customHeight="false" outlineLevel="0" collapsed="false">
      <c r="A33" s="4" t="s">
        <v>157</v>
      </c>
      <c r="B33" s="14" t="n">
        <f aca="false">SUM(B27:B32)</f>
        <v>-43935</v>
      </c>
      <c r="C33" s="14" t="n">
        <f aca="false">SUM(C27:C32)</f>
        <v>-37757</v>
      </c>
      <c r="D33" s="14" t="n">
        <f aca="false">SUM(D27:D32)</f>
        <v>-51699</v>
      </c>
      <c r="E33" s="14" t="n">
        <f aca="false">SUM(E27:E32)</f>
        <v>-52546</v>
      </c>
      <c r="F33" s="14" t="n">
        <f aca="false">SUM(F27:F32)</f>
        <v>-58801.45660944</v>
      </c>
      <c r="G33" s="14" t="n">
        <f aca="false">SUM(G27:G32)</f>
        <v>-53914.32839325</v>
      </c>
      <c r="H33" s="14" t="n">
        <f aca="false">SUM(H27:H32)</f>
        <v>-60255.604753771</v>
      </c>
      <c r="I33" s="14" t="n">
        <f aca="false">SUM(I27:I32)</f>
        <v>-63135.6534803555</v>
      </c>
      <c r="J33" s="14" t="n">
        <f aca="false">SUM(J27:J32)</f>
        <v>-68856.2859122689</v>
      </c>
    </row>
    <row r="35" customFormat="false" ht="15" hidden="false" customHeight="false" outlineLevel="0" collapsed="false">
      <c r="A35" s="2" t="s">
        <v>158</v>
      </c>
      <c r="B35" s="10" t="n">
        <v>-194</v>
      </c>
      <c r="C35" s="10" t="n">
        <v>-210</v>
      </c>
      <c r="D35" s="10" t="n">
        <v>63</v>
      </c>
      <c r="E35" s="10" t="n">
        <v>-196</v>
      </c>
      <c r="F35" s="10" t="n">
        <v>0</v>
      </c>
      <c r="G35" s="10" t="n">
        <v>0</v>
      </c>
      <c r="H35" s="10" t="n">
        <v>0</v>
      </c>
      <c r="I35" s="10" t="n">
        <v>0</v>
      </c>
      <c r="J35" s="10" t="n">
        <v>0</v>
      </c>
    </row>
    <row r="36" customFormat="false" ht="15" hidden="false" customHeight="false" outlineLevel="0" collapsed="false">
      <c r="A36" s="4" t="s">
        <v>159</v>
      </c>
      <c r="B36" s="14" t="n">
        <f aca="false">B17+B24+B33+B35</f>
        <v>20773</v>
      </c>
      <c r="C36" s="14" t="n">
        <f aca="false">C17+C24+C33+C35</f>
        <v>-16389</v>
      </c>
      <c r="D36" s="14" t="n">
        <f aca="false">D17+D24+D33+D35</f>
        <v>11927</v>
      </c>
      <c r="E36" s="14" t="n">
        <f aca="false">E17+E24+E33+E35</f>
        <v>-9307</v>
      </c>
      <c r="F36" s="14" t="n">
        <f aca="false">F17+F24+F33+F35</f>
        <v>17937.9076758422</v>
      </c>
      <c r="G36" s="14" t="n">
        <f aca="false">G17+G24+G33+G35</f>
        <v>43283.5539307151</v>
      </c>
      <c r="H36" s="14" t="n">
        <f aca="false">H17+H24+H33+H35</f>
        <v>65283.6109825693</v>
      </c>
      <c r="I36" s="14" t="n">
        <f aca="false">I17+I24+I33+I35</f>
        <v>88950.5983960198</v>
      </c>
      <c r="J36" s="14" t="n">
        <f aca="false">J17+J24+J33+J35</f>
        <v>112529.05553104</v>
      </c>
    </row>
    <row r="37" customFormat="false" ht="15" hidden="false" customHeight="false" outlineLevel="0" collapsed="false">
      <c r="A37" s="2" t="s">
        <v>160</v>
      </c>
      <c r="B37" s="10" t="n">
        <v>13931</v>
      </c>
      <c r="C37" s="14" t="n">
        <f aca="false">B38</f>
        <v>34704</v>
      </c>
      <c r="D37" s="14" t="n">
        <f aca="false">C38</f>
        <v>18315</v>
      </c>
      <c r="E37" s="14" t="n">
        <f aca="false">D38</f>
        <v>30242</v>
      </c>
      <c r="F37" s="14" t="n">
        <f aca="false">E38</f>
        <v>20935</v>
      </c>
      <c r="G37" s="14" t="n">
        <f aca="false">F38</f>
        <v>38872.9076758422</v>
      </c>
      <c r="H37" s="14" t="n">
        <f aca="false">G38</f>
        <v>82156.4616065573</v>
      </c>
      <c r="I37" s="14" t="n">
        <f aca="false">H38</f>
        <v>147440.072589127</v>
      </c>
      <c r="J37" s="14" t="n">
        <f aca="false">I38</f>
        <v>236390.670985146</v>
      </c>
    </row>
    <row r="38" customFormat="false" ht="15" hidden="false" customHeight="false" outlineLevel="0" collapsed="false">
      <c r="A38" s="4" t="s">
        <v>161</v>
      </c>
      <c r="B38" s="14" t="n">
        <f aca="false">B37+B36</f>
        <v>34704</v>
      </c>
      <c r="C38" s="14" t="n">
        <f aca="false">C37+C36</f>
        <v>18315</v>
      </c>
      <c r="D38" s="14" t="n">
        <f aca="false">D37+D36</f>
        <v>30242</v>
      </c>
      <c r="E38" s="14" t="n">
        <f aca="false">E37+E36</f>
        <v>20935</v>
      </c>
      <c r="F38" s="14" t="n">
        <f aca="false">F37+F36</f>
        <v>38872.9076758422</v>
      </c>
      <c r="G38" s="14" t="n">
        <f aca="false">G37+G36</f>
        <v>82156.4616065573</v>
      </c>
      <c r="H38" s="14" t="n">
        <f aca="false">H37+H36</f>
        <v>147440.072589127</v>
      </c>
      <c r="I38" s="14" t="n">
        <f aca="false">I37+I36</f>
        <v>236390.670985146</v>
      </c>
      <c r="J38" s="14" t="n">
        <f aca="false">J37+J36</f>
        <v>348919.726516187</v>
      </c>
    </row>
    <row r="40" customFormat="false" ht="15" hidden="false" customHeight="false" outlineLevel="0" collapsed="false">
      <c r="A40" s="13" t="s">
        <v>162</v>
      </c>
    </row>
    <row r="41" customFormat="false" ht="15" hidden="false" customHeight="false" outlineLevel="0" collapsed="false">
      <c r="A41" s="0" t="s">
        <v>163</v>
      </c>
      <c r="B41" s="10" t="n">
        <v>87582</v>
      </c>
      <c r="C41" s="10" t="n">
        <v>118548</v>
      </c>
      <c r="D41" s="10" t="n">
        <v>136162</v>
      </c>
      <c r="E41" s="10" t="n">
        <v>182935</v>
      </c>
    </row>
    <row r="42" customFormat="false" ht="15" hidden="false" customHeight="false" outlineLevel="0" collapsed="false">
      <c r="A42" s="0" t="s">
        <v>164</v>
      </c>
      <c r="B42" s="14" t="n">
        <f aca="false">B17-B41</f>
        <v>0</v>
      </c>
      <c r="C42" s="14" t="n">
        <f aca="false">C17-C41</f>
        <v>0</v>
      </c>
      <c r="D42" s="14" t="n">
        <f aca="false">D17-D41</f>
        <v>0</v>
      </c>
      <c r="E42" s="14" t="n">
        <f aca="false">E17-E41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10" min="2" style="0" width="12"/>
  </cols>
  <sheetData>
    <row r="1" customFormat="false" ht="15" hidden="false" customHeight="false" outlineLevel="0" collapsed="false">
      <c r="A1" s="1" t="s">
        <v>165</v>
      </c>
    </row>
    <row r="2" customFormat="false" ht="15" hidden="false" customHeight="false" outlineLevel="0" collapsed="false">
      <c r="A2" s="5" t="s">
        <v>73</v>
      </c>
    </row>
    <row r="4" customFormat="false" ht="15" hidden="false" customHeight="false" outlineLevel="0" collapsed="false">
      <c r="A4" s="4" t="s">
        <v>32</v>
      </c>
      <c r="B4" s="6" t="s">
        <v>33</v>
      </c>
      <c r="C4" s="6" t="s">
        <v>34</v>
      </c>
      <c r="D4" s="6" t="s">
        <v>35</v>
      </c>
      <c r="E4" s="6" t="s">
        <v>36</v>
      </c>
      <c r="F4" s="6" t="s">
        <v>37</v>
      </c>
      <c r="G4" s="6" t="s">
        <v>38</v>
      </c>
      <c r="H4" s="6" t="s">
        <v>39</v>
      </c>
      <c r="I4" s="6" t="s">
        <v>40</v>
      </c>
      <c r="J4" s="6" t="s">
        <v>41</v>
      </c>
    </row>
    <row r="6" customFormat="false" ht="15" hidden="false" customHeight="false" outlineLevel="0" collapsed="false">
      <c r="A6" s="4" t="s">
        <v>166</v>
      </c>
    </row>
    <row r="7" customFormat="false" ht="15" hidden="false" customHeight="false" outlineLevel="0" collapsed="false">
      <c r="A7" s="2" t="s">
        <v>167</v>
      </c>
      <c r="B7" s="10" t="n">
        <v>74398</v>
      </c>
      <c r="C7" s="14" t="n">
        <f aca="false">B10</f>
        <v>95641</v>
      </c>
      <c r="D7" s="14" t="n">
        <f aca="false">C10</f>
        <v>135591</v>
      </c>
      <c r="E7" s="14" t="n">
        <f aca="false">D10</f>
        <v>204966</v>
      </c>
      <c r="F7" s="14" t="n">
        <f aca="false">E10</f>
        <v>313076</v>
      </c>
      <c r="G7" s="14" t="n">
        <f aca="false">F10</f>
        <v>394579.714</v>
      </c>
      <c r="H7" s="14" t="n">
        <f aca="false">G10</f>
        <v>472313.047508</v>
      </c>
      <c r="I7" s="14" t="n">
        <f aca="false">H10</f>
        <v>539464.65768124</v>
      </c>
      <c r="J7" s="14" t="n">
        <f aca="false">I10</f>
        <v>600508.507942015</v>
      </c>
    </row>
    <row r="8" customFormat="false" ht="15" hidden="false" customHeight="false" outlineLevel="0" collapsed="false">
      <c r="A8" s="2" t="s">
        <v>147</v>
      </c>
      <c r="B8" s="9" t="n">
        <f aca="false">-CFS!B20</f>
        <v>28107</v>
      </c>
      <c r="C8" s="9" t="n">
        <f aca="false">-CFS!C20</f>
        <v>44477</v>
      </c>
      <c r="D8" s="9" t="n">
        <f aca="false">-CFS!D20</f>
        <v>64551</v>
      </c>
      <c r="E8" s="9" t="n">
        <f aca="false">-CFS!E20</f>
        <v>115948</v>
      </c>
      <c r="F8" s="9" t="n">
        <f aca="false">IS!F6*Assumptions!F25</f>
        <v>134726.634</v>
      </c>
      <c r="G8" s="9" t="n">
        <f aca="false">IS!G6*Assumptions!G25</f>
        <v>144811.884888</v>
      </c>
      <c r="H8" s="9" t="n">
        <f aca="false">IS!H6*Assumptions!H25</f>
        <v>147444.8282496</v>
      </c>
      <c r="I8" s="9" t="n">
        <f aca="false">IS!I6*Assumptions!I25</f>
        <v>152752.842066586</v>
      </c>
      <c r="J8" s="9" t="n">
        <f aca="false">IS!J6*Assumptions!J25</f>
        <v>156026.117253727</v>
      </c>
    </row>
    <row r="9" customFormat="false" ht="15" hidden="false" customHeight="false" outlineLevel="0" collapsed="false">
      <c r="A9" s="2" t="s">
        <v>168</v>
      </c>
      <c r="B9" s="10" t="n">
        <v>11000</v>
      </c>
      <c r="C9" s="10" t="n">
        <v>15200</v>
      </c>
      <c r="D9" s="10" t="n">
        <v>22000</v>
      </c>
      <c r="E9" s="10" t="n">
        <v>34300</v>
      </c>
      <c r="F9" s="9" t="n">
        <f aca="false">F7*Assumptions!F26</f>
        <v>53222.92</v>
      </c>
      <c r="G9" s="9" t="n">
        <f aca="false">G7*Assumptions!G26</f>
        <v>67078.55138</v>
      </c>
      <c r="H9" s="9" t="n">
        <f aca="false">H7*Assumptions!H26</f>
        <v>80293.21807636</v>
      </c>
      <c r="I9" s="9" t="n">
        <f aca="false">I7*Assumptions!I26</f>
        <v>91708.9918058108</v>
      </c>
      <c r="J9" s="9" t="n">
        <f aca="false">J7*Assumptions!J26</f>
        <v>102086.446350143</v>
      </c>
    </row>
    <row r="10" customFormat="false" ht="15" hidden="false" customHeight="false" outlineLevel="0" collapsed="false">
      <c r="A10" s="4" t="s">
        <v>169</v>
      </c>
      <c r="B10" s="9" t="n">
        <f aca="false">BS!B13</f>
        <v>95641</v>
      </c>
      <c r="C10" s="9" t="n">
        <f aca="false">BS!C13</f>
        <v>135591</v>
      </c>
      <c r="D10" s="9" t="n">
        <f aca="false">BS!D13</f>
        <v>204966</v>
      </c>
      <c r="E10" s="9" t="n">
        <f aca="false">BS!E13</f>
        <v>313076</v>
      </c>
      <c r="F10" s="14" t="n">
        <f aca="false">F7+F8-F9</f>
        <v>394579.714</v>
      </c>
      <c r="G10" s="14" t="n">
        <f aca="false">G7+G8-G9</f>
        <v>472313.047508</v>
      </c>
      <c r="H10" s="14" t="n">
        <f aca="false">H7+H8-H9</f>
        <v>539464.65768124</v>
      </c>
      <c r="I10" s="14" t="n">
        <f aca="false">I7+I8-I9</f>
        <v>600508.507942015</v>
      </c>
      <c r="J10" s="14" t="n">
        <f aca="false">J7+J8-J9</f>
        <v>654448.178845599</v>
      </c>
    </row>
    <row r="11" customFormat="false" ht="15" hidden="false" customHeight="false" outlineLevel="0" collapsed="false">
      <c r="A11" s="2" t="s">
        <v>170</v>
      </c>
      <c r="B11" s="10" t="n">
        <v>11298</v>
      </c>
      <c r="C11" s="14" t="n">
        <f aca="false">B13</f>
        <v>9366</v>
      </c>
      <c r="D11" s="14" t="n">
        <f aca="false">C13</f>
        <v>27597</v>
      </c>
      <c r="E11" s="14" t="n">
        <f aca="false">D13</f>
        <v>22604</v>
      </c>
      <c r="F11" s="14" t="n">
        <f aca="false">E13</f>
        <v>18609</v>
      </c>
      <c r="G11" s="14" t="n">
        <f aca="false">F13</f>
        <v>15512</v>
      </c>
      <c r="H11" s="14" t="n">
        <f aca="false">G13</f>
        <v>13371</v>
      </c>
      <c r="I11" s="14" t="n">
        <f aca="false">H13</f>
        <v>11427</v>
      </c>
      <c r="J11" s="14" t="n">
        <f aca="false">I13</f>
        <v>9950</v>
      </c>
    </row>
    <row r="12" customFormat="false" ht="15" hidden="false" customHeight="false" outlineLevel="0" collapsed="false">
      <c r="A12" s="2" t="s">
        <v>171</v>
      </c>
      <c r="B12" s="10" t="n">
        <v>2500</v>
      </c>
      <c r="C12" s="10" t="n">
        <v>4800</v>
      </c>
      <c r="D12" s="10" t="n">
        <v>6000</v>
      </c>
      <c r="E12" s="10" t="n">
        <v>4700</v>
      </c>
      <c r="F12" s="9" t="n">
        <f aca="false">MIN(F11,Assumptions!F27)</f>
        <v>3097</v>
      </c>
      <c r="G12" s="9" t="n">
        <f aca="false">MIN(G11,Assumptions!G27)</f>
        <v>2141</v>
      </c>
      <c r="H12" s="9" t="n">
        <f aca="false">MIN(H11,Assumptions!H27)</f>
        <v>1944</v>
      </c>
      <c r="I12" s="9" t="n">
        <f aca="false">MIN(I11,Assumptions!I27)</f>
        <v>1477</v>
      </c>
      <c r="J12" s="9" t="n">
        <f aca="false">MIN(J11,Assumptions!J27)</f>
        <v>1128</v>
      </c>
    </row>
    <row r="13" customFormat="false" ht="15" hidden="false" customHeight="false" outlineLevel="0" collapsed="false">
      <c r="A13" s="4" t="s">
        <v>172</v>
      </c>
      <c r="B13" s="9" t="n">
        <f aca="false">BS!B15</f>
        <v>9366</v>
      </c>
      <c r="C13" s="9" t="n">
        <f aca="false">BS!C15</f>
        <v>27597</v>
      </c>
      <c r="D13" s="9" t="n">
        <f aca="false">BS!D15</f>
        <v>22604</v>
      </c>
      <c r="E13" s="9" t="n">
        <f aca="false">BS!E15</f>
        <v>18609</v>
      </c>
      <c r="F13" s="14" t="n">
        <f aca="false">F11-F12</f>
        <v>15512</v>
      </c>
      <c r="G13" s="14" t="n">
        <f aca="false">G11-G12</f>
        <v>13371</v>
      </c>
      <c r="H13" s="14" t="n">
        <f aca="false">H11-H12</f>
        <v>11427</v>
      </c>
      <c r="I13" s="14" t="n">
        <f aca="false">I11-I12</f>
        <v>9950</v>
      </c>
      <c r="J13" s="14" t="n">
        <f aca="false">J11-J12</f>
        <v>8822</v>
      </c>
    </row>
    <row r="14" customFormat="false" ht="15" hidden="false" customHeight="false" outlineLevel="0" collapsed="false">
      <c r="A14" s="4" t="s">
        <v>173</v>
      </c>
      <c r="B14" s="14" t="n">
        <f aca="false">B9+B12</f>
        <v>13500</v>
      </c>
      <c r="C14" s="14" t="n">
        <f aca="false">C9+C12</f>
        <v>20000</v>
      </c>
      <c r="D14" s="14" t="n">
        <f aca="false">D9+D12</f>
        <v>28000</v>
      </c>
      <c r="E14" s="14" t="n">
        <f aca="false">E9+E12</f>
        <v>39000</v>
      </c>
      <c r="F14" s="14" t="n">
        <f aca="false">F9+F12</f>
        <v>56319.92</v>
      </c>
      <c r="G14" s="14" t="n">
        <f aca="false">G9+G12</f>
        <v>69219.55138</v>
      </c>
      <c r="H14" s="14" t="n">
        <f aca="false">H9+H12</f>
        <v>82237.21807636</v>
      </c>
      <c r="I14" s="14" t="n">
        <f aca="false">I9+I12</f>
        <v>93185.9918058108</v>
      </c>
      <c r="J14" s="14" t="n">
        <f aca="false">J9+J12</f>
        <v>103214.446350143</v>
      </c>
    </row>
    <row r="16" customFormat="false" ht="15" hidden="false" customHeight="false" outlineLevel="0" collapsed="false">
      <c r="A16" s="4" t="s">
        <v>174</v>
      </c>
    </row>
    <row r="17" customFormat="false" ht="15" hidden="false" customHeight="false" outlineLevel="0" collapsed="false">
      <c r="A17" s="2" t="s">
        <v>175</v>
      </c>
      <c r="B17" s="9" t="n">
        <f aca="false">BS!B9</f>
        <v>48688</v>
      </c>
      <c r="C17" s="9" t="n">
        <f aca="false">BS!C9</f>
        <v>56924</v>
      </c>
      <c r="D17" s="9" t="n">
        <f aca="false">BS!D9</f>
        <v>69905</v>
      </c>
      <c r="E17" s="9" t="n">
        <f aca="false">BS!E9</f>
        <v>80876</v>
      </c>
      <c r="F17" s="9" t="n">
        <f aca="false">IS!F6*Assumptions!F18/365</f>
        <v>93860.4338630137</v>
      </c>
      <c r="G17" s="9" t="n">
        <f aca="false">IS!G6*Assumptions!G18/365</f>
        <v>107000.894603836</v>
      </c>
      <c r="H17" s="9" t="n">
        <f aca="false">IS!H6*Assumptions!H18/365</f>
        <v>119841.001956296</v>
      </c>
      <c r="I17" s="9" t="n">
        <f aca="false">IS!I6*Assumptions!I18/365</f>
        <v>133023.512171488</v>
      </c>
      <c r="J17" s="9" t="n">
        <f aca="false">IS!J6*Assumptions!J18/365</f>
        <v>146325.863388637</v>
      </c>
    </row>
    <row r="18" customFormat="false" ht="15" hidden="false" customHeight="false" outlineLevel="0" collapsed="false">
      <c r="A18" s="2" t="s">
        <v>112</v>
      </c>
      <c r="B18" s="9" t="n">
        <f aca="false">BS!B10</f>
        <v>2500</v>
      </c>
      <c r="C18" s="9" t="n">
        <f aca="false">BS!C10</f>
        <v>1246</v>
      </c>
      <c r="D18" s="9" t="n">
        <f aca="false">BS!D10</f>
        <v>938</v>
      </c>
      <c r="E18" s="9" t="n">
        <f aca="false">BS!E10</f>
        <v>1397</v>
      </c>
      <c r="F18" s="9" t="n">
        <f aca="false">IS!F7*Assumptions!F19/365</f>
        <v>1621.46536027397</v>
      </c>
      <c r="G18" s="9" t="n">
        <f aca="false">IS!G7*Assumptions!G19/365</f>
        <v>1848.47051071233</v>
      </c>
      <c r="H18" s="9" t="n">
        <f aca="false">IS!H7*Assumptions!H19/365</f>
        <v>2070.28697199781</v>
      </c>
      <c r="I18" s="9" t="n">
        <f aca="false">IS!I7*Assumptions!I19/365</f>
        <v>2298.01853891757</v>
      </c>
      <c r="J18" s="9" t="n">
        <f aca="false">IS!J7*Assumptions!J19/365</f>
        <v>2527.82039280932</v>
      </c>
    </row>
    <row r="19" customFormat="false" ht="15" hidden="false" customHeight="false" outlineLevel="0" collapsed="false">
      <c r="A19" s="2" t="s">
        <v>176</v>
      </c>
      <c r="B19" s="9" t="n">
        <f aca="false">BS!B11</f>
        <v>21807</v>
      </c>
      <c r="C19" s="9" t="n">
        <f aca="false">BS!C11</f>
        <v>26021</v>
      </c>
      <c r="D19" s="9" t="n">
        <f aca="false">BS!D11</f>
        <v>25723</v>
      </c>
      <c r="E19" s="9" t="n">
        <f aca="false">BS!E11</f>
        <v>48594</v>
      </c>
      <c r="F19" s="9" t="n">
        <f aca="false">IS!F6*Assumptions!F21</f>
        <v>56200.25304</v>
      </c>
      <c r="G19" s="9" t="n">
        <f aca="false">IS!G6*Assumptions!G21</f>
        <v>64068.2884656</v>
      </c>
      <c r="H19" s="9" t="n">
        <f aca="false">IS!H6*Assumptions!H21</f>
        <v>71756.483081472</v>
      </c>
      <c r="I19" s="9" t="n">
        <f aca="false">IS!I6*Assumptions!I21</f>
        <v>79649.6962204339</v>
      </c>
      <c r="J19" s="9" t="n">
        <f aca="false">IS!J6*Assumptions!J21</f>
        <v>87614.6658424773</v>
      </c>
    </row>
    <row r="20" customFormat="false" ht="15" hidden="false" customHeight="false" outlineLevel="0" collapsed="false">
      <c r="A20" s="2" t="s">
        <v>121</v>
      </c>
      <c r="B20" s="9" t="n">
        <f aca="false">BS!B20</f>
        <v>18095</v>
      </c>
      <c r="C20" s="9" t="n">
        <f aca="false">BS!C20</f>
        <v>21996</v>
      </c>
      <c r="D20" s="9" t="n">
        <f aca="false">BS!D20</f>
        <v>27724</v>
      </c>
      <c r="E20" s="9" t="n">
        <f aca="false">BS!E20</f>
        <v>42416</v>
      </c>
      <c r="F20" s="9" t="n">
        <f aca="false">IS!F7*Assumptions!F20/365</f>
        <v>47562.9839013699</v>
      </c>
      <c r="G20" s="9" t="n">
        <f aca="false">IS!G7*Assumptions!G20/365</f>
        <v>51757.1742999452</v>
      </c>
      <c r="H20" s="9" t="n">
        <f aca="false">IS!H7*Assumptions!H20/365</f>
        <v>55207.6525866082</v>
      </c>
      <c r="I20" s="9" t="n">
        <f aca="false">IS!I7*Assumptions!I20/365</f>
        <v>58216.4696525784</v>
      </c>
      <c r="J20" s="9" t="n">
        <f aca="false">IS!J7*Assumptions!J20/365</f>
        <v>60667.6894274238</v>
      </c>
    </row>
    <row r="21" customFormat="false" ht="15" hidden="false" customHeight="false" outlineLevel="0" collapsed="false">
      <c r="A21" s="2" t="s">
        <v>177</v>
      </c>
      <c r="B21" s="9" t="n">
        <f aca="false">BS!B21</f>
        <v>80807</v>
      </c>
      <c r="C21" s="9" t="n">
        <f aca="false">BS!C21</f>
        <v>94348</v>
      </c>
      <c r="D21" s="9" t="n">
        <f aca="false">BS!D21</f>
        <v>110495</v>
      </c>
      <c r="E21" s="9" t="n">
        <f aca="false">BS!E21</f>
        <v>117182</v>
      </c>
      <c r="F21" s="9" t="n">
        <f aca="false">IS!F6*Assumptions!F22</f>
        <v>135881.43372</v>
      </c>
      <c r="G21" s="9" t="n">
        <f aca="false">IS!G6*Assumptions!G22</f>
        <v>154904.8344408</v>
      </c>
      <c r="H21" s="9" t="n">
        <f aca="false">IS!H6*Assumptions!H22</f>
        <v>173493.414573696</v>
      </c>
      <c r="I21" s="9" t="n">
        <f aca="false">IS!I6*Assumptions!I22</f>
        <v>192577.690176803</v>
      </c>
      <c r="J21" s="9" t="n">
        <f aca="false">IS!J6*Assumptions!J22</f>
        <v>211835.459194483</v>
      </c>
    </row>
    <row r="22" customFormat="false" ht="15" hidden="false" customHeight="false" outlineLevel="0" collapsed="false">
      <c r="A22" s="4" t="s">
        <v>178</v>
      </c>
      <c r="B22" s="14" t="n">
        <f aca="false">B17+B18+B19-B20-B21</f>
        <v>-25907</v>
      </c>
      <c r="C22" s="14" t="n">
        <f aca="false">C17+C18+C19-C20-C21</f>
        <v>-32153</v>
      </c>
      <c r="D22" s="14" t="n">
        <f aca="false">D17+D18+D19-D20-D21</f>
        <v>-41653</v>
      </c>
      <c r="E22" s="14" t="n">
        <f aca="false">E17+E18+E19-E20-E21</f>
        <v>-28731</v>
      </c>
      <c r="F22" s="14" t="n">
        <f aca="false">F17+F18+F19-F20-F21</f>
        <v>-31762.2653580822</v>
      </c>
      <c r="G22" s="14" t="n">
        <f aca="false">G17+G18+G19-G20-G21</f>
        <v>-33744.3551605972</v>
      </c>
      <c r="H22" s="14" t="n">
        <f aca="false">H17+H18+H19-H20-H21</f>
        <v>-35033.2951505385</v>
      </c>
      <c r="I22" s="14" t="n">
        <f aca="false">I17+I18+I19-I20-I21</f>
        <v>-35822.932898541</v>
      </c>
      <c r="J22" s="14" t="n">
        <f aca="false">J17+J18+J19-J20-J21</f>
        <v>-36034.7989979827</v>
      </c>
    </row>
    <row r="23" customFormat="false" ht="15" hidden="false" customHeight="false" outlineLevel="0" collapsed="false">
      <c r="A23" s="2" t="s">
        <v>179</v>
      </c>
      <c r="C23" s="14" t="n">
        <f aca="false">B22-C22</f>
        <v>6246</v>
      </c>
      <c r="D23" s="14" t="n">
        <f aca="false">C22-D22</f>
        <v>9500</v>
      </c>
      <c r="E23" s="14" t="n">
        <f aca="false">D22-E22</f>
        <v>-12922</v>
      </c>
      <c r="F23" s="14" t="n">
        <f aca="false">E22-F22</f>
        <v>3031.26535808219</v>
      </c>
      <c r="G23" s="14" t="n">
        <f aca="false">F22-G22</f>
        <v>1982.08980251505</v>
      </c>
      <c r="H23" s="14" t="n">
        <f aca="false">G22-H22</f>
        <v>1288.93998994125</v>
      </c>
      <c r="I23" s="14" t="n">
        <f aca="false">H22-I22</f>
        <v>789.63774800254</v>
      </c>
      <c r="J23" s="14" t="n">
        <f aca="false">I22-J22</f>
        <v>211.866099441628</v>
      </c>
    </row>
    <row r="24" customFormat="false" ht="15" hidden="false" customHeight="false" outlineLevel="0" collapsed="false">
      <c r="A24" s="2" t="s">
        <v>180</v>
      </c>
      <c r="B24" s="11" t="n">
        <f aca="false">B17/IS!B6*365</f>
        <v>83.8596607130217</v>
      </c>
      <c r="C24" s="11" t="n">
        <f aca="false">C17/IS!C6*365</f>
        <v>84.7629343755355</v>
      </c>
      <c r="D24" s="11" t="n">
        <f aca="false">D17/IS!D6*365</f>
        <v>90.5685174142068</v>
      </c>
      <c r="E24" s="11" t="n">
        <f aca="false">E17/IS!E6*365</f>
        <v>88.9580187982727</v>
      </c>
      <c r="F24" s="11" t="n">
        <f aca="false">F17/IS!F6*365</f>
        <v>89</v>
      </c>
      <c r="G24" s="11" t="n">
        <f aca="false">G17/IS!G6*365</f>
        <v>89</v>
      </c>
      <c r="H24" s="11" t="n">
        <f aca="false">H17/IS!H6*365</f>
        <v>89</v>
      </c>
      <c r="I24" s="11" t="n">
        <f aca="false">I17/IS!I6*365</f>
        <v>89</v>
      </c>
      <c r="J24" s="11" t="n">
        <f aca="false">J17/IS!J6*365</f>
        <v>89</v>
      </c>
    </row>
    <row r="25" customFormat="false" ht="15" hidden="false" customHeight="false" outlineLevel="0" collapsed="false">
      <c r="A25" s="2" t="s">
        <v>181</v>
      </c>
      <c r="B25" s="11" t="n">
        <f aca="false">B18/IS!B7*365</f>
        <v>17.4264270572733</v>
      </c>
      <c r="C25" s="11" t="n">
        <f aca="false">C18/IS!C7*365</f>
        <v>8.40429463724729</v>
      </c>
      <c r="D25" s="11" t="n">
        <f aca="false">D18/IS!D7*365</f>
        <v>5.72228443449048</v>
      </c>
      <c r="E25" s="11" t="n">
        <f aca="false">E18/IS!E7*365</f>
        <v>7.56827559592721</v>
      </c>
      <c r="F25" s="11" t="n">
        <f aca="false">F18/IS!F7*365</f>
        <v>7.5</v>
      </c>
      <c r="G25" s="11" t="n">
        <f aca="false">G18/IS!G7*365</f>
        <v>7.5</v>
      </c>
      <c r="H25" s="11" t="n">
        <f aca="false">H18/IS!H7*365</f>
        <v>7.5</v>
      </c>
      <c r="I25" s="11" t="n">
        <f aca="false">I18/IS!I7*365</f>
        <v>7.5</v>
      </c>
      <c r="J25" s="11" t="n">
        <f aca="false">J18/IS!J7*365</f>
        <v>7.5</v>
      </c>
    </row>
    <row r="26" customFormat="false" ht="15" hidden="false" customHeight="false" outlineLevel="0" collapsed="false">
      <c r="A26" s="2" t="s">
        <v>182</v>
      </c>
      <c r="B26" s="11" t="n">
        <f aca="false">B20/IS!B7*365</f>
        <v>126.132479040544</v>
      </c>
      <c r="C26" s="11" t="n">
        <f aca="false">C20/IS!C7*365</f>
        <v>148.363454928484</v>
      </c>
      <c r="D26" s="11" t="n">
        <f aca="false">D20/IS!D7*365</f>
        <v>169.130718189567</v>
      </c>
      <c r="E26" s="11" t="n">
        <f aca="false">E20/IS!E7*365</f>
        <v>229.789533054294</v>
      </c>
      <c r="F26" s="11" t="n">
        <f aca="false">F20/IS!F7*365</f>
        <v>220</v>
      </c>
      <c r="G26" s="11" t="n">
        <f aca="false">G20/IS!G7*365</f>
        <v>210</v>
      </c>
      <c r="H26" s="11" t="n">
        <f aca="false">H20/IS!H7*365</f>
        <v>200</v>
      </c>
      <c r="I26" s="11" t="n">
        <f aca="false">I20/IS!I7*365</f>
        <v>190</v>
      </c>
      <c r="J26" s="11" t="n">
        <f aca="false">J20/IS!J7*365</f>
        <v>180</v>
      </c>
    </row>
    <row r="28" customFormat="false" ht="15" hidden="false" customHeight="false" outlineLevel="0" collapsed="false">
      <c r="A28" s="4" t="s">
        <v>183</v>
      </c>
    </row>
    <row r="29" customFormat="false" ht="15" hidden="false" customHeight="false" outlineLevel="0" collapsed="false">
      <c r="A29" s="2" t="s">
        <v>184</v>
      </c>
      <c r="B29" s="10" t="n">
        <v>49781</v>
      </c>
      <c r="C29" s="14" t="n">
        <f aca="false">B32</f>
        <v>47237</v>
      </c>
      <c r="D29" s="14" t="n">
        <f aca="false">C32</f>
        <v>51630</v>
      </c>
      <c r="E29" s="14" t="n">
        <f aca="false">D32</f>
        <v>43151</v>
      </c>
      <c r="F29" s="14" t="n">
        <f aca="false">E32</f>
        <v>40294</v>
      </c>
      <c r="G29" s="14" t="n">
        <f aca="false">F32</f>
        <v>31067</v>
      </c>
      <c r="H29" s="14" t="n">
        <f aca="false">G32</f>
        <v>31067</v>
      </c>
      <c r="I29" s="14" t="n">
        <f aca="false">H32</f>
        <v>29066</v>
      </c>
      <c r="J29" s="14" t="n">
        <f aca="false">I32</f>
        <v>29066</v>
      </c>
    </row>
    <row r="30" customFormat="false" ht="15" hidden="false" customHeight="false" outlineLevel="0" collapsed="false">
      <c r="A30" s="2" t="s">
        <v>185</v>
      </c>
      <c r="B30" s="9" t="n">
        <f aca="false">CFS!B27</f>
        <v>0</v>
      </c>
      <c r="C30" s="9" t="n">
        <f aca="false">CFS!C27</f>
        <v>29645</v>
      </c>
      <c r="D30" s="9" t="n">
        <f aca="false">CFS!D27</f>
        <v>0</v>
      </c>
      <c r="E30" s="9" t="n">
        <f aca="false">CFS!E27</f>
        <v>0</v>
      </c>
      <c r="F30" s="9" t="n">
        <f aca="false">MAX(Assumptions!F30,0)</f>
        <v>0</v>
      </c>
      <c r="G30" s="9" t="n">
        <f aca="false">MAX(Assumptions!G30,0)</f>
        <v>0</v>
      </c>
      <c r="H30" s="9" t="n">
        <f aca="false">MAX(Assumptions!H30,0)</f>
        <v>0</v>
      </c>
      <c r="I30" s="9" t="n">
        <f aca="false">MAX(Assumptions!I30,0)</f>
        <v>0</v>
      </c>
      <c r="J30" s="9" t="n">
        <f aca="false">MAX(Assumptions!J30,0)</f>
        <v>0</v>
      </c>
    </row>
    <row r="31" customFormat="false" ht="15" hidden="false" customHeight="false" outlineLevel="0" collapsed="false">
      <c r="A31" s="2" t="s">
        <v>186</v>
      </c>
      <c r="B31" s="9" t="n">
        <f aca="false">CFS!B28</f>
        <v>-2750</v>
      </c>
      <c r="C31" s="9" t="n">
        <f aca="false">CFS!C28</f>
        <v>-29070</v>
      </c>
      <c r="D31" s="9" t="n">
        <f aca="false">CFS!D28</f>
        <v>-8962</v>
      </c>
      <c r="E31" s="9" t="n">
        <f aca="false">CFS!E28</f>
        <v>-3000</v>
      </c>
      <c r="F31" s="9" t="n">
        <f aca="false">MIN(Assumptions!F30,0)</f>
        <v>-9227</v>
      </c>
      <c r="G31" s="9" t="n">
        <f aca="false">MIN(Assumptions!G30,0)</f>
        <v>0</v>
      </c>
      <c r="H31" s="9" t="n">
        <f aca="false">MIN(Assumptions!H30,0)</f>
        <v>-2001</v>
      </c>
      <c r="I31" s="9" t="n">
        <f aca="false">MIN(Assumptions!I30,0)</f>
        <v>0</v>
      </c>
      <c r="J31" s="9" t="n">
        <f aca="false">MIN(Assumptions!J30,0)</f>
        <v>-500</v>
      </c>
    </row>
    <row r="32" customFormat="false" ht="15" hidden="false" customHeight="false" outlineLevel="0" collapsed="false">
      <c r="A32" s="4" t="s">
        <v>187</v>
      </c>
      <c r="B32" s="9" t="n">
        <f aca="false">BS!B22+BS!B24</f>
        <v>47237</v>
      </c>
      <c r="C32" s="9" t="n">
        <f aca="false">BS!C22+BS!C24</f>
        <v>51630</v>
      </c>
      <c r="D32" s="9" t="n">
        <f aca="false">BS!D22+BS!D24</f>
        <v>43151</v>
      </c>
      <c r="E32" s="9" t="n">
        <f aca="false">BS!E22+BS!E24</f>
        <v>40294</v>
      </c>
      <c r="F32" s="14" t="n">
        <f aca="false">F29+F30+F31</f>
        <v>31067</v>
      </c>
      <c r="G32" s="14" t="n">
        <f aca="false">G29+G30+G31</f>
        <v>31067</v>
      </c>
      <c r="H32" s="14" t="n">
        <f aca="false">H29+H30+H31</f>
        <v>29066</v>
      </c>
      <c r="I32" s="14" t="n">
        <f aca="false">I29+I30+I31</f>
        <v>29066</v>
      </c>
      <c r="J32" s="14" t="n">
        <f aca="false">J29+J30+J31</f>
        <v>28566</v>
      </c>
    </row>
    <row r="33" customFormat="false" ht="15" hidden="false" customHeight="false" outlineLevel="0" collapsed="false">
      <c r="A33" s="2" t="s">
        <v>188</v>
      </c>
      <c r="B33" s="14" t="n">
        <f aca="false">AVERAGE(B29,B32)</f>
        <v>48509</v>
      </c>
      <c r="C33" s="14" t="n">
        <f aca="false">AVERAGE(C29,C32)</f>
        <v>49433.5</v>
      </c>
      <c r="D33" s="14" t="n">
        <f aca="false">AVERAGE(D29,D32)</f>
        <v>47390.5</v>
      </c>
      <c r="E33" s="14" t="n">
        <f aca="false">AVERAGE(E29,E32)</f>
        <v>41722.5</v>
      </c>
      <c r="F33" s="14" t="n">
        <f aca="false">AVERAGE(F29,F32)</f>
        <v>35680.5</v>
      </c>
      <c r="G33" s="14" t="n">
        <f aca="false">AVERAGE(G29,G32)</f>
        <v>31067</v>
      </c>
      <c r="H33" s="14" t="n">
        <f aca="false">AVERAGE(H29,H32)</f>
        <v>30066.5</v>
      </c>
      <c r="I33" s="14" t="n">
        <f aca="false">AVERAGE(I29,I32)</f>
        <v>29066</v>
      </c>
      <c r="J33" s="14" t="n">
        <f aca="false">AVERAGE(J29,J32)</f>
        <v>28816</v>
      </c>
    </row>
    <row r="34" customFormat="false" ht="15" hidden="false" customHeight="false" outlineLevel="0" collapsed="false">
      <c r="A34" s="2" t="s">
        <v>189</v>
      </c>
      <c r="B34" s="18" t="n">
        <f aca="false">IFERROR(B35/B33,0)</f>
        <v>0.0405697911727721</v>
      </c>
      <c r="C34" s="18" t="n">
        <f aca="false">IFERROR(C35/C33,0)</f>
        <v>0.05937269260724</v>
      </c>
      <c r="D34" s="18" t="n">
        <f aca="false">IFERROR(D35/D33,0)</f>
        <v>0.0503265422394784</v>
      </c>
      <c r="E34" s="18" t="n">
        <f aca="false">IFERROR(E35/E33,0)</f>
        <v>0.0731260111450656</v>
      </c>
      <c r="F34" s="7" t="n">
        <f aca="false">Assumptions!F12</f>
        <v>0.07</v>
      </c>
      <c r="G34" s="7" t="n">
        <f aca="false">Assumptions!G12</f>
        <v>0.07</v>
      </c>
      <c r="H34" s="7" t="n">
        <f aca="false">Assumptions!H12</f>
        <v>0.07</v>
      </c>
      <c r="I34" s="7" t="n">
        <f aca="false">Assumptions!I12</f>
        <v>0.07</v>
      </c>
      <c r="J34" s="7" t="n">
        <f aca="false">Assumptions!J12</f>
        <v>0.07</v>
      </c>
    </row>
    <row r="35" customFormat="false" ht="15" hidden="false" customHeight="false" outlineLevel="0" collapsed="false">
      <c r="A35" s="4" t="s">
        <v>83</v>
      </c>
      <c r="B35" s="9" t="n">
        <f aca="false">IS!B15</f>
        <v>1968</v>
      </c>
      <c r="C35" s="9" t="n">
        <f aca="false">IS!C15</f>
        <v>2935</v>
      </c>
      <c r="D35" s="9" t="n">
        <f aca="false">IS!D15</f>
        <v>2385</v>
      </c>
      <c r="E35" s="9" t="n">
        <f aca="false">IS!E15</f>
        <v>3051</v>
      </c>
      <c r="F35" s="14" t="n">
        <f aca="false">F33*F34</f>
        <v>2497.635</v>
      </c>
      <c r="G35" s="14" t="n">
        <f aca="false">G33*G34</f>
        <v>2174.69</v>
      </c>
      <c r="H35" s="14" t="n">
        <f aca="false">H33*H34</f>
        <v>2104.655</v>
      </c>
      <c r="I35" s="14" t="n">
        <f aca="false">I33*I34</f>
        <v>2034.62</v>
      </c>
      <c r="J35" s="14" t="n">
        <f aca="false">J33*J34</f>
        <v>2017.12</v>
      </c>
    </row>
    <row r="36" customFormat="false" ht="15" hidden="false" customHeight="false" outlineLevel="0" collapsed="false">
      <c r="A36" s="2" t="s">
        <v>190</v>
      </c>
      <c r="B36" s="10" t="n">
        <v>104757</v>
      </c>
      <c r="C36" s="9" t="n">
        <f aca="false">BS!B7+BS!B8</f>
        <v>111262</v>
      </c>
      <c r="D36" s="9" t="n">
        <f aca="false">BS!C7+BS!C8</f>
        <v>75543</v>
      </c>
      <c r="E36" s="9" t="n">
        <f aca="false">BS!D7+BS!D8</f>
        <v>94565</v>
      </c>
      <c r="F36" s="9" t="n">
        <f aca="false">BS!E7+BS!E8</f>
        <v>76843</v>
      </c>
      <c r="G36" s="9" t="n">
        <f aca="false">BS!F7+BS!F8</f>
        <v>94780.9076758422</v>
      </c>
      <c r="H36" s="9" t="n">
        <f aca="false">BS!G7+BS!G8</f>
        <v>138064.461606557</v>
      </c>
      <c r="I36" s="9" t="n">
        <f aca="false">BS!H7+BS!H8</f>
        <v>203348.072589127</v>
      </c>
      <c r="J36" s="9" t="n">
        <f aca="false">BS!I7+BS!I8</f>
        <v>292298.670985146</v>
      </c>
    </row>
    <row r="37" customFormat="false" ht="15" hidden="false" customHeight="false" outlineLevel="0" collapsed="false">
      <c r="A37" s="2" t="s">
        <v>191</v>
      </c>
      <c r="B37" s="18" t="n">
        <f aca="false">IFERROR(B38/B36,0)</f>
        <v>0.0285804289928119</v>
      </c>
      <c r="C37" s="18" t="n">
        <f aca="false">IFERROR(C38/C36,0)</f>
        <v>0.0283744674731714</v>
      </c>
      <c r="D37" s="18" t="n">
        <f aca="false">IFERROR(D38/D36,0)</f>
        <v>0.0350396462941636</v>
      </c>
      <c r="E37" s="18" t="n">
        <f aca="false">IFERROR(E38/E36,0)</f>
        <v>0.0349072066832338</v>
      </c>
      <c r="F37" s="7" t="n">
        <f aca="false">Assumptions!F13</f>
        <v>0.035</v>
      </c>
      <c r="G37" s="7" t="n">
        <f aca="false">Assumptions!G13</f>
        <v>0.035</v>
      </c>
      <c r="H37" s="7" t="n">
        <f aca="false">Assumptions!H13</f>
        <v>0.035</v>
      </c>
      <c r="I37" s="7" t="n">
        <f aca="false">Assumptions!I13</f>
        <v>0.035</v>
      </c>
      <c r="J37" s="7" t="n">
        <f aca="false">Assumptions!J13</f>
        <v>0.035</v>
      </c>
    </row>
    <row r="38" customFormat="false" ht="15" hidden="false" customHeight="false" outlineLevel="0" collapsed="false">
      <c r="A38" s="4" t="s">
        <v>84</v>
      </c>
      <c r="B38" s="9" t="n">
        <f aca="false">IS!B16</f>
        <v>2994</v>
      </c>
      <c r="C38" s="9" t="n">
        <f aca="false">IS!C16</f>
        <v>3157</v>
      </c>
      <c r="D38" s="9" t="n">
        <f aca="false">IS!D16</f>
        <v>2647</v>
      </c>
      <c r="E38" s="9" t="n">
        <f aca="false">IS!E16</f>
        <v>3301</v>
      </c>
      <c r="F38" s="14" t="n">
        <f aca="false">F36*F37</f>
        <v>2689.505</v>
      </c>
      <c r="G38" s="14" t="n">
        <f aca="false">G36*G37</f>
        <v>3317.33176865448</v>
      </c>
      <c r="H38" s="14" t="n">
        <f aca="false">H36*H37</f>
        <v>4832.25615622951</v>
      </c>
      <c r="I38" s="14" t="n">
        <f aca="false">I36*I37</f>
        <v>7117.18254061943</v>
      </c>
      <c r="J38" s="14" t="n">
        <f aca="false">J36*J37</f>
        <v>10230.4534844801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10" min="2" style="0" width="12"/>
  </cols>
  <sheetData>
    <row r="1" customFormat="false" ht="15" hidden="false" customHeight="false" outlineLevel="0" collapsed="false">
      <c r="A1" s="1" t="s">
        <v>192</v>
      </c>
    </row>
    <row r="2" customFormat="false" ht="15" hidden="false" customHeight="false" outlineLevel="0" collapsed="false">
      <c r="A2" s="5" t="s">
        <v>73</v>
      </c>
    </row>
    <row r="4" customFormat="false" ht="15" hidden="false" customHeight="false" outlineLevel="0" collapsed="false">
      <c r="A4" s="4" t="s">
        <v>32</v>
      </c>
      <c r="B4" s="6" t="s">
        <v>33</v>
      </c>
      <c r="C4" s="6" t="s">
        <v>34</v>
      </c>
      <c r="D4" s="6" t="s">
        <v>35</v>
      </c>
      <c r="E4" s="6" t="s">
        <v>36</v>
      </c>
      <c r="F4" s="6" t="s">
        <v>37</v>
      </c>
      <c r="G4" s="6" t="s">
        <v>38</v>
      </c>
      <c r="H4" s="6" t="s">
        <v>39</v>
      </c>
      <c r="I4" s="6" t="s">
        <v>40</v>
      </c>
      <c r="J4" s="6" t="s">
        <v>41</v>
      </c>
    </row>
    <row r="6" customFormat="false" ht="15" hidden="false" customHeight="false" outlineLevel="0" collapsed="false">
      <c r="A6" s="2" t="s">
        <v>193</v>
      </c>
      <c r="B6" s="9" t="n">
        <f aca="false">ROUND(BS!B17-BS!B34,3)</f>
        <v>0</v>
      </c>
      <c r="C6" s="9" t="n">
        <f aca="false">ROUND(BS!C17-BS!C34,3)</f>
        <v>0</v>
      </c>
      <c r="D6" s="9" t="n">
        <f aca="false">ROUND(BS!D17-BS!D34,3)</f>
        <v>0</v>
      </c>
      <c r="E6" s="9" t="n">
        <f aca="false">ROUND(BS!E17-BS!E34,3)</f>
        <v>0</v>
      </c>
      <c r="F6" s="9" t="n">
        <f aca="false">ROUND(BS!F17-BS!F34,3)</f>
        <v>0</v>
      </c>
      <c r="G6" s="9" t="n">
        <f aca="false">ROUND(BS!G17-BS!G34,3)</f>
        <v>0</v>
      </c>
      <c r="H6" s="9" t="n">
        <f aca="false">ROUND(BS!H17-BS!H34,3)</f>
        <v>0</v>
      </c>
      <c r="I6" s="9" t="n">
        <f aca="false">ROUND(BS!I17-BS!I34,3)</f>
        <v>0</v>
      </c>
      <c r="J6" s="9" t="n">
        <f aca="false">ROUND(BS!J17-BS!J34,3)</f>
        <v>0</v>
      </c>
    </row>
    <row r="7" customFormat="false" ht="15" hidden="false" customHeight="false" outlineLevel="0" collapsed="false">
      <c r="A7" s="2" t="s">
        <v>194</v>
      </c>
      <c r="B7" s="9" t="n">
        <f aca="false">ROUND(CFS!B38-BS!B7,3)</f>
        <v>0</v>
      </c>
      <c r="C7" s="9" t="n">
        <f aca="false">ROUND(CFS!C38-BS!C7,3)</f>
        <v>0</v>
      </c>
      <c r="D7" s="9" t="n">
        <f aca="false">ROUND(CFS!D38-BS!D7,3)</f>
        <v>0</v>
      </c>
      <c r="E7" s="9" t="n">
        <f aca="false">ROUND(CFS!E38-BS!E7,3)</f>
        <v>0</v>
      </c>
      <c r="F7" s="9" t="n">
        <f aca="false">ROUND(CFS!F38-BS!F7,3)</f>
        <v>0</v>
      </c>
      <c r="G7" s="9" t="n">
        <f aca="false">ROUND(CFS!G38-BS!G7,3)</f>
        <v>0</v>
      </c>
      <c r="H7" s="9" t="n">
        <f aca="false">ROUND(CFS!H38-BS!H7,3)</f>
        <v>0</v>
      </c>
      <c r="I7" s="9" t="n">
        <f aca="false">ROUND(CFS!I38-BS!I7,3)</f>
        <v>0</v>
      </c>
      <c r="J7" s="9" t="n">
        <f aca="false">ROUND(CFS!J38-BS!J7,3)</f>
        <v>0</v>
      </c>
    </row>
    <row r="8" customFormat="false" ht="15" hidden="false" customHeight="false" outlineLevel="0" collapsed="false">
      <c r="A8" s="0" t="s">
        <v>195</v>
      </c>
      <c r="B8" s="19" t="n">
        <f aca="false">IF(BS!B7&gt;=IF(ISNUMBER(Assumptions!B33),Assumptions!B33,0),1,0)</f>
        <v>1</v>
      </c>
      <c r="C8" s="19" t="n">
        <f aca="false">IF(BS!C7&gt;=IF(ISNUMBER(Assumptions!C33),Assumptions!C33,0),1,0)</f>
        <v>1</v>
      </c>
      <c r="D8" s="19" t="n">
        <f aca="false">IF(BS!D7&gt;=IF(ISNUMBER(Assumptions!D33),Assumptions!D33,0),1,0)</f>
        <v>1</v>
      </c>
      <c r="E8" s="19" t="n">
        <f aca="false">IF(BS!E7&gt;=IF(ISNUMBER(Assumptions!E33),Assumptions!E33,0),1,0)</f>
        <v>1</v>
      </c>
      <c r="F8" s="19" t="n">
        <f aca="false">IF(BS!F7&gt;=IF(ISNUMBER(Assumptions!F33),Assumptions!F33,0),1,0)</f>
        <v>1</v>
      </c>
      <c r="G8" s="19" t="n">
        <f aca="false">IF(BS!G7&gt;=IF(ISNUMBER(Assumptions!G33),Assumptions!G33,0),1,0)</f>
        <v>1</v>
      </c>
      <c r="H8" s="19" t="n">
        <f aca="false">IF(BS!H7&gt;=IF(ISNUMBER(Assumptions!H33),Assumptions!H33,0),1,0)</f>
        <v>1</v>
      </c>
      <c r="I8" s="19" t="n">
        <f aca="false">IF(BS!I7&gt;=IF(ISNUMBER(Assumptions!I33),Assumptions!I33,0),1,0)</f>
        <v>1</v>
      </c>
      <c r="J8" s="19" t="n">
        <f aca="false">IF(BS!J7&gt;=IF(ISNUMBER(Assumptions!J33),Assumptions!J33,0),1,0)</f>
        <v>1</v>
      </c>
    </row>
    <row r="9" customFormat="false" ht="15" hidden="false" customHeight="false" outlineLevel="0" collapsed="false">
      <c r="A9" s="0" t="s">
        <v>196</v>
      </c>
      <c r="B9" s="9" t="n">
        <f aca="false">ROUND(IS!B20-CFS!B7,3)</f>
        <v>0</v>
      </c>
      <c r="C9" s="9" t="n">
        <f aca="false">ROUND(IS!C20-CFS!C7,3)</f>
        <v>0</v>
      </c>
      <c r="D9" s="9" t="n">
        <f aca="false">ROUND(IS!D20-CFS!D7,3)</f>
        <v>0</v>
      </c>
      <c r="E9" s="9" t="n">
        <f aca="false">ROUND(IS!E20-CFS!E7,3)</f>
        <v>0</v>
      </c>
      <c r="F9" s="9" t="n">
        <f aca="false">ROUND(IS!F20-CFS!F7,3)</f>
        <v>0</v>
      </c>
      <c r="G9" s="9" t="n">
        <f aca="false">ROUND(IS!G20-CFS!G7,3)</f>
        <v>0</v>
      </c>
      <c r="H9" s="9" t="n">
        <f aca="false">ROUND(IS!H20-CFS!H7,3)</f>
        <v>0</v>
      </c>
      <c r="I9" s="9" t="n">
        <f aca="false">ROUND(IS!I20-CFS!I7,3)</f>
        <v>0</v>
      </c>
      <c r="J9" s="9" t="n">
        <f aca="false">ROUND(IS!J20-CFS!J7,3)</f>
        <v>0</v>
      </c>
    </row>
    <row r="11" customFormat="false" ht="15" hidden="false" customHeight="false" outlineLevel="0" collapsed="false">
      <c r="A11" s="0" t="s">
        <v>197</v>
      </c>
      <c r="B11" s="20" t="n">
        <f aca="false">IF(AND(B6=0,B7=0,B8=1,B9=0),1,0)</f>
        <v>1</v>
      </c>
      <c r="C11" s="20" t="n">
        <f aca="false">IF(AND(C6=0,C7=0,C8=1,C9=0),1,0)</f>
        <v>1</v>
      </c>
      <c r="D11" s="20" t="n">
        <f aca="false">IF(AND(D6=0,D7=0,D8=1,D9=0),1,0)</f>
        <v>1</v>
      </c>
      <c r="E11" s="20" t="n">
        <f aca="false">IF(AND(E6=0,E7=0,E8=1,E9=0),1,0)</f>
        <v>1</v>
      </c>
      <c r="F11" s="20" t="n">
        <f aca="false">IF(AND(F6=0,F7=0,F8=1,F9=0),1,0)</f>
        <v>1</v>
      </c>
      <c r="G11" s="20" t="n">
        <f aca="false">IF(AND(G6=0,G7=0,G8=1,G9=0),1,0)</f>
        <v>1</v>
      </c>
      <c r="H11" s="20" t="n">
        <f aca="false">IF(AND(H6=0,H7=0,H8=1,H9=0),1,0)</f>
        <v>1</v>
      </c>
      <c r="I11" s="20" t="n">
        <f aca="false">IF(AND(I6=0,I7=0,I8=1,I9=0),1,0)</f>
        <v>1</v>
      </c>
      <c r="J11" s="20" t="n">
        <f aca="false">IF(AND(J6=0,J7=0,J8=1,J9=0),1,0)</f>
        <v>1</v>
      </c>
    </row>
    <row r="12" customFormat="false" ht="15" hidden="false" customHeight="false" outlineLevel="0" collapsed="false">
      <c r="A12" s="0" t="s">
        <v>198</v>
      </c>
      <c r="B12" s="20" t="n">
        <f aca="false">MIN(B11:J11)</f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2026-10-14T03:58:23Z</dcterms:created>
  <dc:creator>openpyxl</dc:creator>
  <dc:description/>
  <dc:language>en-US</dc:language>
  <cp:lastModifiedBy/>
  <dcterms:modified xsi:type="dcterms:W3CDTF">2026-10-15T02:03:08Z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