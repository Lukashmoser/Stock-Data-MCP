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Schedules" sheetId="4" state="visible" r:id="rId4"/>
    <sheet xmlns:r="http://schemas.openxmlformats.org/officeDocument/2006/relationships" name="CFS" sheetId="5" state="visible" r:id="rId5"/>
    <sheet xmlns:r="http://schemas.openxmlformats.org/officeDocument/2006/relationships" name="Valuatio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;\(0.0%\);\-"/>
    <numFmt numFmtId="165" formatCode="#,##0;\(#,##0\);\-"/>
    <numFmt numFmtId="166" formatCode="0.0;\(0.0\);\-"/>
    <numFmt numFmtId="167" formatCode="0.0\x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color rgb="FF595959"/>
      <sz val="8"/>
    </font>
    <font>
      <name val="Arial"/>
      <charset val="1"/>
      <family val="0"/>
      <b val="1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008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4" fontId="8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4" fontId="8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21" min="1" max="1"/>
    <col width="12" customWidth="1" style="21" min="2" max="10"/>
  </cols>
  <sheetData>
    <row r="1" ht="15" customHeight="1" s="22">
      <c r="A1" s="23" t="inlineStr">
        <is>
          <t>Microsoft Corp. (MSFT) - Projection Assumptions</t>
        </is>
      </c>
    </row>
    <row r="2" ht="15" customHeight="1" s="22">
      <c r="A2" s="24" t="inlineStr">
        <is>
          <t>USD millions unless stated; fiscal years end June 30</t>
        </is>
      </c>
    </row>
    <row r="4" ht="15" customHeight="1" s="22">
      <c r="A4" s="25" t="inlineStr">
        <is>
          <t>Fiscal year</t>
        </is>
      </c>
      <c r="B4" s="26" t="inlineStr">
        <is>
          <t>FY2023A</t>
        </is>
      </c>
      <c r="C4" s="26" t="inlineStr">
        <is>
          <t>FY2024A</t>
        </is>
      </c>
      <c r="D4" s="26" t="inlineStr">
        <is>
          <t>FY2025A</t>
        </is>
      </c>
      <c r="E4" s="26" t="inlineStr">
        <is>
          <t>FY2026A</t>
        </is>
      </c>
      <c r="F4" s="26" t="inlineStr">
        <is>
          <t>FY2027E</t>
        </is>
      </c>
      <c r="G4" s="26" t="inlineStr">
        <is>
          <t>FY2028E</t>
        </is>
      </c>
      <c r="H4" s="26" t="inlineStr">
        <is>
          <t>FY2029E</t>
        </is>
      </c>
      <c r="I4" s="26" t="inlineStr">
        <is>
          <t>FY2030E</t>
        </is>
      </c>
      <c r="J4" s="26" t="inlineStr">
        <is>
          <t>FY2031E</t>
        </is>
      </c>
    </row>
    <row r="5" ht="15" customHeight="1" s="22">
      <c r="A5" s="25" t="inlineStr">
        <is>
          <t>Operating drivers (projection years)</t>
        </is>
      </c>
    </row>
    <row r="6" ht="15" customHeight="1" s="22">
      <c r="A6" s="27" t="inlineStr">
        <is>
          <t>Revenue growth (%)</t>
        </is>
      </c>
      <c r="F6" s="28" t="n">
        <v>0.15</v>
      </c>
      <c r="G6" s="28" t="n">
        <v>0.14</v>
      </c>
      <c r="H6" s="28" t="n">
        <v>0.13</v>
      </c>
      <c r="I6" s="28" t="n">
        <v>0.12</v>
      </c>
      <c r="J6" s="28" t="n">
        <v>0.11</v>
      </c>
    </row>
    <row r="7" ht="15" customHeight="1" s="22">
      <c r="A7" s="27" t="inlineStr">
        <is>
          <t>Cost of revenue (% of revenue)</t>
        </is>
      </c>
      <c r="F7" s="28" t="n">
        <v>0.32</v>
      </c>
      <c r="G7" s="28" t="n">
        <v>0.32</v>
      </c>
      <c r="H7" s="28" t="n">
        <v>0.32</v>
      </c>
      <c r="I7" s="28" t="n">
        <v>0.32</v>
      </c>
      <c r="J7" s="28" t="n">
        <v>0.32</v>
      </c>
    </row>
    <row r="8" ht="15" customHeight="1" s="22">
      <c r="A8" s="27" t="inlineStr">
        <is>
          <t>Research &amp; development (% of revenue)</t>
        </is>
      </c>
      <c r="F8" s="28" t="n">
        <v>0.105</v>
      </c>
      <c r="G8" s="28" t="n">
        <v>0.105</v>
      </c>
      <c r="H8" s="28" t="n">
        <v>0.105</v>
      </c>
      <c r="I8" s="28" t="n">
        <v>0.105</v>
      </c>
      <c r="J8" s="28" t="n">
        <v>0.105</v>
      </c>
    </row>
    <row r="9" ht="15" customHeight="1" s="22">
      <c r="A9" s="27" t="inlineStr">
        <is>
          <t>Sales, marketing, G&amp;A (% of revenue)</t>
        </is>
      </c>
      <c r="F9" s="28" t="n">
        <v>0.1</v>
      </c>
      <c r="G9" s="28" t="n">
        <v>0.1</v>
      </c>
      <c r="H9" s="28" t="n">
        <v>0.1</v>
      </c>
      <c r="I9" s="28" t="n">
        <v>0.1</v>
      </c>
      <c r="J9" s="28" t="n">
        <v>0.1</v>
      </c>
    </row>
    <row r="10" ht="15" customHeight="1" s="22">
      <c r="A10" s="27" t="inlineStr">
        <is>
          <t>Interest rate on beginning debt (%)</t>
        </is>
      </c>
      <c r="F10" s="28" t="n">
        <v>0.05</v>
      </c>
      <c r="G10" s="28" t="n">
        <v>0.05</v>
      </c>
      <c r="H10" s="28" t="n">
        <v>0.05</v>
      </c>
      <c r="I10" s="28" t="n">
        <v>0.05</v>
      </c>
      <c r="J10" s="28" t="n">
        <v>0.05</v>
      </c>
    </row>
    <row r="11" ht="15" customHeight="1" s="22">
      <c r="A11" s="27" t="inlineStr">
        <is>
          <t>Other income, net ($mm)</t>
        </is>
      </c>
      <c r="F11" s="29" t="n">
        <v>3000</v>
      </c>
      <c r="G11" s="29" t="n">
        <v>3000</v>
      </c>
      <c r="H11" s="29" t="n">
        <v>3000</v>
      </c>
      <c r="I11" s="29" t="n">
        <v>3000</v>
      </c>
      <c r="J11" s="29" t="n">
        <v>3000</v>
      </c>
    </row>
    <row r="12" ht="15" customHeight="1" s="22">
      <c r="A12" s="27" t="inlineStr">
        <is>
          <t>Effective tax rate (%)</t>
        </is>
      </c>
      <c r="F12" s="28" t="n">
        <v>0.19</v>
      </c>
      <c r="G12" s="28" t="n">
        <v>0.19</v>
      </c>
      <c r="H12" s="28" t="n">
        <v>0.19</v>
      </c>
      <c r="I12" s="28" t="n">
        <v>0.19</v>
      </c>
      <c r="J12" s="28" t="n">
        <v>0.19</v>
      </c>
    </row>
    <row r="13" ht="15" customHeight="1" s="22">
      <c r="A13" s="27" t="inlineStr">
        <is>
          <t>Receivable days (DSO, on revenue)</t>
        </is>
      </c>
      <c r="F13" s="30" t="n">
        <v>89</v>
      </c>
      <c r="G13" s="30" t="n">
        <v>89</v>
      </c>
      <c r="H13" s="30" t="n">
        <v>89</v>
      </c>
      <c r="I13" s="30" t="n">
        <v>89</v>
      </c>
      <c r="J13" s="30" t="n">
        <v>89</v>
      </c>
    </row>
    <row r="14" ht="15" customHeight="1" s="22">
      <c r="A14" s="27" t="inlineStr">
        <is>
          <t>Inventory days (DIO, on cost of revenue)</t>
        </is>
      </c>
      <c r="F14" s="30" t="n">
        <v>5</v>
      </c>
      <c r="G14" s="30" t="n">
        <v>5</v>
      </c>
      <c r="H14" s="30" t="n">
        <v>5</v>
      </c>
      <c r="I14" s="30" t="n">
        <v>5</v>
      </c>
      <c r="J14" s="30" t="n">
        <v>5</v>
      </c>
    </row>
    <row r="15" ht="15" customHeight="1" s="22">
      <c r="A15" s="27" t="inlineStr">
        <is>
          <t>Payable days (DPO, on cost of revenue)</t>
        </is>
      </c>
      <c r="F15" s="30" t="n">
        <v>145</v>
      </c>
      <c r="G15" s="30" t="n">
        <v>145</v>
      </c>
      <c r="H15" s="30" t="n">
        <v>145</v>
      </c>
      <c r="I15" s="30" t="n">
        <v>145</v>
      </c>
      <c r="J15" s="30" t="n">
        <v>145</v>
      </c>
    </row>
    <row r="16" ht="15" customHeight="1" s="22">
      <c r="A16" s="27" t="inlineStr">
        <is>
          <t>Stock-based comp (% of revenue)</t>
        </is>
      </c>
      <c r="F16" s="28" t="n">
        <v>0.037</v>
      </c>
      <c r="G16" s="28" t="n">
        <v>0.037</v>
      </c>
      <c r="H16" s="28" t="n">
        <v>0.037</v>
      </c>
      <c r="I16" s="28" t="n">
        <v>0.037</v>
      </c>
      <c r="J16" s="28" t="n">
        <v>0.037</v>
      </c>
    </row>
    <row r="17" ht="15" customHeight="1" s="22">
      <c r="A17" s="27" t="inlineStr">
        <is>
          <t>Capital expenditures (% of revenue)</t>
        </is>
      </c>
      <c r="F17" s="28" t="n">
        <v>0.33</v>
      </c>
      <c r="G17" s="28" t="n">
        <v>0.31</v>
      </c>
      <c r="H17" s="28" t="n">
        <v>0.29</v>
      </c>
      <c r="I17" s="28" t="n">
        <v>0.27</v>
      </c>
      <c r="J17" s="28" t="n">
        <v>0.25</v>
      </c>
    </row>
    <row r="18" ht="15" customHeight="1" s="22">
      <c r="A18" s="27" t="inlineStr">
        <is>
          <t>D&amp;A (% of beginning net PP&amp;E)</t>
        </is>
      </c>
      <c r="F18" s="28" t="n">
        <v>0.15</v>
      </c>
      <c r="G18" s="28" t="n">
        <v>0.15</v>
      </c>
      <c r="H18" s="28" t="n">
        <v>0.15</v>
      </c>
      <c r="I18" s="28" t="n">
        <v>0.15</v>
      </c>
      <c r="J18" s="28" t="n">
        <v>0.15</v>
      </c>
    </row>
    <row r="19" ht="15" customHeight="1" s="22">
      <c r="A19" s="27" t="inlineStr">
        <is>
          <t>Dividend payout (% of net income)</t>
        </is>
      </c>
      <c r="F19" s="28" t="n">
        <v>0.2</v>
      </c>
      <c r="G19" s="28" t="n">
        <v>0.2</v>
      </c>
      <c r="H19" s="28" t="n">
        <v>0.2</v>
      </c>
      <c r="I19" s="28" t="n">
        <v>0.2</v>
      </c>
      <c r="J19" s="28" t="n">
        <v>0.2</v>
      </c>
    </row>
    <row r="20" ht="15" customHeight="1" s="22">
      <c r="A20" s="27" t="inlineStr">
        <is>
          <t>Share repurchases ($mm)</t>
        </is>
      </c>
      <c r="F20" s="29" t="n">
        <v>22000</v>
      </c>
      <c r="G20" s="29" t="n">
        <v>22000</v>
      </c>
      <c r="H20" s="29" t="n">
        <v>22000</v>
      </c>
      <c r="I20" s="29" t="n">
        <v>22000</v>
      </c>
      <c r="J20" s="29" t="n">
        <v>22000</v>
      </c>
    </row>
    <row r="21" ht="15" customHeight="1" s="22">
      <c r="A21" s="27" t="inlineStr">
        <is>
          <t>Net debt issuance / (repayment) ($mm)</t>
        </is>
      </c>
      <c r="F21" s="29" t="n">
        <v>-5000</v>
      </c>
      <c r="G21" s="29" t="n">
        <v>-5000</v>
      </c>
      <c r="H21" s="29" t="n">
        <v>-5000</v>
      </c>
      <c r="I21" s="29" t="n">
        <v>-5000</v>
      </c>
      <c r="J21" s="29" t="n">
        <v>-5000</v>
      </c>
    </row>
    <row r="23" ht="15" customHeight="1" s="22">
      <c r="A23" s="24" t="inlineStr">
        <is>
          <t>Blue = hard-coded input; black = formula; green = link to another sheet. Historical columns are left blank on this tab; history lives on the statements.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21" min="1" max="1"/>
    <col width="12" customWidth="1" style="21" min="2" max="10"/>
  </cols>
  <sheetData>
    <row r="1" ht="15" customHeight="1" s="22">
      <c r="A1" s="23" t="inlineStr">
        <is>
          <t>Microsoft Corp. (MSFT) - Income Statement</t>
        </is>
      </c>
    </row>
    <row r="2" ht="15" customHeight="1" s="22">
      <c r="A2" s="24" t="inlineStr">
        <is>
          <t>USD millions unless stated; fiscal years end June 30</t>
        </is>
      </c>
    </row>
    <row r="4" ht="15" customHeight="1" s="22">
      <c r="A4" s="25" t="inlineStr">
        <is>
          <t>Fiscal year</t>
        </is>
      </c>
      <c r="B4" s="26" t="inlineStr">
        <is>
          <t>FY2023A</t>
        </is>
      </c>
      <c r="C4" s="26" t="inlineStr">
        <is>
          <t>FY2024A</t>
        </is>
      </c>
      <c r="D4" s="26" t="inlineStr">
        <is>
          <t>FY2025A</t>
        </is>
      </c>
      <c r="E4" s="26" t="inlineStr">
        <is>
          <t>FY2026A</t>
        </is>
      </c>
      <c r="F4" s="26" t="inlineStr">
        <is>
          <t>FY2027E</t>
        </is>
      </c>
      <c r="G4" s="26" t="inlineStr">
        <is>
          <t>FY2028E</t>
        </is>
      </c>
      <c r="H4" s="26" t="inlineStr">
        <is>
          <t>FY2029E</t>
        </is>
      </c>
      <c r="I4" s="26" t="inlineStr">
        <is>
          <t>FY2030E</t>
        </is>
      </c>
      <c r="J4" s="26" t="inlineStr">
        <is>
          <t>FY2031E</t>
        </is>
      </c>
    </row>
    <row r="6" ht="15" customHeight="1" s="22">
      <c r="A6" s="27" t="inlineStr">
        <is>
          <t>Revenue</t>
        </is>
      </c>
      <c r="B6" s="29" t="n">
        <v>211915</v>
      </c>
      <c r="C6" s="29" t="n">
        <v>245122</v>
      </c>
      <c r="D6" s="29" t="n">
        <v>281724</v>
      </c>
      <c r="E6" s="29" t="n">
        <v>331839</v>
      </c>
      <c r="F6" s="31">
        <f>E6*(1+Assumptions!F6)</f>
        <v/>
      </c>
      <c r="G6" s="31">
        <f>F6*(1+Assumptions!G6)</f>
        <v/>
      </c>
      <c r="H6" s="31">
        <f>G6*(1+Assumptions!H6)</f>
        <v/>
      </c>
      <c r="I6" s="31">
        <f>H6*(1+Assumptions!I6)</f>
        <v/>
      </c>
      <c r="J6" s="31">
        <f>I6*(1+Assumptions!J6)</f>
        <v/>
      </c>
    </row>
    <row r="7" ht="15" customHeight="1" s="22">
      <c r="A7" s="27" t="inlineStr">
        <is>
          <t>Cost of revenue</t>
        </is>
      </c>
      <c r="B7" s="29" t="n">
        <v>65863</v>
      </c>
      <c r="C7" s="29" t="n">
        <v>74114</v>
      </c>
      <c r="D7" s="29" t="n">
        <v>87831</v>
      </c>
      <c r="E7" s="29" t="n">
        <v>106374</v>
      </c>
      <c r="F7" s="31">
        <f>F6*Assumptions!F7</f>
        <v/>
      </c>
      <c r="G7" s="31">
        <f>G6*Assumptions!G7</f>
        <v/>
      </c>
      <c r="H7" s="31">
        <f>H6*Assumptions!H7</f>
        <v/>
      </c>
      <c r="I7" s="31">
        <f>I6*Assumptions!I7</f>
        <v/>
      </c>
      <c r="J7" s="31">
        <f>J6*Assumptions!J7</f>
        <v/>
      </c>
    </row>
    <row r="8" ht="15" customHeight="1" s="22">
      <c r="A8" s="25" t="inlineStr">
        <is>
          <t>Gross profit</t>
        </is>
      </c>
      <c r="B8" s="32">
        <f>B6-B7</f>
        <v/>
      </c>
      <c r="C8" s="32">
        <f>C6-C7</f>
        <v/>
      </c>
      <c r="D8" s="32">
        <f>D6-D7</f>
        <v/>
      </c>
      <c r="E8" s="32">
        <f>E6-E7</f>
        <v/>
      </c>
      <c r="F8" s="32">
        <f>F6-F7</f>
        <v/>
      </c>
      <c r="G8" s="32">
        <f>G6-G7</f>
        <v/>
      </c>
      <c r="H8" s="32">
        <f>H6-H7</f>
        <v/>
      </c>
      <c r="I8" s="32">
        <f>I6-I7</f>
        <v/>
      </c>
      <c r="J8" s="32">
        <f>J6-J7</f>
        <v/>
      </c>
    </row>
    <row r="9" ht="15" customHeight="1" s="22">
      <c r="A9" s="27" t="inlineStr">
        <is>
          <t>Research &amp; development</t>
        </is>
      </c>
      <c r="B9" s="29" t="n">
        <v>27195</v>
      </c>
      <c r="C9" s="29" t="n">
        <v>29510</v>
      </c>
      <c r="D9" s="29" t="n">
        <v>32488</v>
      </c>
      <c r="E9" s="29" t="n">
        <v>35562</v>
      </c>
      <c r="F9" s="31">
        <f>F6*Assumptions!F8</f>
        <v/>
      </c>
      <c r="G9" s="31">
        <f>G6*Assumptions!G8</f>
        <v/>
      </c>
      <c r="H9" s="31">
        <f>H6*Assumptions!H8</f>
        <v/>
      </c>
      <c r="I9" s="31">
        <f>I6*Assumptions!I8</f>
        <v/>
      </c>
      <c r="J9" s="31">
        <f>J6*Assumptions!J8</f>
        <v/>
      </c>
    </row>
    <row r="10" ht="15" customHeight="1" s="22">
      <c r="A10" s="27" t="inlineStr">
        <is>
          <t>Sales &amp; marketing, general &amp; administrative</t>
        </is>
      </c>
      <c r="B10" s="29" t="n">
        <v>30334</v>
      </c>
      <c r="C10" s="29" t="n">
        <v>32065</v>
      </c>
      <c r="D10" s="29" t="n">
        <v>32877</v>
      </c>
      <c r="E10" s="29" t="n">
        <v>34666</v>
      </c>
      <c r="F10" s="31">
        <f>F6*Assumptions!F9</f>
        <v/>
      </c>
      <c r="G10" s="31">
        <f>G6*Assumptions!G9</f>
        <v/>
      </c>
      <c r="H10" s="31">
        <f>H6*Assumptions!H9</f>
        <v/>
      </c>
      <c r="I10" s="31">
        <f>I6*Assumptions!I9</f>
        <v/>
      </c>
      <c r="J10" s="31">
        <f>J6*Assumptions!J9</f>
        <v/>
      </c>
    </row>
    <row r="11" ht="15" customHeight="1" s="22">
      <c r="A11" s="25" t="inlineStr">
        <is>
          <t>Operating income</t>
        </is>
      </c>
      <c r="B11" s="32">
        <f>B8-B9-B10</f>
        <v/>
      </c>
      <c r="C11" s="32">
        <f>C8-C9-C10</f>
        <v/>
      </c>
      <c r="D11" s="32">
        <f>D8-D9-D10</f>
        <v/>
      </c>
      <c r="E11" s="32">
        <f>E8-E9-E10</f>
        <v/>
      </c>
      <c r="F11" s="32">
        <f>F8-F9-F10</f>
        <v/>
      </c>
      <c r="G11" s="32">
        <f>G8-G9-G10</f>
        <v/>
      </c>
      <c r="H11" s="32">
        <f>H8-H9-H10</f>
        <v/>
      </c>
      <c r="I11" s="32">
        <f>I8-I9-I10</f>
        <v/>
      </c>
      <c r="J11" s="32">
        <f>J8-J9-J10</f>
        <v/>
      </c>
    </row>
    <row r="12" ht="15" customHeight="1" s="22">
      <c r="A12" s="27" t="inlineStr">
        <is>
          <t>Interest expense</t>
        </is>
      </c>
      <c r="B12" s="29" t="n">
        <v>1968</v>
      </c>
      <c r="C12" s="29" t="n">
        <v>2935</v>
      </c>
      <c r="D12" s="29" t="n">
        <v>2385</v>
      </c>
      <c r="E12" s="29" t="n">
        <v>3051</v>
      </c>
      <c r="F12" s="31">
        <f>(BS!E21+BS!E24)*Assumptions!F10</f>
        <v/>
      </c>
      <c r="G12" s="31">
        <f>(BS!F21+BS!F24)*Assumptions!G10</f>
        <v/>
      </c>
      <c r="H12" s="31">
        <f>(BS!G21+BS!G24)*Assumptions!H10</f>
        <v/>
      </c>
      <c r="I12" s="31">
        <f>(BS!H21+BS!H24)*Assumptions!I10</f>
        <v/>
      </c>
      <c r="J12" s="31">
        <f>(BS!I21+BS!I24)*Assumptions!J10</f>
        <v/>
      </c>
    </row>
    <row r="13" ht="15" customHeight="1" s="22">
      <c r="A13" s="27" t="inlineStr">
        <is>
          <t>Other income (expense), net</t>
        </is>
      </c>
      <c r="B13" s="29" t="n">
        <v>2756</v>
      </c>
      <c r="C13" s="29" t="n">
        <v>1289</v>
      </c>
      <c r="D13" s="29" t="n">
        <v>-2516</v>
      </c>
      <c r="E13" s="29" t="n">
        <v>13748</v>
      </c>
      <c r="F13" s="33">
        <f>Assumptions!F11</f>
        <v/>
      </c>
      <c r="G13" s="33">
        <f>Assumptions!G11</f>
        <v/>
      </c>
      <c r="H13" s="33">
        <f>Assumptions!H11</f>
        <v/>
      </c>
      <c r="I13" s="33">
        <f>Assumptions!I11</f>
        <v/>
      </c>
      <c r="J13" s="33">
        <f>Assumptions!J11</f>
        <v/>
      </c>
    </row>
    <row r="14" ht="15" customHeight="1" s="22">
      <c r="A14" s="25" t="inlineStr">
        <is>
          <t>Income before income taxes</t>
        </is>
      </c>
      <c r="B14" s="32">
        <f>B11-B12+B13</f>
        <v/>
      </c>
      <c r="C14" s="32">
        <f>C11-C12+C13</f>
        <v/>
      </c>
      <c r="D14" s="32">
        <f>D11-D12+D13</f>
        <v/>
      </c>
      <c r="E14" s="32">
        <f>E11-E12+E13</f>
        <v/>
      </c>
      <c r="F14" s="32">
        <f>F11-F12+F13</f>
        <v/>
      </c>
      <c r="G14" s="32">
        <f>G11-G12+G13</f>
        <v/>
      </c>
      <c r="H14" s="32">
        <f>H11-H12+H13</f>
        <v/>
      </c>
      <c r="I14" s="32">
        <f>I11-I12+I13</f>
        <v/>
      </c>
      <c r="J14" s="32">
        <f>J11-J12+J13</f>
        <v/>
      </c>
    </row>
    <row r="15" ht="15" customHeight="1" s="22">
      <c r="A15" s="27" t="inlineStr">
        <is>
          <t>Provision for income taxes</t>
        </is>
      </c>
      <c r="B15" s="29" t="n">
        <v>16950</v>
      </c>
      <c r="C15" s="29" t="n">
        <v>19651</v>
      </c>
      <c r="D15" s="29" t="n">
        <v>21795</v>
      </c>
      <c r="E15" s="29" t="n">
        <v>32185</v>
      </c>
      <c r="F15" s="31">
        <f>F14*Assumptions!F12</f>
        <v/>
      </c>
      <c r="G15" s="31">
        <f>G14*Assumptions!G12</f>
        <v/>
      </c>
      <c r="H15" s="31">
        <f>H14*Assumptions!H12</f>
        <v/>
      </c>
      <c r="I15" s="31">
        <f>I14*Assumptions!I12</f>
        <v/>
      </c>
      <c r="J15" s="31">
        <f>J14*Assumptions!J12</f>
        <v/>
      </c>
    </row>
    <row r="16" ht="15" customHeight="1" s="22">
      <c r="A16" s="25" t="inlineStr">
        <is>
          <t>Net income</t>
        </is>
      </c>
      <c r="B16" s="32">
        <f>B14-B15</f>
        <v/>
      </c>
      <c r="C16" s="32">
        <f>C14-C15</f>
        <v/>
      </c>
      <c r="D16" s="32">
        <f>D14-D15</f>
        <v/>
      </c>
      <c r="E16" s="32">
        <f>E14-E15</f>
        <v/>
      </c>
      <c r="F16" s="32">
        <f>F14-F15</f>
        <v/>
      </c>
      <c r="G16" s="32">
        <f>G14-G15</f>
        <v/>
      </c>
      <c r="H16" s="32">
        <f>H14-H15</f>
        <v/>
      </c>
      <c r="I16" s="32">
        <f>I14-I15</f>
        <v/>
      </c>
      <c r="J16" s="32">
        <f>J14-J15</f>
        <v/>
      </c>
    </row>
    <row r="17" ht="15" customHeight="1" s="22">
      <c r="A17" s="27" t="inlineStr">
        <is>
          <t>Memo:</t>
        </is>
      </c>
    </row>
    <row r="18" ht="15" customHeight="1" s="22">
      <c r="A18" s="27" t="inlineStr">
        <is>
          <t>Gross margin (%)</t>
        </is>
      </c>
      <c r="B18" s="34">
        <f>IF(B6=0,0,B8/B6)</f>
        <v/>
      </c>
      <c r="C18" s="34">
        <f>IF(C6=0,0,C8/C6)</f>
        <v/>
      </c>
      <c r="D18" s="34">
        <f>IF(D6=0,0,D8/D6)</f>
        <v/>
      </c>
      <c r="E18" s="34">
        <f>IF(E6=0,0,E8/E6)</f>
        <v/>
      </c>
      <c r="F18" s="34">
        <f>IF(F6=0,0,F8/F6)</f>
        <v/>
      </c>
      <c r="G18" s="34">
        <f>IF(G6=0,0,G8/G6)</f>
        <v/>
      </c>
      <c r="H18" s="34">
        <f>IF(H6=0,0,H8/H6)</f>
        <v/>
      </c>
      <c r="I18" s="34">
        <f>IF(I6=0,0,I8/I6)</f>
        <v/>
      </c>
      <c r="J18" s="34">
        <f>IF(J6=0,0,J8/J6)</f>
        <v/>
      </c>
    </row>
    <row r="19" ht="15" customHeight="1" s="22">
      <c r="A19" s="27" t="inlineStr">
        <is>
          <t>Operating margin (%)</t>
        </is>
      </c>
      <c r="B19" s="34">
        <f>IF(B6=0,0,B11/B6)</f>
        <v/>
      </c>
      <c r="C19" s="34">
        <f>IF(C6=0,0,C11/C6)</f>
        <v/>
      </c>
      <c r="D19" s="34">
        <f>IF(D6=0,0,D11/D6)</f>
        <v/>
      </c>
      <c r="E19" s="34">
        <f>IF(E6=0,0,E11/E6)</f>
        <v/>
      </c>
      <c r="F19" s="34">
        <f>IF(F6=0,0,F11/F6)</f>
        <v/>
      </c>
      <c r="G19" s="34">
        <f>IF(G6=0,0,G11/G6)</f>
        <v/>
      </c>
      <c r="H19" s="34">
        <f>IF(H6=0,0,H11/H6)</f>
        <v/>
      </c>
      <c r="I19" s="34">
        <f>IF(I6=0,0,I11/I6)</f>
        <v/>
      </c>
      <c r="J19" s="34">
        <f>IF(J6=0,0,J11/J6)</f>
        <v/>
      </c>
    </row>
    <row r="20" ht="15" customHeight="1" s="22">
      <c r="A20" s="27" t="inlineStr">
        <is>
          <t>Revenue growth (%)</t>
        </is>
      </c>
      <c r="C20" s="34">
        <f>IF(B6=0,0,C6/B6-1)</f>
        <v/>
      </c>
      <c r="D20" s="34">
        <f>IF(C6=0,0,D6/C6-1)</f>
        <v/>
      </c>
      <c r="E20" s="34">
        <f>IF(D6=0,0,E6/D6-1)</f>
        <v/>
      </c>
      <c r="F20" s="34">
        <f>IF(E6=0,0,F6/E6-1)</f>
        <v/>
      </c>
      <c r="G20" s="34">
        <f>IF(F6=0,0,G6/F6-1)</f>
        <v/>
      </c>
      <c r="H20" s="34">
        <f>IF(G6=0,0,H6/G6-1)</f>
        <v/>
      </c>
      <c r="I20" s="34">
        <f>IF(H6=0,0,I6/H6-1)</f>
        <v/>
      </c>
      <c r="J20" s="34">
        <f>IF(I6=0,0,J6/I6-1)</f>
        <v/>
      </c>
    </row>
    <row r="22" ht="15" customHeight="1" s="22">
      <c r="A22" s="27" t="inlineStr">
        <is>
          <t>Diluted weighted-average shares (mm)</t>
        </is>
      </c>
      <c r="B22" s="29" t="n">
        <v>7472</v>
      </c>
      <c r="C22" s="29" t="n">
        <v>7469</v>
      </c>
      <c r="D22" s="29" t="n">
        <v>7465</v>
      </c>
      <c r="E22" s="29" t="n">
        <v>7453</v>
      </c>
      <c r="F22" s="31">
        <f>E22</f>
        <v/>
      </c>
      <c r="G22" s="31">
        <f>F22</f>
        <v/>
      </c>
      <c r="H22" s="31">
        <f>G22</f>
        <v/>
      </c>
      <c r="I22" s="31">
        <f>H22</f>
        <v/>
      </c>
      <c r="J22" s="31">
        <f>I22</f>
        <v/>
      </c>
    </row>
    <row r="23" ht="15" customHeight="1" s="22">
      <c r="A23" s="27" t="inlineStr">
        <is>
          <t>Diluted EPS ($)</t>
        </is>
      </c>
      <c r="B23" s="35">
        <f>IF(B22=0,0,B16/B22)</f>
        <v/>
      </c>
      <c r="C23" s="35">
        <f>IF(C22=0,0,C16/C22)</f>
        <v/>
      </c>
      <c r="D23" s="35">
        <f>IF(D22=0,0,D16/D22)</f>
        <v/>
      </c>
      <c r="E23" s="35">
        <f>IF(E22=0,0,E16/E22)</f>
        <v/>
      </c>
      <c r="F23" s="35">
        <f>IF(F22=0,0,F16/F22)</f>
        <v/>
      </c>
      <c r="G23" s="35">
        <f>IF(G22=0,0,G16/G22)</f>
        <v/>
      </c>
      <c r="H23" s="35">
        <f>IF(H22=0,0,H16/H22)</f>
        <v/>
      </c>
      <c r="I23" s="35">
        <f>IF(I22=0,0,I16/I22)</f>
        <v/>
      </c>
      <c r="J23" s="35">
        <f>IF(J22=0,0,J16/J22)</f>
        <v/>
      </c>
    </row>
    <row r="25" ht="15" customHeight="1" s="22">
      <c r="A25" s="24" t="inlineStr">
        <is>
          <t>Source (historicals): Microsoft Form 10-K filings, SEC XBRL company facts (via stock-data get_financials). SG&amp;A = total operating expenses less R&amp;D; other income, net = pretax income less operating income plus interest expense. D&amp;A is embedded in cost of revenue and operating expenses.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21" min="1" max="1"/>
    <col width="12" customWidth="1" style="21" min="2" max="10"/>
  </cols>
  <sheetData>
    <row r="1" ht="15" customHeight="1" s="22">
      <c r="A1" s="23" t="inlineStr">
        <is>
          <t>Microsoft Corp. (MSFT) - Balance Sheet</t>
        </is>
      </c>
    </row>
    <row r="2" ht="15" customHeight="1" s="22">
      <c r="A2" s="24" t="inlineStr">
        <is>
          <t>USD millions unless stated; fiscal years end June 30</t>
        </is>
      </c>
    </row>
    <row r="4" ht="15" customHeight="1" s="22">
      <c r="A4" s="25" t="inlineStr">
        <is>
          <t>Fiscal year</t>
        </is>
      </c>
      <c r="B4" s="26" t="inlineStr">
        <is>
          <t>FY2023A</t>
        </is>
      </c>
      <c r="C4" s="26" t="inlineStr">
        <is>
          <t>FY2024A</t>
        </is>
      </c>
      <c r="D4" s="26" t="inlineStr">
        <is>
          <t>FY2025A</t>
        </is>
      </c>
      <c r="E4" s="26" t="inlineStr">
        <is>
          <t>FY2026A</t>
        </is>
      </c>
      <c r="F4" s="26" t="inlineStr">
        <is>
          <t>FY2027E</t>
        </is>
      </c>
      <c r="G4" s="26" t="inlineStr">
        <is>
          <t>FY2028E</t>
        </is>
      </c>
      <c r="H4" s="26" t="inlineStr">
        <is>
          <t>FY2029E</t>
        </is>
      </c>
      <c r="I4" s="26" t="inlineStr">
        <is>
          <t>FY2030E</t>
        </is>
      </c>
      <c r="J4" s="26" t="inlineStr">
        <is>
          <t>FY2031E</t>
        </is>
      </c>
    </row>
    <row r="5" ht="15" customHeight="1" s="22">
      <c r="A5" s="25" t="inlineStr">
        <is>
          <t>Assets</t>
        </is>
      </c>
    </row>
    <row r="6" ht="15" customHeight="1" s="22">
      <c r="A6" s="27" t="inlineStr">
        <is>
          <t>Cash and cash equivalents</t>
        </is>
      </c>
      <c r="B6" s="29" t="n">
        <v>34704</v>
      </c>
      <c r="C6" s="29" t="n">
        <v>18315</v>
      </c>
      <c r="D6" s="29" t="n">
        <v>30242</v>
      </c>
      <c r="E6" s="29" t="n">
        <v>20935</v>
      </c>
      <c r="F6" s="33">
        <f>CFS!F28</f>
        <v/>
      </c>
      <c r="G6" s="33">
        <f>CFS!G28</f>
        <v/>
      </c>
      <c r="H6" s="33">
        <f>CFS!H28</f>
        <v/>
      </c>
      <c r="I6" s="33">
        <f>CFS!I28</f>
        <v/>
      </c>
      <c r="J6" s="33">
        <f>CFS!J28</f>
        <v/>
      </c>
    </row>
    <row r="7" ht="15" customHeight="1" s="22">
      <c r="A7" s="27" t="inlineStr">
        <is>
          <t>Short-term investments</t>
        </is>
      </c>
      <c r="B7" s="29" t="n">
        <v>76558</v>
      </c>
      <c r="C7" s="29" t="n">
        <v>57228</v>
      </c>
      <c r="D7" s="29" t="n">
        <v>64323</v>
      </c>
      <c r="E7" s="29" t="n">
        <v>55908</v>
      </c>
      <c r="F7" s="31">
        <f>E7</f>
        <v/>
      </c>
      <c r="G7" s="31">
        <f>F7</f>
        <v/>
      </c>
      <c r="H7" s="31">
        <f>G7</f>
        <v/>
      </c>
      <c r="I7" s="31">
        <f>H7</f>
        <v/>
      </c>
      <c r="J7" s="31">
        <f>I7</f>
        <v/>
      </c>
    </row>
    <row r="8" ht="15" customHeight="1" s="22">
      <c r="A8" s="27" t="inlineStr">
        <is>
          <t>Accounts receivable, net</t>
        </is>
      </c>
      <c r="B8" s="29" t="n">
        <v>48688</v>
      </c>
      <c r="C8" s="29" t="n">
        <v>56924</v>
      </c>
      <c r="D8" s="29" t="n">
        <v>69905</v>
      </c>
      <c r="E8" s="29" t="n">
        <v>80876</v>
      </c>
      <c r="F8" s="31">
        <f>IS!F6*Assumptions!F13/365</f>
        <v/>
      </c>
      <c r="G8" s="31">
        <f>IS!G6*Assumptions!G13/365</f>
        <v/>
      </c>
      <c r="H8" s="31">
        <f>IS!H6*Assumptions!H13/365</f>
        <v/>
      </c>
      <c r="I8" s="31">
        <f>IS!I6*Assumptions!I13/365</f>
        <v/>
      </c>
      <c r="J8" s="31">
        <f>IS!J6*Assumptions!J13/365</f>
        <v/>
      </c>
    </row>
    <row r="9" ht="15" customHeight="1" s="22">
      <c r="A9" s="27" t="inlineStr">
        <is>
          <t>Inventories</t>
        </is>
      </c>
      <c r="B9" s="29" t="n">
        <v>2500</v>
      </c>
      <c r="C9" s="29" t="n">
        <v>1246</v>
      </c>
      <c r="D9" s="29" t="n">
        <v>938</v>
      </c>
      <c r="E9" s="29" t="n">
        <v>1397</v>
      </c>
      <c r="F9" s="31">
        <f>IS!F7*Assumptions!F14/365</f>
        <v/>
      </c>
      <c r="G9" s="31">
        <f>IS!G7*Assumptions!G14/365</f>
        <v/>
      </c>
      <c r="H9" s="31">
        <f>IS!H7*Assumptions!H14/365</f>
        <v/>
      </c>
      <c r="I9" s="31">
        <f>IS!I7*Assumptions!I14/365</f>
        <v/>
      </c>
      <c r="J9" s="31">
        <f>IS!J7*Assumptions!J14/365</f>
        <v/>
      </c>
    </row>
    <row r="10" ht="15" customHeight="1" s="22">
      <c r="A10" s="27" t="inlineStr">
        <is>
          <t>Other current assets</t>
        </is>
      </c>
      <c r="B10" s="31">
        <f>B11-SUM(B6:B9)</f>
        <v/>
      </c>
      <c r="C10" s="31">
        <f>C11-SUM(C6:C9)</f>
        <v/>
      </c>
      <c r="D10" s="31">
        <f>D11-SUM(D6:D9)</f>
        <v/>
      </c>
      <c r="E10" s="31">
        <f>E11-SUM(E6:E9)</f>
        <v/>
      </c>
      <c r="F10" s="31">
        <f>E10</f>
        <v/>
      </c>
      <c r="G10" s="31">
        <f>F10</f>
        <v/>
      </c>
      <c r="H10" s="31">
        <f>G10</f>
        <v/>
      </c>
      <c r="I10" s="31">
        <f>H10</f>
        <v/>
      </c>
      <c r="J10" s="31">
        <f>I10</f>
        <v/>
      </c>
    </row>
    <row r="11" ht="15" customHeight="1" s="22">
      <c r="A11" s="25" t="inlineStr">
        <is>
          <t>Total current assets</t>
        </is>
      </c>
      <c r="B11" s="36" t="n">
        <v>184257</v>
      </c>
      <c r="C11" s="36" t="n">
        <v>159734</v>
      </c>
      <c r="D11" s="36" t="n">
        <v>191131</v>
      </c>
      <c r="E11" s="36" t="n">
        <v>207710</v>
      </c>
      <c r="F11" s="32">
        <f>SUM(F6:F10)</f>
        <v/>
      </c>
      <c r="G11" s="32">
        <f>SUM(G6:G10)</f>
        <v/>
      </c>
      <c r="H11" s="32">
        <f>SUM(H6:H10)</f>
        <v/>
      </c>
      <c r="I11" s="32">
        <f>SUM(I6:I10)</f>
        <v/>
      </c>
      <c r="J11" s="32">
        <f>SUM(J6:J10)</f>
        <v/>
      </c>
    </row>
    <row r="12" ht="15" customHeight="1" s="22">
      <c r="A12" s="27" t="inlineStr">
        <is>
          <t>Property and equipment, net</t>
        </is>
      </c>
      <c r="B12" s="29" t="n">
        <v>95641</v>
      </c>
      <c r="C12" s="29" t="n">
        <v>135591</v>
      </c>
      <c r="D12" s="29" t="n">
        <v>204966</v>
      </c>
      <c r="E12" s="29" t="n">
        <v>313076</v>
      </c>
      <c r="F12" s="33">
        <f>Schedules!F10</f>
        <v/>
      </c>
      <c r="G12" s="33">
        <f>Schedules!G10</f>
        <v/>
      </c>
      <c r="H12" s="33">
        <f>Schedules!H10</f>
        <v/>
      </c>
      <c r="I12" s="33">
        <f>Schedules!I10</f>
        <v/>
      </c>
      <c r="J12" s="33">
        <f>Schedules!J10</f>
        <v/>
      </c>
    </row>
    <row r="13" ht="15" customHeight="1" s="22">
      <c r="A13" s="27" t="inlineStr">
        <is>
          <t>Goodwill</t>
        </is>
      </c>
      <c r="B13" s="29" t="n">
        <v>67886</v>
      </c>
      <c r="C13" s="29" t="n">
        <v>119220</v>
      </c>
      <c r="D13" s="29" t="n">
        <v>119509</v>
      </c>
      <c r="E13" s="29" t="n">
        <v>119651</v>
      </c>
      <c r="F13" s="31">
        <f>E13</f>
        <v/>
      </c>
      <c r="G13" s="31">
        <f>F13</f>
        <v/>
      </c>
      <c r="H13" s="31">
        <f>G13</f>
        <v/>
      </c>
      <c r="I13" s="31">
        <f>H13</f>
        <v/>
      </c>
      <c r="J13" s="31">
        <f>I13</f>
        <v/>
      </c>
    </row>
    <row r="14" ht="15" customHeight="1" s="22">
      <c r="A14" s="27" t="inlineStr">
        <is>
          <t>Intangible assets, net</t>
        </is>
      </c>
      <c r="B14" s="29" t="n">
        <v>9366</v>
      </c>
      <c r="C14" s="29" t="n">
        <v>27597</v>
      </c>
      <c r="D14" s="29" t="n">
        <v>22604</v>
      </c>
      <c r="E14" s="29" t="n">
        <v>18609</v>
      </c>
      <c r="F14" s="31">
        <f>E14</f>
        <v/>
      </c>
      <c r="G14" s="31">
        <f>F14</f>
        <v/>
      </c>
      <c r="H14" s="31">
        <f>G14</f>
        <v/>
      </c>
      <c r="I14" s="31">
        <f>H14</f>
        <v/>
      </c>
      <c r="J14" s="31">
        <f>I14</f>
        <v/>
      </c>
    </row>
    <row r="15" ht="15" customHeight="1" s="22">
      <c r="A15" s="27" t="inlineStr">
        <is>
          <t>Other long-term assets</t>
        </is>
      </c>
      <c r="B15" s="31">
        <f>B16-B11-SUM(B12:B14)</f>
        <v/>
      </c>
      <c r="C15" s="31">
        <f>C16-C11-SUM(C12:C14)</f>
        <v/>
      </c>
      <c r="D15" s="31">
        <f>D16-D11-SUM(D12:D14)</f>
        <v/>
      </c>
      <c r="E15" s="31">
        <f>E16-E11-SUM(E12:E14)</f>
        <v/>
      </c>
      <c r="F15" s="31">
        <f>E15</f>
        <v/>
      </c>
      <c r="G15" s="31">
        <f>F15</f>
        <v/>
      </c>
      <c r="H15" s="31">
        <f>G15</f>
        <v/>
      </c>
      <c r="I15" s="31">
        <f>H15</f>
        <v/>
      </c>
      <c r="J15" s="31">
        <f>I15</f>
        <v/>
      </c>
    </row>
    <row r="16" ht="15" customHeight="1" s="22">
      <c r="A16" s="25" t="inlineStr">
        <is>
          <t>Total assets</t>
        </is>
      </c>
      <c r="B16" s="36" t="n">
        <v>411976</v>
      </c>
      <c r="C16" s="36" t="n">
        <v>512163</v>
      </c>
      <c r="D16" s="36" t="n">
        <v>619003</v>
      </c>
      <c r="E16" s="36" t="n">
        <v>758376</v>
      </c>
      <c r="F16" s="32">
        <f>F11+SUM(F12:F15)</f>
        <v/>
      </c>
      <c r="G16" s="32">
        <f>G11+SUM(G12:G15)</f>
        <v/>
      </c>
      <c r="H16" s="32">
        <f>H11+SUM(H12:H15)</f>
        <v/>
      </c>
      <c r="I16" s="32">
        <f>I11+SUM(I12:I15)</f>
        <v/>
      </c>
      <c r="J16" s="32">
        <f>J11+SUM(J12:J15)</f>
        <v/>
      </c>
    </row>
    <row r="17" ht="15" customHeight="1" s="22">
      <c r="A17" s="25" t="inlineStr">
        <is>
          <t>Liabilities</t>
        </is>
      </c>
    </row>
    <row r="18" ht="15" customHeight="1" s="22">
      <c r="A18" s="27" t="inlineStr">
        <is>
          <t>Accounts payable</t>
        </is>
      </c>
      <c r="B18" s="29" t="n">
        <v>18095</v>
      </c>
      <c r="C18" s="29" t="n">
        <v>21996</v>
      </c>
      <c r="D18" s="29" t="n">
        <v>27724</v>
      </c>
      <c r="E18" s="29" t="n">
        <v>42416</v>
      </c>
      <c r="F18" s="31">
        <f>IS!F7*Assumptions!F15/365</f>
        <v/>
      </c>
      <c r="G18" s="31">
        <f>IS!G7*Assumptions!G15/365</f>
        <v/>
      </c>
      <c r="H18" s="31">
        <f>IS!H7*Assumptions!H15/365</f>
        <v/>
      </c>
      <c r="I18" s="31">
        <f>IS!I7*Assumptions!I15/365</f>
        <v/>
      </c>
      <c r="J18" s="31">
        <f>IS!J7*Assumptions!J15/365</f>
        <v/>
      </c>
    </row>
    <row r="19" ht="15" customHeight="1" s="22">
      <c r="A19" s="27" t="inlineStr">
        <is>
          <t>Other current liabilities</t>
        </is>
      </c>
      <c r="B19" s="31">
        <f>B22-B18-B21</f>
        <v/>
      </c>
      <c r="C19" s="31">
        <f>C22-C18-C21</f>
        <v/>
      </c>
      <c r="D19" s="31">
        <f>D22-D18-D21</f>
        <v/>
      </c>
      <c r="E19" s="31">
        <f>E22-E18-E21</f>
        <v/>
      </c>
      <c r="F19" s="31">
        <f>E19</f>
        <v/>
      </c>
      <c r="G19" s="31">
        <f>F19</f>
        <v/>
      </c>
      <c r="H19" s="31">
        <f>G19</f>
        <v/>
      </c>
      <c r="I19" s="31">
        <f>H19</f>
        <v/>
      </c>
      <c r="J19" s="31">
        <f>I19</f>
        <v/>
      </c>
    </row>
    <row r="20" ht="15" customHeight="1" s="22">
      <c r="A20" s="27" t="n"/>
    </row>
    <row r="21" ht="15" customHeight="1" s="22">
      <c r="A21" s="27" t="inlineStr">
        <is>
          <t>Current portion of long-term debt</t>
        </is>
      </c>
      <c r="B21" s="29" t="n">
        <v>5247</v>
      </c>
      <c r="C21" s="29" t="n">
        <v>2249</v>
      </c>
      <c r="D21" s="29" t="n">
        <v>2999</v>
      </c>
      <c r="E21" s="29" t="n">
        <v>9227</v>
      </c>
      <c r="F21" s="33">
        <f>Schedules!F16</f>
        <v/>
      </c>
      <c r="G21" s="33">
        <f>Schedules!G16</f>
        <v/>
      </c>
      <c r="H21" s="33">
        <f>Schedules!H16</f>
        <v/>
      </c>
      <c r="I21" s="33">
        <f>Schedules!I16</f>
        <v/>
      </c>
      <c r="J21" s="33">
        <f>Schedules!J16</f>
        <v/>
      </c>
    </row>
    <row r="22" ht="15" customHeight="1" s="22">
      <c r="A22" s="25" t="inlineStr">
        <is>
          <t>Total current liabilities</t>
        </is>
      </c>
      <c r="B22" s="36" t="n">
        <v>104149</v>
      </c>
      <c r="C22" s="36" t="n">
        <v>125286</v>
      </c>
      <c r="D22" s="36" t="n">
        <v>141218</v>
      </c>
      <c r="E22" s="36" t="n">
        <v>168825</v>
      </c>
      <c r="F22" s="32">
        <f>SUM(F18:F21)</f>
        <v/>
      </c>
      <c r="G22" s="32">
        <f>SUM(G18:G21)</f>
        <v/>
      </c>
      <c r="H22" s="32">
        <f>SUM(H18:H21)</f>
        <v/>
      </c>
      <c r="I22" s="32">
        <f>SUM(I18:I21)</f>
        <v/>
      </c>
      <c r="J22" s="32">
        <f>SUM(J18:J21)</f>
        <v/>
      </c>
    </row>
    <row r="24" ht="15" customHeight="1" s="22">
      <c r="A24" s="27" t="inlineStr">
        <is>
          <t>Long-term debt</t>
        </is>
      </c>
      <c r="B24" s="29" t="n">
        <v>41990</v>
      </c>
      <c r="C24" s="29" t="n">
        <v>42688</v>
      </c>
      <c r="D24" s="29" t="n">
        <v>40152</v>
      </c>
      <c r="E24" s="29" t="n">
        <v>31067</v>
      </c>
      <c r="F24" s="33">
        <f>Schedules!F17</f>
        <v/>
      </c>
      <c r="G24" s="33">
        <f>Schedules!G17</f>
        <v/>
      </c>
      <c r="H24" s="33">
        <f>Schedules!H17</f>
        <v/>
      </c>
      <c r="I24" s="33">
        <f>Schedules!I17</f>
        <v/>
      </c>
      <c r="J24" s="33">
        <f>Schedules!J17</f>
        <v/>
      </c>
    </row>
    <row r="25" ht="15" customHeight="1" s="22">
      <c r="A25" s="27" t="inlineStr">
        <is>
          <t>Other long-term liabilities</t>
        </is>
      </c>
      <c r="B25" s="31">
        <f>B26-B22-B24</f>
        <v/>
      </c>
      <c r="C25" s="31">
        <f>C26-C22-C24</f>
        <v/>
      </c>
      <c r="D25" s="31">
        <f>D26-D22-D24</f>
        <v/>
      </c>
      <c r="E25" s="31">
        <f>E26-E22-E24</f>
        <v/>
      </c>
      <c r="F25" s="31">
        <f>E25</f>
        <v/>
      </c>
      <c r="G25" s="31">
        <f>F25</f>
        <v/>
      </c>
      <c r="H25" s="31">
        <f>G25</f>
        <v/>
      </c>
      <c r="I25" s="31">
        <f>H25</f>
        <v/>
      </c>
      <c r="J25" s="31">
        <f>I25</f>
        <v/>
      </c>
    </row>
    <row r="26" ht="15" customHeight="1" s="22">
      <c r="A26" s="25" t="inlineStr">
        <is>
          <t>Total liabilities</t>
        </is>
      </c>
      <c r="B26" s="36" t="n">
        <v>205753</v>
      </c>
      <c r="C26" s="36" t="n">
        <v>243686</v>
      </c>
      <c r="D26" s="36" t="n">
        <v>275524</v>
      </c>
      <c r="E26" s="36" t="n">
        <v>315989</v>
      </c>
      <c r="F26" s="32">
        <f>F22+F24+F25</f>
        <v/>
      </c>
      <c r="G26" s="32">
        <f>G22+G24+G25</f>
        <v/>
      </c>
      <c r="H26" s="32">
        <f>H22+H24+H25</f>
        <v/>
      </c>
      <c r="I26" s="32">
        <f>I22+I24+I25</f>
        <v/>
      </c>
      <c r="J26" s="32">
        <f>J22+J24+J25</f>
        <v/>
      </c>
    </row>
    <row r="27" ht="15" customHeight="1" s="22">
      <c r="A27" s="25" t="inlineStr">
        <is>
          <t>Stockholders' equity</t>
        </is>
      </c>
    </row>
    <row r="28" ht="15" customHeight="1" s="22">
      <c r="A28" s="27" t="inlineStr">
        <is>
          <t>Retained earnings &amp; other equity</t>
        </is>
      </c>
      <c r="B28" s="29" t="n">
        <v>206223</v>
      </c>
      <c r="C28" s="29" t="n">
        <v>268477</v>
      </c>
      <c r="D28" s="29" t="n">
        <v>343479</v>
      </c>
      <c r="E28" s="29" t="n">
        <v>442387</v>
      </c>
      <c r="F28" s="31">
        <f>E28+IS!F16+CFS!F8+CFS!F19+CFS!F20</f>
        <v/>
      </c>
      <c r="G28" s="31">
        <f>F28+IS!G16+CFS!G8+CFS!G19+CFS!G20</f>
        <v/>
      </c>
      <c r="H28" s="31">
        <f>G28+IS!H16+CFS!H8+CFS!H19+CFS!H20</f>
        <v/>
      </c>
      <c r="I28" s="31">
        <f>H28+IS!I16+CFS!I8+CFS!I19+CFS!I20</f>
        <v/>
      </c>
      <c r="J28" s="31">
        <f>I28+IS!J16+CFS!J8+CFS!J19+CFS!J20</f>
        <v/>
      </c>
    </row>
    <row r="29" ht="15" customHeight="1" s="22">
      <c r="A29" s="25" t="inlineStr">
        <is>
          <t>Total stockholders' equity</t>
        </is>
      </c>
      <c r="B29" s="32">
        <f>B28</f>
        <v/>
      </c>
      <c r="C29" s="32">
        <f>C28</f>
        <v/>
      </c>
      <c r="D29" s="32">
        <f>D28</f>
        <v/>
      </c>
      <c r="E29" s="32">
        <f>E28</f>
        <v/>
      </c>
      <c r="F29" s="32">
        <f>F28</f>
        <v/>
      </c>
      <c r="G29" s="32">
        <f>G28</f>
        <v/>
      </c>
      <c r="H29" s="32">
        <f>H28</f>
        <v/>
      </c>
      <c r="I29" s="32">
        <f>I28</f>
        <v/>
      </c>
      <c r="J29" s="32">
        <f>J28</f>
        <v/>
      </c>
    </row>
    <row r="30" ht="15" customHeight="1" s="22">
      <c r="A30" s="25" t="inlineStr">
        <is>
          <t>Total liabilities and stockholders' equity</t>
        </is>
      </c>
      <c r="B30" s="32">
        <f>B26+B29</f>
        <v/>
      </c>
      <c r="C30" s="32">
        <f>C26+C29</f>
        <v/>
      </c>
      <c r="D30" s="32">
        <f>D26+D29</f>
        <v/>
      </c>
      <c r="E30" s="32">
        <f>E26+E29</f>
        <v/>
      </c>
      <c r="F30" s="32">
        <f>F26+F29</f>
        <v/>
      </c>
      <c r="G30" s="32">
        <f>G26+G29</f>
        <v/>
      </c>
      <c r="H30" s="32">
        <f>H26+H29</f>
        <v/>
      </c>
      <c r="I30" s="32">
        <f>I26+I29</f>
        <v/>
      </c>
      <c r="J30" s="32">
        <f>J26+J29</f>
        <v/>
      </c>
    </row>
    <row r="32" ht="15" customHeight="1" s="22">
      <c r="A32" s="25" t="inlineStr">
        <is>
          <t>Checks: total assets less total liabilities &amp; equity</t>
        </is>
      </c>
      <c r="B32" s="37">
        <f>ROUND(B16-B30,3)</f>
        <v/>
      </c>
      <c r="C32" s="37">
        <f>ROUND(C16-C30,3)</f>
        <v/>
      </c>
      <c r="D32" s="37">
        <f>ROUND(D16-D30,3)</f>
        <v/>
      </c>
      <c r="E32" s="37">
        <f>ROUND(E16-E30,3)</f>
        <v/>
      </c>
      <c r="F32" s="37">
        <f>ROUND(F16-F30,3)</f>
        <v/>
      </c>
      <c r="G32" s="37">
        <f>ROUND(G16-G30,3)</f>
        <v/>
      </c>
      <c r="H32" s="37">
        <f>ROUND(H16-H30,3)</f>
        <v/>
      </c>
      <c r="I32" s="37">
        <f>ROUND(I16-I30,3)</f>
        <v/>
      </c>
      <c r="J32" s="37">
        <f>ROUND(J16-J30,3)</f>
        <v/>
      </c>
    </row>
    <row r="34" ht="15" customHeight="1" s="22">
      <c r="A34" s="24" t="inlineStr">
        <is>
          <t>Source (historicals): Microsoft Form 10-K filings, SEC XBRL (via stock-data get_financials). Historical 'other' lines are reported totals less reported components. Equity is carried in one line because the data source reports total stockholders' equity only.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21" min="1" max="1"/>
    <col width="12" customWidth="1" style="21" min="2" max="10"/>
  </cols>
  <sheetData>
    <row r="1" ht="15" customHeight="1" s="22">
      <c r="A1" s="23" t="inlineStr">
        <is>
          <t>Microsoft Corp. (MSFT) - Supporting Schedules</t>
        </is>
      </c>
    </row>
    <row r="2" ht="15" customHeight="1" s="22">
      <c r="A2" s="24" t="inlineStr">
        <is>
          <t>USD millions unless stated; fiscal years end June 30</t>
        </is>
      </c>
    </row>
    <row r="4" ht="15" customHeight="1" s="22">
      <c r="A4" s="25" t="inlineStr">
        <is>
          <t>Fiscal year</t>
        </is>
      </c>
      <c r="B4" s="26" t="inlineStr">
        <is>
          <t>FY2023A</t>
        </is>
      </c>
      <c r="C4" s="26" t="inlineStr">
        <is>
          <t>FY2024A</t>
        </is>
      </c>
      <c r="D4" s="26" t="inlineStr">
        <is>
          <t>FY2025A</t>
        </is>
      </c>
      <c r="E4" s="26" t="inlineStr">
        <is>
          <t>FY2026A</t>
        </is>
      </c>
      <c r="F4" s="26" t="inlineStr">
        <is>
          <t>FY2027E</t>
        </is>
      </c>
      <c r="G4" s="26" t="inlineStr">
        <is>
          <t>FY2028E</t>
        </is>
      </c>
      <c r="H4" s="26" t="inlineStr">
        <is>
          <t>FY2029E</t>
        </is>
      </c>
      <c r="I4" s="26" t="inlineStr">
        <is>
          <t>FY2030E</t>
        </is>
      </c>
      <c r="J4" s="26" t="inlineStr">
        <is>
          <t>FY2031E</t>
        </is>
      </c>
    </row>
    <row r="6" ht="15" customHeight="1" s="22">
      <c r="A6" s="25" t="inlineStr">
        <is>
          <t>PP&amp;E roll-forward</t>
        </is>
      </c>
    </row>
    <row r="7" ht="15" customHeight="1" s="22">
      <c r="A7" s="27" t="inlineStr">
        <is>
          <t>Beginning net PP&amp;E</t>
        </is>
      </c>
      <c r="F7" s="31">
        <f>E10</f>
        <v/>
      </c>
      <c r="G7" s="31">
        <f>F10</f>
        <v/>
      </c>
      <c r="H7" s="31">
        <f>G10</f>
        <v/>
      </c>
      <c r="I7" s="31">
        <f>H10</f>
        <v/>
      </c>
      <c r="J7" s="31">
        <f>I10</f>
        <v/>
      </c>
    </row>
    <row r="8" ht="15" customHeight="1" s="22">
      <c r="A8" s="27" t="inlineStr">
        <is>
          <t>Capital expenditures</t>
        </is>
      </c>
      <c r="B8" s="29" t="n">
        <v>28107</v>
      </c>
      <c r="C8" s="29" t="n">
        <v>44477</v>
      </c>
      <c r="D8" s="29" t="n">
        <v>64551</v>
      </c>
      <c r="E8" s="29" t="n">
        <v>115948</v>
      </c>
      <c r="F8" s="31">
        <f>IS!F6*Assumptions!F17</f>
        <v/>
      </c>
      <c r="G8" s="31">
        <f>IS!G6*Assumptions!G17</f>
        <v/>
      </c>
      <c r="H8" s="31">
        <f>IS!H6*Assumptions!H17</f>
        <v/>
      </c>
      <c r="I8" s="31">
        <f>IS!I6*Assumptions!I17</f>
        <v/>
      </c>
      <c r="J8" s="31">
        <f>IS!J6*Assumptions!J17</f>
        <v/>
      </c>
    </row>
    <row r="9" ht="15" customHeight="1" s="22">
      <c r="A9" s="27" t="inlineStr">
        <is>
          <t>Depreciation &amp; amortization</t>
        </is>
      </c>
      <c r="F9" s="31">
        <f>F7*Assumptions!F18</f>
        <v/>
      </c>
      <c r="G9" s="31">
        <f>G7*Assumptions!G18</f>
        <v/>
      </c>
      <c r="H9" s="31">
        <f>H7*Assumptions!H18</f>
        <v/>
      </c>
      <c r="I9" s="31">
        <f>I7*Assumptions!I18</f>
        <v/>
      </c>
      <c r="J9" s="31">
        <f>J7*Assumptions!J18</f>
        <v/>
      </c>
    </row>
    <row r="10" ht="15" customHeight="1" s="22">
      <c r="A10" s="25" t="inlineStr">
        <is>
          <t>Ending net PP&amp;E</t>
        </is>
      </c>
      <c r="B10" s="38">
        <f>BS!B12</f>
        <v/>
      </c>
      <c r="C10" s="38">
        <f>BS!C12</f>
        <v/>
      </c>
      <c r="D10" s="38">
        <f>BS!D12</f>
        <v/>
      </c>
      <c r="E10" s="38">
        <f>BS!E12</f>
        <v/>
      </c>
      <c r="F10" s="32">
        <f>F7+F8-F9</f>
        <v/>
      </c>
      <c r="G10" s="32">
        <f>G7+G8-G9</f>
        <v/>
      </c>
      <c r="H10" s="32">
        <f>H7+H8-H9</f>
        <v/>
      </c>
      <c r="I10" s="32">
        <f>I7+I8-I9</f>
        <v/>
      </c>
      <c r="J10" s="32">
        <f>J7+J8-J9</f>
        <v/>
      </c>
    </row>
    <row r="13" ht="15" customHeight="1" s="22">
      <c r="A13" s="25" t="inlineStr">
        <is>
          <t>Debt schedule</t>
        </is>
      </c>
    </row>
    <row r="14" ht="15" customHeight="1" s="22">
      <c r="A14" s="27" t="inlineStr">
        <is>
          <t>Beginning total debt</t>
        </is>
      </c>
      <c r="F14" s="31">
        <f>E18</f>
        <v/>
      </c>
      <c r="G14" s="31">
        <f>F18</f>
        <v/>
      </c>
      <c r="H14" s="31">
        <f>G18</f>
        <v/>
      </c>
      <c r="I14" s="31">
        <f>H18</f>
        <v/>
      </c>
      <c r="J14" s="31">
        <f>I18</f>
        <v/>
      </c>
    </row>
    <row r="15" ht="15" customHeight="1" s="22">
      <c r="A15" s="27" t="inlineStr">
        <is>
          <t>Net issuance / (repayment)</t>
        </is>
      </c>
      <c r="F15" s="33">
        <f>Assumptions!F21</f>
        <v/>
      </c>
      <c r="G15" s="33">
        <f>Assumptions!G21</f>
        <v/>
      </c>
      <c r="H15" s="33">
        <f>Assumptions!H21</f>
        <v/>
      </c>
      <c r="I15" s="33">
        <f>Assumptions!I21</f>
        <v/>
      </c>
      <c r="J15" s="33">
        <f>Assumptions!J21</f>
        <v/>
      </c>
    </row>
    <row r="16" ht="15" customHeight="1" s="22">
      <c r="A16" s="27" t="inlineStr">
        <is>
          <t>Current portion of long-term debt</t>
        </is>
      </c>
      <c r="B16" s="33">
        <f>BS!B21</f>
        <v/>
      </c>
      <c r="C16" s="33">
        <f>BS!C21</f>
        <v/>
      </c>
      <c r="D16" s="33">
        <f>BS!D21</f>
        <v/>
      </c>
      <c r="E16" s="33">
        <f>BS!E21</f>
        <v/>
      </c>
      <c r="F16" s="31">
        <f>E16</f>
        <v/>
      </c>
      <c r="G16" s="31">
        <f>F16</f>
        <v/>
      </c>
      <c r="H16" s="31">
        <f>G16</f>
        <v/>
      </c>
      <c r="I16" s="31">
        <f>H16</f>
        <v/>
      </c>
      <c r="J16" s="31">
        <f>I16</f>
        <v/>
      </c>
    </row>
    <row r="17" ht="15" customHeight="1" s="22">
      <c r="A17" s="27" t="inlineStr">
        <is>
          <t>Long-term debt</t>
        </is>
      </c>
      <c r="B17" s="33">
        <f>BS!B24</f>
        <v/>
      </c>
      <c r="C17" s="33">
        <f>BS!C24</f>
        <v/>
      </c>
      <c r="D17" s="33">
        <f>BS!D24</f>
        <v/>
      </c>
      <c r="E17" s="33">
        <f>BS!E24</f>
        <v/>
      </c>
      <c r="F17" s="31">
        <f>E17+F15</f>
        <v/>
      </c>
      <c r="G17" s="31">
        <f>F17+G15</f>
        <v/>
      </c>
      <c r="H17" s="31">
        <f>G17+H15</f>
        <v/>
      </c>
      <c r="I17" s="31">
        <f>H17+I15</f>
        <v/>
      </c>
      <c r="J17" s="31">
        <f>I17+J15</f>
        <v/>
      </c>
    </row>
    <row r="18" ht="15" customHeight="1" s="22">
      <c r="A18" s="25" t="inlineStr">
        <is>
          <t>Ending total debt</t>
        </is>
      </c>
      <c r="B18" s="32">
        <f>B16+B17</f>
        <v/>
      </c>
      <c r="C18" s="32">
        <f>C16+C17</f>
        <v/>
      </c>
      <c r="D18" s="32">
        <f>D16+D17</f>
        <v/>
      </c>
      <c r="E18" s="32">
        <f>E16+E17</f>
        <v/>
      </c>
      <c r="F18" s="32">
        <f>F16+F17</f>
        <v/>
      </c>
      <c r="G18" s="32">
        <f>G16+G17</f>
        <v/>
      </c>
      <c r="H18" s="32">
        <f>H16+H17</f>
        <v/>
      </c>
      <c r="I18" s="32">
        <f>I16+I17</f>
        <v/>
      </c>
      <c r="J18" s="32">
        <f>J16+J17</f>
        <v/>
      </c>
    </row>
    <row r="20" ht="15" customHeight="1" s="22">
      <c r="A20" s="24" t="inlineStr">
        <is>
          <t>Historical D&amp;A is not reported by the data source and is left blank. Projected D&amp;A is not broken out of cost of revenue / operating expenses on the IS; it drives PP&amp;E and the cash flow add-back. Current portion of debt is held flat; net issuance flows through long-term debt.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21" min="1" max="1"/>
    <col width="12" customWidth="1" style="21" min="2" max="10"/>
  </cols>
  <sheetData>
    <row r="1" ht="15" customHeight="1" s="22">
      <c r="A1" s="23" t="inlineStr">
        <is>
          <t>Microsoft Corp. (MSFT) - Cash Flow Statement</t>
        </is>
      </c>
    </row>
    <row r="2" ht="15" customHeight="1" s="22">
      <c r="A2" s="24" t="inlineStr">
        <is>
          <t>USD millions unless stated; fiscal years end June 30</t>
        </is>
      </c>
    </row>
    <row r="4" ht="15" customHeight="1" s="22">
      <c r="A4" s="25" t="inlineStr">
        <is>
          <t>Fiscal year</t>
        </is>
      </c>
      <c r="B4" s="26" t="inlineStr">
        <is>
          <t>FY2023A</t>
        </is>
      </c>
      <c r="C4" s="26" t="inlineStr">
        <is>
          <t>FY2024A</t>
        </is>
      </c>
      <c r="D4" s="26" t="inlineStr">
        <is>
          <t>FY2025A</t>
        </is>
      </c>
      <c r="E4" s="26" t="inlineStr">
        <is>
          <t>FY2026A</t>
        </is>
      </c>
      <c r="F4" s="26" t="inlineStr">
        <is>
          <t>FY2027E</t>
        </is>
      </c>
      <c r="G4" s="26" t="inlineStr">
        <is>
          <t>FY2028E</t>
        </is>
      </c>
      <c r="H4" s="26" t="inlineStr">
        <is>
          <t>FY2029E</t>
        </is>
      </c>
      <c r="I4" s="26" t="inlineStr">
        <is>
          <t>FY2030E</t>
        </is>
      </c>
      <c r="J4" s="26" t="inlineStr">
        <is>
          <t>FY2031E</t>
        </is>
      </c>
    </row>
    <row r="5" ht="15" customHeight="1" s="22">
      <c r="A5" s="25" t="inlineStr">
        <is>
          <t>Operating activities</t>
        </is>
      </c>
    </row>
    <row r="6" ht="15" customHeight="1" s="22">
      <c r="A6" s="27" t="inlineStr">
        <is>
          <t>Net income</t>
        </is>
      </c>
      <c r="B6" s="33">
        <f>IS!B16</f>
        <v/>
      </c>
      <c r="C6" s="33">
        <f>IS!C16</f>
        <v/>
      </c>
      <c r="D6" s="33">
        <f>IS!D16</f>
        <v/>
      </c>
      <c r="E6" s="33">
        <f>IS!E16</f>
        <v/>
      </c>
      <c r="F6" s="33">
        <f>IS!F16</f>
        <v/>
      </c>
      <c r="G6" s="33">
        <f>IS!G16</f>
        <v/>
      </c>
      <c r="H6" s="33">
        <f>IS!H16</f>
        <v/>
      </c>
      <c r="I6" s="33">
        <f>IS!I16</f>
        <v/>
      </c>
      <c r="J6" s="33">
        <f>IS!J16</f>
        <v/>
      </c>
    </row>
    <row r="7" ht="15" customHeight="1" s="22">
      <c r="A7" s="27" t="inlineStr">
        <is>
          <t>Depreciation &amp; amortization</t>
        </is>
      </c>
      <c r="F7" s="33">
        <f>Schedules!F9</f>
        <v/>
      </c>
      <c r="G7" s="33">
        <f>Schedules!G9</f>
        <v/>
      </c>
      <c r="H7" s="33">
        <f>Schedules!H9</f>
        <v/>
      </c>
      <c r="I7" s="33">
        <f>Schedules!I9</f>
        <v/>
      </c>
      <c r="J7" s="33">
        <f>Schedules!J9</f>
        <v/>
      </c>
    </row>
    <row r="8" ht="15" customHeight="1" s="22">
      <c r="A8" s="27" t="inlineStr">
        <is>
          <t>Stock-based compensation</t>
        </is>
      </c>
      <c r="B8" s="29" t="n">
        <v>9611</v>
      </c>
      <c r="C8" s="29" t="n">
        <v>10734</v>
      </c>
      <c r="D8" s="29" t="n">
        <v>11974</v>
      </c>
      <c r="E8" s="29" t="n">
        <v>12405</v>
      </c>
      <c r="F8" s="31">
        <f>IS!F6*Assumptions!F16</f>
        <v/>
      </c>
      <c r="G8" s="31">
        <f>IS!G6*Assumptions!G16</f>
        <v/>
      </c>
      <c r="H8" s="31">
        <f>IS!H6*Assumptions!H16</f>
        <v/>
      </c>
      <c r="I8" s="31">
        <f>IS!I6*Assumptions!I16</f>
        <v/>
      </c>
      <c r="J8" s="31">
        <f>IS!J6*Assumptions!J16</f>
        <v/>
      </c>
    </row>
    <row r="9" ht="15" customHeight="1" s="22">
      <c r="A9" s="27" t="inlineStr">
        <is>
          <t>(Increase) / decrease in receivables</t>
        </is>
      </c>
      <c r="F9" s="31">
        <f>BS!E8-BS!F8</f>
        <v/>
      </c>
      <c r="G9" s="31">
        <f>BS!F8-BS!G8</f>
        <v/>
      </c>
      <c r="H9" s="31">
        <f>BS!G8-BS!H8</f>
        <v/>
      </c>
      <c r="I9" s="31">
        <f>BS!H8-BS!I8</f>
        <v/>
      </c>
      <c r="J9" s="31">
        <f>BS!I8-BS!J8</f>
        <v/>
      </c>
    </row>
    <row r="10" ht="15" customHeight="1" s="22">
      <c r="A10" s="27" t="inlineStr">
        <is>
          <t>(Increase) / decrease in inventories</t>
        </is>
      </c>
      <c r="F10" s="31">
        <f>BS!E9-BS!F9</f>
        <v/>
      </c>
      <c r="G10" s="31">
        <f>BS!F9-BS!G9</f>
        <v/>
      </c>
      <c r="H10" s="31">
        <f>BS!G9-BS!H9</f>
        <v/>
      </c>
      <c r="I10" s="31">
        <f>BS!H9-BS!I9</f>
        <v/>
      </c>
      <c r="J10" s="31">
        <f>BS!I9-BS!J9</f>
        <v/>
      </c>
    </row>
    <row r="11" ht="15" customHeight="1" s="22">
      <c r="A11" s="27" t="inlineStr">
        <is>
          <t>Increase / (decrease) in payables</t>
        </is>
      </c>
      <c r="F11" s="31">
        <f>BS!F18-BS!E18</f>
        <v/>
      </c>
      <c r="G11" s="31">
        <f>BS!G18-BS!F18</f>
        <v/>
      </c>
      <c r="H11" s="31">
        <f>BS!H18-BS!G18</f>
        <v/>
      </c>
      <c r="I11" s="31">
        <f>BS!I18-BS!H18</f>
        <v/>
      </c>
      <c r="J11" s="31">
        <f>BS!J18-BS!I18</f>
        <v/>
      </c>
    </row>
    <row r="12" ht="15" customHeight="1" s="22">
      <c r="A12" s="27" t="inlineStr">
        <is>
          <t>Other operating items, net</t>
        </is>
      </c>
      <c r="B12" s="31">
        <f>B13-SUM(B6:B11)</f>
        <v/>
      </c>
      <c r="C12" s="31">
        <f>C13-SUM(C6:C11)</f>
        <v/>
      </c>
      <c r="D12" s="31">
        <f>D13-SUM(D6:D11)</f>
        <v/>
      </c>
      <c r="E12" s="31">
        <f>E13-SUM(E6:E11)</f>
        <v/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</row>
    <row r="13" ht="15" customHeight="1" s="22">
      <c r="A13" s="25" t="inlineStr">
        <is>
          <t>Cash from operating activities</t>
        </is>
      </c>
      <c r="B13" s="36" t="n">
        <v>87582</v>
      </c>
      <c r="C13" s="36" t="n">
        <v>118548</v>
      </c>
      <c r="D13" s="36" t="n">
        <v>136162</v>
      </c>
      <c r="E13" s="36" t="n">
        <v>182935</v>
      </c>
      <c r="F13" s="32">
        <f>SUM(F6:F12)</f>
        <v/>
      </c>
      <c r="G13" s="32">
        <f>SUM(G6:G12)</f>
        <v/>
      </c>
      <c r="H13" s="32">
        <f>SUM(H6:H12)</f>
        <v/>
      </c>
      <c r="I13" s="32">
        <f>SUM(I6:I12)</f>
        <v/>
      </c>
      <c r="J13" s="32">
        <f>SUM(J6:J12)</f>
        <v/>
      </c>
    </row>
    <row r="14" ht="15" customHeight="1" s="22">
      <c r="A14" s="25" t="inlineStr">
        <is>
          <t>Investing activities</t>
        </is>
      </c>
    </row>
    <row r="15" ht="15" customHeight="1" s="22">
      <c r="A15" s="27" t="inlineStr">
        <is>
          <t>Capital expenditures</t>
        </is>
      </c>
      <c r="B15" s="33">
        <f>-Schedules!B8</f>
        <v/>
      </c>
      <c r="C15" s="33">
        <f>-Schedules!C8</f>
        <v/>
      </c>
      <c r="D15" s="33">
        <f>-Schedules!D8</f>
        <v/>
      </c>
      <c r="E15" s="33">
        <f>-Schedules!E8</f>
        <v/>
      </c>
      <c r="F15" s="33">
        <f>-Schedules!F8</f>
        <v/>
      </c>
      <c r="G15" s="33">
        <f>-Schedules!G8</f>
        <v/>
      </c>
      <c r="H15" s="33">
        <f>-Schedules!H8</f>
        <v/>
      </c>
      <c r="I15" s="33">
        <f>-Schedules!I8</f>
        <v/>
      </c>
      <c r="J15" s="33">
        <f>-Schedules!J8</f>
        <v/>
      </c>
    </row>
    <row r="16" ht="15" customHeight="1" s="22">
      <c r="A16" s="27" t="inlineStr">
        <is>
          <t>Other investing, net</t>
        </is>
      </c>
      <c r="B16" s="31">
        <f>B17-B15</f>
        <v/>
      </c>
      <c r="C16" s="31">
        <f>C17-C15</f>
        <v/>
      </c>
      <c r="D16" s="31">
        <f>D17-D15</f>
        <v/>
      </c>
      <c r="E16" s="31">
        <f>E17-E15</f>
        <v/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</row>
    <row r="17" ht="15" customHeight="1" s="22">
      <c r="A17" s="25" t="inlineStr">
        <is>
          <t>Cash from investing activities</t>
        </is>
      </c>
      <c r="B17" s="36" t="n">
        <v>-22680</v>
      </c>
      <c r="C17" s="36" t="n">
        <v>-96970</v>
      </c>
      <c r="D17" s="36" t="n">
        <v>-72599</v>
      </c>
      <c r="E17" s="36" t="n">
        <v>-139500</v>
      </c>
      <c r="F17" s="32">
        <f>SUM(F15:F16)</f>
        <v/>
      </c>
      <c r="G17" s="32">
        <f>SUM(G15:G16)</f>
        <v/>
      </c>
      <c r="H17" s="32">
        <f>SUM(H15:H16)</f>
        <v/>
      </c>
      <c r="I17" s="32">
        <f>SUM(I15:I16)</f>
        <v/>
      </c>
      <c r="J17" s="32">
        <f>SUM(J15:J16)</f>
        <v/>
      </c>
    </row>
    <row r="18" ht="15" customHeight="1" s="22">
      <c r="A18" s="25" t="inlineStr">
        <is>
          <t>Financing activities</t>
        </is>
      </c>
    </row>
    <row r="19" ht="15" customHeight="1" s="22">
      <c r="A19" s="27" t="inlineStr">
        <is>
          <t>Dividends paid</t>
        </is>
      </c>
      <c r="B19" s="29" t="n">
        <v>-19800</v>
      </c>
      <c r="C19" s="29" t="n">
        <v>-21771</v>
      </c>
      <c r="D19" s="29" t="n">
        <v>-24082</v>
      </c>
      <c r="E19" s="29" t="n">
        <v>-26445</v>
      </c>
      <c r="F19" s="31">
        <f>-IS!F16*Assumptions!F19</f>
        <v/>
      </c>
      <c r="G19" s="31">
        <f>-IS!G16*Assumptions!G19</f>
        <v/>
      </c>
      <c r="H19" s="31">
        <f>-IS!H16*Assumptions!H19</f>
        <v/>
      </c>
      <c r="I19" s="31">
        <f>-IS!I16*Assumptions!I19</f>
        <v/>
      </c>
      <c r="J19" s="31">
        <f>-IS!J16*Assumptions!J19</f>
        <v/>
      </c>
    </row>
    <row r="20" ht="15" customHeight="1" s="22">
      <c r="A20" s="27" t="inlineStr">
        <is>
          <t>Share repurchases</t>
        </is>
      </c>
      <c r="B20" s="29" t="n">
        <v>-22245</v>
      </c>
      <c r="C20" s="29" t="n">
        <v>-17254</v>
      </c>
      <c r="D20" s="29" t="n">
        <v>-18420</v>
      </c>
      <c r="E20" s="29" t="n">
        <v>-22271</v>
      </c>
      <c r="F20" s="31">
        <f>-Assumptions!F20</f>
        <v/>
      </c>
      <c r="G20" s="31">
        <f>-Assumptions!G20</f>
        <v/>
      </c>
      <c r="H20" s="31">
        <f>-Assumptions!H20</f>
        <v/>
      </c>
      <c r="I20" s="31">
        <f>-Assumptions!I20</f>
        <v/>
      </c>
      <c r="J20" s="31">
        <f>-Assumptions!J20</f>
        <v/>
      </c>
    </row>
    <row r="21" ht="15" customHeight="1" s="22">
      <c r="A21" s="27" t="inlineStr">
        <is>
          <t>Debt issuance / (repayment)</t>
        </is>
      </c>
      <c r="F21" s="33">
        <f>Schedules!F18-Schedules!E18</f>
        <v/>
      </c>
      <c r="G21" s="33">
        <f>Schedules!G18-Schedules!F18</f>
        <v/>
      </c>
      <c r="H21" s="33">
        <f>Schedules!H18-Schedules!G18</f>
        <v/>
      </c>
      <c r="I21" s="33">
        <f>Schedules!I18-Schedules!H18</f>
        <v/>
      </c>
      <c r="J21" s="33">
        <f>Schedules!J18-Schedules!I18</f>
        <v/>
      </c>
    </row>
    <row r="22" ht="15" customHeight="1" s="22">
      <c r="A22" s="27" t="inlineStr">
        <is>
          <t>Other financing, net</t>
        </is>
      </c>
      <c r="B22" s="31">
        <f>B23-SUM(B19:B21)</f>
        <v/>
      </c>
      <c r="C22" s="31">
        <f>C23-SUM(C19:C21)</f>
        <v/>
      </c>
      <c r="D22" s="31">
        <f>D23-SUM(D19:D21)</f>
        <v/>
      </c>
      <c r="E22" s="31">
        <f>E23-SUM(E19:E21)</f>
        <v/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</row>
    <row r="23" ht="15" customHeight="1" s="22">
      <c r="A23" s="25" t="inlineStr">
        <is>
          <t>Cash from financing activities</t>
        </is>
      </c>
      <c r="B23" s="36" t="n">
        <v>-43935</v>
      </c>
      <c r="C23" s="36" t="n">
        <v>-37757</v>
      </c>
      <c r="D23" s="36" t="n">
        <v>-51699</v>
      </c>
      <c r="E23" s="36" t="n">
        <v>-52546</v>
      </c>
      <c r="F23" s="32">
        <f>SUM(F19:F22)</f>
        <v/>
      </c>
      <c r="G23" s="32">
        <f>SUM(G19:G22)</f>
        <v/>
      </c>
      <c r="H23" s="32">
        <f>SUM(H19:H22)</f>
        <v/>
      </c>
      <c r="I23" s="32">
        <f>SUM(I19:I22)</f>
        <v/>
      </c>
      <c r="J23" s="32">
        <f>SUM(J19:J22)</f>
        <v/>
      </c>
    </row>
    <row r="24" ht="15" customHeight="1" s="22">
      <c r="A24" s="27" t="inlineStr">
        <is>
          <t>Effect of FX &amp; other</t>
        </is>
      </c>
      <c r="B24" s="31">
        <f>B28-B27-B13-B17-B23</f>
        <v/>
      </c>
      <c r="C24" s="31">
        <f>C28-C27-C13-C17-C23</f>
        <v/>
      </c>
      <c r="D24" s="31">
        <f>D28-D27-D13-D17-D23</f>
        <v/>
      </c>
      <c r="E24" s="31">
        <f>E28-E27-E13-E17-E23</f>
        <v/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</row>
    <row r="25" ht="15" customHeight="1" s="22">
      <c r="A25" s="25" t="inlineStr">
        <is>
          <t>Net change in cash</t>
        </is>
      </c>
      <c r="B25" s="32">
        <f>B13+B17+B23+B24</f>
        <v/>
      </c>
      <c r="C25" s="32">
        <f>C13+C17+C23+C24</f>
        <v/>
      </c>
      <c r="D25" s="32">
        <f>D13+D17+D23+D24</f>
        <v/>
      </c>
      <c r="E25" s="32">
        <f>E13+E17+E23+E24</f>
        <v/>
      </c>
      <c r="F25" s="32">
        <f>F13+F17+F23+F24</f>
        <v/>
      </c>
      <c r="G25" s="32">
        <f>G13+G17+G23+G24</f>
        <v/>
      </c>
      <c r="H25" s="32">
        <f>H13+H17+H23+H24</f>
        <v/>
      </c>
      <c r="I25" s="32">
        <f>I13+I17+I23+I24</f>
        <v/>
      </c>
      <c r="J25" s="32">
        <f>J13+J17+J23+J24</f>
        <v/>
      </c>
    </row>
    <row r="27" ht="15" customHeight="1" s="22">
      <c r="A27" s="27" t="inlineStr">
        <is>
          <t>Beginning cash</t>
        </is>
      </c>
      <c r="B27" s="29" t="n">
        <v>13931</v>
      </c>
      <c r="C27" s="31">
        <f>B28</f>
        <v/>
      </c>
      <c r="D27" s="31">
        <f>C28</f>
        <v/>
      </c>
      <c r="E27" s="31">
        <f>D28</f>
        <v/>
      </c>
      <c r="F27" s="31">
        <f>E28</f>
        <v/>
      </c>
      <c r="G27" s="31">
        <f>F28</f>
        <v/>
      </c>
      <c r="H27" s="31">
        <f>G28</f>
        <v/>
      </c>
      <c r="I27" s="31">
        <f>H28</f>
        <v/>
      </c>
      <c r="J27" s="31">
        <f>I28</f>
        <v/>
      </c>
    </row>
    <row r="28" ht="15" customHeight="1" s="22">
      <c r="A28" s="25" t="inlineStr">
        <is>
          <t>Ending cash</t>
        </is>
      </c>
      <c r="B28" s="39">
        <f>BS!B6</f>
        <v/>
      </c>
      <c r="C28" s="39">
        <f>BS!C6</f>
        <v/>
      </c>
      <c r="D28" s="39">
        <f>BS!D6</f>
        <v/>
      </c>
      <c r="E28" s="39">
        <f>BS!E6</f>
        <v/>
      </c>
      <c r="F28" s="32">
        <f>F27+F25</f>
        <v/>
      </c>
      <c r="G28" s="32">
        <f>G27+G25</f>
        <v/>
      </c>
      <c r="H28" s="32">
        <f>H27+H25</f>
        <v/>
      </c>
      <c r="I28" s="32">
        <f>I27+I25</f>
        <v/>
      </c>
      <c r="J28" s="32">
        <f>J27+J25</f>
        <v/>
      </c>
    </row>
    <row r="30" ht="15" customHeight="1" s="22">
      <c r="A30" s="24" t="inlineStr">
        <is>
          <t>Source (historicals): Microsoft Form 10-K filings, SEC XBRL (via stock-data get_financials). Historical subtotals are reported; 'other' lines are reported subtotals less reported components; FY2023 beginning cash is FY2022 reported cash. Historical D&amp;A and working-capital detail are not reported by the data source.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1" min="1" max="1"/>
    <col width="16" customWidth="1" style="21" min="2" max="2"/>
  </cols>
  <sheetData>
    <row r="1" ht="15" customHeight="1" s="22">
      <c r="A1" s="23" t="inlineStr">
        <is>
          <t>Microsoft Corp. (MSFT) - Valuation Snapshot</t>
        </is>
      </c>
    </row>
    <row r="2" ht="15" customHeight="1" s="22">
      <c r="A2" s="24" t="inlineStr">
        <is>
          <t>USD millions unless stated</t>
        </is>
      </c>
    </row>
    <row r="4" ht="15" customHeight="1" s="22">
      <c r="A4" s="27" t="inlineStr">
        <is>
          <t>Share price ($)</t>
        </is>
      </c>
      <c r="B4" s="40" t="n">
        <v>543.45</v>
      </c>
    </row>
    <row r="5" ht="15" customHeight="1" s="22">
      <c r="A5" s="27" t="inlineStr">
        <is>
          <t>Diluted shares (mm)</t>
        </is>
      </c>
      <c r="B5" s="29">
        <f>IS!E22</f>
        <v/>
      </c>
    </row>
    <row r="6" ht="15" customHeight="1" s="22">
      <c r="A6" s="25" t="inlineStr">
        <is>
          <t>Market capitalization</t>
        </is>
      </c>
      <c r="B6" s="37">
        <f>B4*B5</f>
        <v/>
      </c>
    </row>
    <row r="7" ht="15" customHeight="1" s="22">
      <c r="A7" s="27" t="inlineStr">
        <is>
          <t>Total debt (FY2026A)</t>
        </is>
      </c>
      <c r="B7" s="33">
        <f>BS!E21+BS!E24</f>
        <v/>
      </c>
    </row>
    <row r="8" ht="15" customHeight="1" s="22">
      <c r="A8" s="27" t="inlineStr">
        <is>
          <t>Cash &amp; short-term investments (FY2026A)</t>
        </is>
      </c>
      <c r="B8" s="33">
        <f>BS!E6+BS!E7</f>
        <v/>
      </c>
    </row>
    <row r="9" ht="15" customHeight="1" s="22">
      <c r="A9" s="27" t="inlineStr">
        <is>
          <t>Net debt / (net cash)</t>
        </is>
      </c>
      <c r="B9" s="31">
        <f>B7-B8</f>
        <v/>
      </c>
    </row>
    <row r="10" ht="15" customHeight="1" s="22">
      <c r="A10" s="25" t="inlineStr">
        <is>
          <t>Enterprise value</t>
        </is>
      </c>
      <c r="B10" s="37">
        <f>B6+B9</f>
        <v/>
      </c>
    </row>
    <row r="12" ht="15" customHeight="1" s="22">
      <c r="A12" s="27" t="inlineStr">
        <is>
          <t>Revenue FY2026A</t>
        </is>
      </c>
      <c r="B12" s="33">
        <f>IS!E6</f>
        <v/>
      </c>
    </row>
    <row r="13" ht="15" customHeight="1" s="22">
      <c r="A13" s="27" t="inlineStr">
        <is>
          <t>Revenue FY2027E</t>
        </is>
      </c>
      <c r="B13" s="33">
        <f>IS!F6</f>
        <v/>
      </c>
    </row>
    <row r="14" ht="15" customHeight="1" s="22">
      <c r="A14" s="27" t="inlineStr">
        <is>
          <t>EV / Revenue FY2026A</t>
        </is>
      </c>
      <c r="B14" s="41">
        <f>IF(B12=0,0,B10/B12)</f>
        <v/>
      </c>
    </row>
    <row r="15" ht="15" customHeight="1" s="22">
      <c r="A15" s="27" t="inlineStr">
        <is>
          <t>EV / Revenue FY2027E</t>
        </is>
      </c>
      <c r="B15" s="41">
        <f>IF(B13=0,0,B10/B13)</f>
        <v/>
      </c>
    </row>
    <row r="17" ht="15" customHeight="1" s="22">
      <c r="A17" s="24" t="inlineStr">
        <is>
          <t>Share price: stock-data get_quote, MSFT, fetched 2026-10-14 03:54 UTC. Diluted shares: weighted-average diluted shares from the latest Form 10-K (SEC XBRL via stock-data get_financials).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2026-10-14T03:57:31Z</dcterms:created>
  <dcterms:modified xmlns:dcterms="http://purl.org/dc/terms/" xmlns:xsi="http://www.w3.org/2001/XMLSchema-instance" xsi:type="dcterms:W3CDTF">2026-10-15T02:06:50Z</dcterms:modified>
  <cp:revision>0</cp:revision>
</cp:coreProperties>
</file>