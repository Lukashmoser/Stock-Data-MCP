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IS" sheetId="2" state="visible" r:id="rId4"/>
    <sheet name="BS" sheetId="3" state="visible" r:id="rId5"/>
    <sheet name="Schedules" sheetId="4" state="visible" r:id="rId6"/>
    <sheet name="CFS" sheetId="5" state="visible" r:id="rId7"/>
    <sheet name="Valuati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<sst xmlns="http://schemas.openxmlformats.org/spreadsheetml/2006/main" count="172" uniqueCount="122">
  <si>
    <t xml:space="preserve">Microsoft Corp. (MSFT) - Projection Assumptions</t>
  </si>
  <si>
    <t xml:space="preserve">USD millions unless stated; fiscal years end June 30</t>
  </si>
  <si>
    <t xml:space="preserve">Fiscal year</t>
  </si>
  <si>
    <t xml:space="preserve">FY2023A</t>
  </si>
  <si>
    <t xml:space="preserve">FY2024A</t>
  </si>
  <si>
    <t xml:space="preserve">FY2025A</t>
  </si>
  <si>
    <t xml:space="preserve">FY2026A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</si>
  <si>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</si>
  <si>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</si>
  <si>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</si>
  <si>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</si>
  <si>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</si>
  <si>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Operating drivers (projection years)</t>
  </si>
  <si>
    <t xml:space="preserve">Revenue growth (%)</t>
  </si>
  <si>
    <t xml:space="preserve">Cost of revenue (% of revenue)</t>
  </si>
  <si>
    <t xml:space="preserve">Research &amp; development (% of revenue)</t>
  </si>
  <si>
    <t xml:space="preserve">Sales, marketing, G&amp;A (% of revenue)</t>
  </si>
  <si>
    <t xml:space="preserve">Interest rate on beginning debt (%)</t>
  </si>
  <si>
    <t xml:space="preserve">Other income, net ($mm)</t>
  </si>
  <si>
    <t xml:space="preserve">Effective tax rate (%)</t>
  </si>
  <si>
    <t xml:space="preserve">Receivable days (DSO, on revenue)</t>
  </si>
  <si>
    <t xml:space="preserve">Inventory days (DIO, on cost of revenue)</t>
  </si>
  <si>
    <t xml:space="preserve">Payable days (DPO, on cost of revenue)</t>
  </si>
  <si>
    <t xml:space="preserve">Stock-based comp (% of revenue)</t>
  </si>
  <si>
    <t xml:space="preserve">Capital expenditures (% of revenue)</t>
  </si>
  <si>
    <t xml:space="preserve">D&amp;A (% of beginning net PP&amp;E)</t>
  </si>
  <si>
    <t xml:space="preserve">Dividend payout (% of net income)</t>
  </si>
  <si>
    <t xml:space="preserve">Share repurchases ($mm)</t>
  </si>
  <si>
    <t xml:space="preserve">Net debt issuance / (repayment) ($mm)</t>
  </si>
  <si>
    <t xml:space="preserve">Blue = hard-coded input; black = formula; green = link to another sheet. Historical columns are left blank on this tab; history lives on the statements.</t>
  </si>
  <si>
    <t xml:space="preserve">Microsoft Corp. (MSFT) - Income Statement</t>
  </si>
  <si>
    <t xml:space="preserve">Revenue</t>
  </si>
  <si>
    <t xml:space="preserve">Cost of revenue</t>
  </si>
  <si>
    <t xml:space="preserve">Gross profit</t>
  </si>
  <si>
    <t xml:space="preserve">Research &amp; development</t>
  </si>
  <si>
    <t xml:space="preserve">Sales &amp; marketing, general &amp; administrative</t>
  </si>
  <si>
    <t xml:space="preserve">Operating income</t>
  </si>
  <si>
    <t xml:space="preserve">Interest expense</t>
  </si>
  <si>
    <t xml:space="preserve">Other income (expense), net</t>
  </si>
  <si>
    <t xml:space="preserve">Income before income taxes</t>
  </si>
  <si>
    <t xml:space="preserve">Provision for income taxes</t>
  </si>
  <si>
    <t xml:space="preserve">Net income</t>
  </si>
  <si>
    <t xml:space="preserve">Memo:</t>
  </si>
  <si>
    <t xml:space="preserve">Gross margin (%)</t>
  </si>
  <si>
    <t xml:space="preserve">Operating margin (%)</t>
  </si>
  <si>
    <t xml:space="preserve">Diluted weighted-average shares (mm)</t>
  </si>
  <si>
    <t xml:space="preserve">Diluted EPS ($)</t>
  </si>
  <si>
    <t xml:space="preserve">Source (historicals): Microsoft Form 10-K filings, SEC XBRL company facts (via stock-data get_financials). SG&amp;A = total operating expenses less R&amp;D; other income, net = pretax income less operating income plus interest expense. D&amp;A is embedded in cost of revenue and operating expenses.</t>
  </si>
  <si>
    <t xml:space="preserve">Microsoft Corp. (MSFT) - Balance Sheet</t>
  </si>
  <si>
    <t xml:space="preserve">Assets</t>
  </si>
  <si>
    <t xml:space="preserve">Cash and cash equivalents</t>
  </si>
  <si>
    <t xml:space="preserve">Short-term investments</t>
  </si>
  <si>
    <t xml:space="preserve">Accounts receivable, net</t>
  </si>
  <si>
    <t xml:space="preserve">Inventories</t>
  </si>
  <si>
    <t xml:space="preserve">Other current assets</t>
  </si>
  <si>
    <t xml:space="preserve">Total current assets</t>
  </si>
  <si>
    <t xml:space="preserve">Property and equipment, net</t>
  </si>
  <si>
    <t xml:space="preserve">Goodwill</t>
  </si>
  <si>
    <t xml:space="preserve">Intangible assets, net</t>
  </si>
  <si>
    <t xml:space="preserve">Other long-term assets</t>
  </si>
  <si>
    <t xml:space="preserve">Total assets</t>
  </si>
  <si>
    <t xml:space="preserve">Liabilities</t>
  </si>
  <si>
    <t xml:space="preserve">Accounts payable</t>
  </si>
  <si>
    <t xml:space="preserve">Other current liabilities</t>
  </si>
  <si>
    <t xml:space="preserve">Current portion of long-term debt</t>
  </si>
  <si>
    <t xml:space="preserve">Total current liabilities</t>
  </si>
  <si>
    <t xml:space="preserve">Long-term debt</t>
  </si>
  <si>
    <t xml:space="preserve">Other long-term liabilities</t>
  </si>
  <si>
    <t xml:space="preserve">Total liabilities</t>
  </si>
  <si>
    <t xml:space="preserve">Stockholders' equity</t>
  </si>
  <si>
    <t xml:space="preserve">Retained earnings &amp; other equity</t>
  </si>
  <si>
    <t xml:space="preserve">Total stockholders' equity</t>
  </si>
  <si>
    <t xml:space="preserve">Total liabilities and stockholders' equity</t>
  </si>
  <si>
    <t xml:space="preserve">Checks: total assets less total liabilities &amp; equity</t>
  </si>
  <si>
    <t xml:space="preserve">Source (historicals): Microsoft Form 10-K filings, SEC XBRL (via stock-data get_financials). Historical 'other' lines are reported totals less reported components. Equity is carried in one line because the data source reports total stockholders' equity only.</t>
  </si>
  <si>
    <t xml:space="preserve">Microsoft Corp. (MSFT) - Supporting Schedules</t>
  </si>
  <si>
    <t xml:space="preserve">PP&amp;E roll-forward</t>
  </si>
  <si>
    <t xml:space="preserve">Beginning net PP&amp;E</t>
  </si>
  <si>
    <t xml:space="preserve">Capital expenditures</t>
  </si>
  <si>
    <t xml:space="preserve">Depreciation &amp; amortization</t>
  </si>
  <si>
    <t xml:space="preserve">Ending net PP&amp;E</t>
  </si>
  <si>
    <t xml:space="preserve">Debt schedule</t>
  </si>
  <si>
    <t xml:space="preserve">Beginning total debt</t>
  </si>
  <si>
    <t xml:space="preserve">Net issuance / (repayment)</t>
  </si>
  <si>
    <t xml:space="preserve">Ending total debt</t>
  </si>
  <si>
    <t xml:space="preserve">Historical D&amp;A is not reported by the data source and is left blank. Projected D&amp;A is not broken out of cost of revenue / operating expenses on the IS; it drives PP&amp;E and the cash flow add-back. Current portion of debt is held flat; net issuance flows through long-term debt.</t>
  </si>
  <si>
    <t xml:space="preserve">Microsoft Corp. (MSFT) - Cash Flow Statement</t>
  </si>
  <si>
    <t xml:space="preserve">Operating activities</t>
  </si>
  <si>
    <t xml:space="preserve">Stock-based compensation</t>
  </si>
  <si>
    <t xml:space="preserve">(Increase) / decrease in receivables</t>
  </si>
  <si>
    <t xml:space="preserve">(Increase) / decrease in inventories</t>
  </si>
  <si>
    <t xml:space="preserve">Increase / (decrease) in payables</t>
  </si>
  <si>
    <t xml:space="preserve">Other operating items, net</t>
  </si>
  <si>
    <t xml:space="preserve">Cash from operating activities</t>
  </si>
  <si>
    <t xml:space="preserve">Investing activities</t>
  </si>
  <si>
    <t xml:space="preserve">Other investing, net</t>
  </si>
  <si>
    <t xml:space="preserve">Cash from investing activities</t>
  </si>
  <si>
    <t xml:space="preserve">Financing activities</t>
  </si>
  <si>
    <t xml:space="preserve">Dividends paid</t>
  </si>
  <si>
    <t xml:space="preserve">Share repurchases</t>
  </si>
  <si>
    <t xml:space="preserve">Debt issuance / (repayment)</t>
  </si>
  <si>
    <t xml:space="preserve">Other financing, net</t>
  </si>
  <si>
    <t xml:space="preserve">Cash from financing activities</t>
  </si>
  <si>
    <t xml:space="preserve">Effect of FX &amp; other</t>
  </si>
  <si>
    <t xml:space="preserve">Net change in cash</t>
  </si>
  <si>
    <t xml:space="preserve">Beginning cash</t>
  </si>
  <si>
    <t xml:space="preserve">Ending cash</t>
  </si>
  <si>
    <t xml:space="preserve">Source (historicals): Microsoft Form 10-K filings, SEC XBRL (via stock-data get_financials). Historical subtotals are reported; 'other' lines are reported subtotals less reported components; FY2023 beginning cash is FY2022 reported cash. Historical D&amp;A and working-capital detail are not reported by the data source.</t>
  </si>
  <si>
    <t xml:space="preserve">Microsoft Corp. (MSFT) - Valuation Snapshot</t>
  </si>
  <si>
    <t xml:space="preserve">USD millions unless stated</t>
  </si>
  <si>
    <t xml:space="preserve">Share price ($)</t>
  </si>
  <si>
    <t xml:space="preserve">Diluted shares (mm)</t>
  </si>
  <si>
    <t xml:space="preserve">Market capitalization</t>
  </si>
  <si>
    <t xml:space="preserve">Total debt (FY2026A)</t>
  </si>
  <si>
    <t xml:space="preserve">Cash &amp; short-term investments (FY2026A)</t>
  </si>
  <si>
    <t xml:space="preserve">Net debt / (net cash)</t>
  </si>
  <si>
    <t xml:space="preserve">Enterprise value</t>
  </si>
  <si>
    <t xml:space="preserve">Revenue FY2026A</t>
  </si>
  <si>
    <t xml:space="preserve">Revenue FY2027E</t>
  </si>
  <si>
    <t xml:space="preserve">EV / Revenue FY2026A</t>
  </si>
  <si>
    <t xml:space="preserve">EV / Revenue FY2027E</t>
  </si>
  <si>
    <t xml:space="preserve">Share price: stock-data get_quote, MSFT, fetched 2026-10-14 03:54 UTC. Diluted shares: weighted-average diluted shares from the latest Form 10-K (SEC XBRL via stock-data get_financials).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</si>
</sst>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;\(0.0%\);\-"/>
    <numFmt numFmtId="166" formatCode="#,##0;\(#,##0\);\-"/>
    <numFmt numFmtId="167" formatCode="0.0;\(0.0\);\-"/>
    <numFmt numFmtId="168" formatCode="0.00"/>
    <numFmt numFmtId="169" formatCode="#,##0.00"/>
    <numFmt numFmtId="170" formatCode="0.0\x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10" min="2" style="1" width="12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customFormat="false" ht="15" hidden="false" customHeight="true" outlineLevel="0" collapsed="false">
      <c r="A5" s="4" t="s">
        <v>12</v>
      </c>
    </row>
    <row r="6" customFormat="false" ht="15" hidden="false" customHeight="true" outlineLevel="0" collapsed="false">
      <c r="A6" s="6" t="s">
        <v>13</v>
      </c>
      <c r="F6" s="7" t="n">
        <v>0.15</v>
      </c>
      <c r="G6" s="7" t="n">
        <v>0.14</v>
      </c>
      <c r="H6" s="7" t="n">
        <v>0.13</v>
      </c>
      <c r="I6" s="7" t="n">
        <v>0.12</v>
      </c>
      <c r="J6" s="7" t="n">
        <v>0.11</v>
      </c>
    </row>
    <row r="7" customFormat="false" ht="15" hidden="false" customHeight="true" outlineLevel="0" collapsed="false">
      <c r="A7" s="6" t="s">
        <v>14</v>
      </c>
      <c r="F7" s="7" t="n">
        <v>0.32</v>
      </c>
      <c r="G7" s="7" t="n">
        <v>0.32</v>
      </c>
      <c r="H7" s="7" t="n">
        <v>0.32</v>
      </c>
      <c r="I7" s="7" t="n">
        <v>0.32</v>
      </c>
      <c r="J7" s="7" t="n">
        <v>0.32</v>
      </c>
    </row>
    <row r="8" customFormat="false" ht="15" hidden="false" customHeight="true" outlineLevel="0" collapsed="false">
      <c r="A8" s="6" t="s">
        <v>15</v>
      </c>
      <c r="F8" s="7" t="n">
        <v>0.105</v>
      </c>
      <c r="G8" s="7" t="n">
        <v>0.105</v>
      </c>
      <c r="H8" s="7" t="n">
        <v>0.105</v>
      </c>
      <c r="I8" s="7" t="n">
        <v>0.105</v>
      </c>
      <c r="J8" s="7" t="n">
        <v>0.105</v>
      </c>
    </row>
    <row r="9" customFormat="false" ht="15" hidden="false" customHeight="true" outlineLevel="0" collapsed="false">
      <c r="A9" s="6" t="s">
        <v>16</v>
      </c>
      <c r="F9" s="7" t="n">
        <v>0.1</v>
      </c>
      <c r="G9" s="7" t="n">
        <v>0.1</v>
      </c>
      <c r="H9" s="7" t="n">
        <v>0.1</v>
      </c>
      <c r="I9" s="7" t="n">
        <v>0.1</v>
      </c>
      <c r="J9" s="7" t="n">
        <v>0.1</v>
      </c>
    </row>
    <row r="10" customFormat="false" ht="15" hidden="false" customHeight="true" outlineLevel="0" collapsed="false">
      <c r="A10" s="6" t="s">
        <v>17</v>
      </c>
      <c r="F10" s="7" t="n">
        <v>0.05</v>
      </c>
      <c r="G10" s="7" t="n">
        <v>0.05</v>
      </c>
      <c r="H10" s="7" t="n">
        <v>0.05</v>
      </c>
      <c r="I10" s="7" t="n">
        <v>0.05</v>
      </c>
      <c r="J10" s="7" t="n">
        <v>0.05</v>
      </c>
    </row>
    <row r="11" customFormat="false" ht="15" hidden="false" customHeight="true" outlineLevel="0" collapsed="false">
      <c r="A11" s="6" t="s">
        <v>18</v>
      </c>
      <c r="F11" s="8" t="n">
        <v>3000</v>
      </c>
      <c r="G11" s="8" t="n">
        <v>3000</v>
      </c>
      <c r="H11" s="8" t="n">
        <v>3000</v>
      </c>
      <c r="I11" s="8" t="n">
        <v>3000</v>
      </c>
      <c r="J11" s="8" t="n">
        <v>3000</v>
      </c>
    </row>
    <row r="12" customFormat="false" ht="15" hidden="false" customHeight="true" outlineLevel="0" collapsed="false">
      <c r="A12" s="6" t="s">
        <v>19</v>
      </c>
      <c r="F12" s="7" t="n">
        <v>0.19</v>
      </c>
      <c r="G12" s="7" t="n">
        <v>0.19</v>
      </c>
      <c r="H12" s="7" t="n">
        <v>0.19</v>
      </c>
      <c r="I12" s="7" t="n">
        <v>0.19</v>
      </c>
      <c r="J12" s="7" t="n">
        <v>0.19</v>
      </c>
    </row>
    <row r="13" customFormat="false" ht="15" hidden="false" customHeight="true" outlineLevel="0" collapsed="false">
      <c r="A13" s="6" t="s">
        <v>20</v>
      </c>
      <c r="F13" s="9" t="n">
        <v>89</v>
      </c>
      <c r="G13" s="9" t="n">
        <v>89</v>
      </c>
      <c r="H13" s="9" t="n">
        <v>89</v>
      </c>
      <c r="I13" s="9" t="n">
        <v>89</v>
      </c>
      <c r="J13" s="9" t="n">
        <v>89</v>
      </c>
    </row>
    <row r="14" customFormat="false" ht="15" hidden="false" customHeight="true" outlineLevel="0" collapsed="false">
      <c r="A14" s="6" t="s">
        <v>21</v>
      </c>
      <c r="F14" s="9" t="n">
        <v>5</v>
      </c>
      <c r="G14" s="9" t="n">
        <v>5</v>
      </c>
      <c r="H14" s="9" t="n">
        <v>5</v>
      </c>
      <c r="I14" s="9" t="n">
        <v>5</v>
      </c>
      <c r="J14" s="9" t="n">
        <v>5</v>
      </c>
    </row>
    <row r="15" customFormat="false" ht="15" hidden="false" customHeight="true" outlineLevel="0" collapsed="false">
      <c r="A15" s="6" t="s">
        <v>22</v>
      </c>
      <c r="F15" s="9" t="n">
        <v>145</v>
      </c>
      <c r="G15" s="9" t="n">
        <v>145</v>
      </c>
      <c r="H15" s="9" t="n">
        <v>145</v>
      </c>
      <c r="I15" s="9" t="n">
        <v>145</v>
      </c>
      <c r="J15" s="9" t="n">
        <v>145</v>
      </c>
    </row>
    <row r="16" customFormat="false" ht="15" hidden="false" customHeight="true" outlineLevel="0" collapsed="false">
      <c r="A16" s="6" t="s">
        <v>23</v>
      </c>
      <c r="F16" s="7" t="n">
        <v>0.037</v>
      </c>
      <c r="G16" s="7" t="n">
        <v>0.037</v>
      </c>
      <c r="H16" s="7" t="n">
        <v>0.037</v>
      </c>
      <c r="I16" s="7" t="n">
        <v>0.037</v>
      </c>
      <c r="J16" s="7" t="n">
        <v>0.037</v>
      </c>
    </row>
    <row r="17" customFormat="false" ht="15" hidden="false" customHeight="true" outlineLevel="0" collapsed="false">
      <c r="A17" s="6" t="s">
        <v>24</v>
      </c>
      <c r="F17" s="7" t="n">
        <v>0.33</v>
      </c>
      <c r="G17" s="7" t="n">
        <v>0.31</v>
      </c>
      <c r="H17" s="7" t="n">
        <v>0.29</v>
      </c>
      <c r="I17" s="7" t="n">
        <v>0.27</v>
      </c>
      <c r="J17" s="7" t="n">
        <v>0.25</v>
      </c>
    </row>
    <row r="18" customFormat="false" ht="15" hidden="false" customHeight="true" outlineLevel="0" collapsed="false">
      <c r="A18" s="6" t="s">
        <v>25</v>
      </c>
      <c r="F18" s="7" t="n">
        <v>0.15</v>
      </c>
      <c r="G18" s="7" t="n">
        <v>0.15</v>
      </c>
      <c r="H18" s="7" t="n">
        <v>0.15</v>
      </c>
      <c r="I18" s="7" t="n">
        <v>0.15</v>
      </c>
      <c r="J18" s="7" t="n">
        <v>0.15</v>
      </c>
    </row>
    <row r="19" customFormat="false" ht="15" hidden="false" customHeight="true" outlineLevel="0" collapsed="false">
      <c r="A19" s="6" t="s">
        <v>26</v>
      </c>
      <c r="F19" s="7" t="n">
        <v>0.2</v>
      </c>
      <c r="G19" s="7" t="n">
        <v>0.2</v>
      </c>
      <c r="H19" s="7" t="n">
        <v>0.2</v>
      </c>
      <c r="I19" s="7" t="n">
        <v>0.2</v>
      </c>
      <c r="J19" s="7" t="n">
        <v>0.2</v>
      </c>
    </row>
    <row r="20" customFormat="false" ht="15" hidden="false" customHeight="true" outlineLevel="0" collapsed="false">
      <c r="A20" s="6" t="s">
        <v>27</v>
      </c>
      <c r="F20" s="8" t="n">
        <v>22000</v>
      </c>
      <c r="G20" s="8" t="n">
        <v>22000</v>
      </c>
      <c r="H20" s="8" t="n">
        <v>22000</v>
      </c>
      <c r="I20" s="8" t="n">
        <v>22000</v>
      </c>
      <c r="J20" s="8" t="n">
        <v>22000</v>
      </c>
    </row>
    <row r="21" customFormat="false" ht="15" hidden="false" customHeight="true" outlineLevel="0" collapsed="false">
      <c r="A21" s="6" t="s">
        <v>28</v>
      </c>
      <c r="F21" s="8" t="n">
        <v>-5000</v>
      </c>
      <c r="G21" s="8" t="n">
        <v>-5000</v>
      </c>
      <c r="H21" s="8" t="n">
        <v>-5000</v>
      </c>
      <c r="I21" s="8" t="n">
        <v>-5000</v>
      </c>
      <c r="J21" s="8" t="n">
        <v>-5000</v>
      </c>
    </row>
    <row r="23" customFormat="false" ht="15" hidden="false" customHeight="true" outlineLevel="0" collapsed="false">
      <c r="A23" s="3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10" min="2" style="1" width="12"/>
  </cols>
  <sheetData>
    <row r="1" customFormat="false" ht="15" hidden="false" customHeight="true" outlineLevel="0" collapsed="false">
      <c r="A1" s="2" t="s">
        <v>30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6" customFormat="false" ht="15" hidden="false" customHeight="true" outlineLevel="0" collapsed="false">
      <c r="A6" s="6" t="s">
        <v>31</v>
      </c>
      <c r="B6" s="8" t="n">
        <v>211915</v>
      </c>
      <c r="C6" s="8" t="n">
        <v>245122</v>
      </c>
      <c r="D6" s="8" t="n">
        <v>304262</v>
      </c>
      <c r="E6" s="8" t="n">
        <v>331839</v>
      </c>
      <c r="F6" s="10" t="n">
        <f aca="false">E6*(1+Assumptions!F6)</f>
        <v>381614.85</v>
      </c>
      <c r="G6" s="10" t="n">
        <f aca="false">F6*(1+Assumptions!G6)</f>
        <v>435040.929</v>
      </c>
      <c r="H6" s="10" t="n">
        <v>491596.24977</v>
      </c>
      <c r="I6" s="10" t="n">
        <f aca="false">H6*(1+Assumptions!I6)</f>
        <v>550587.7997424</v>
      </c>
      <c r="J6" s="10" t="n">
        <f aca="false">I6*(1+Assumptions!J6)</f>
        <v>611152.457714064</v>
      </c>
    </row>
    <row r="7" customFormat="false" ht="15" hidden="false" customHeight="true" outlineLevel="0" collapsed="false">
      <c r="A7" s="6" t="s">
        <v>32</v>
      </c>
      <c r="B7" s="8" t="n">
        <v>65863</v>
      </c>
      <c r="C7" s="8" t="n">
        <v>74114</v>
      </c>
      <c r="D7" s="8" t="n">
        <v>87831</v>
      </c>
      <c r="E7" s="8" t="n">
        <v>106374</v>
      </c>
      <c r="F7" s="10" t="n">
        <f aca="false">F6*Assumptions!F7</f>
        <v>122116.752</v>
      </c>
      <c r="G7" s="10" t="n">
        <f aca="false">G6*Assumptions!G7</f>
        <v>139213.09728</v>
      </c>
      <c r="H7" s="10" t="n">
        <f aca="false">H6*Assumptions!H7</f>
        <v>157310.7999264</v>
      </c>
      <c r="I7" s="10" t="n">
        <f aca="false">I6*Assumptions!I7</f>
        <v>176188.095917568</v>
      </c>
      <c r="J7" s="10" t="n">
        <f aca="false">J6*Assumptions!J7</f>
        <v>195568.786468501</v>
      </c>
    </row>
    <row r="8" customFormat="false" ht="15" hidden="false" customHeight="true" outlineLevel="0" collapsed="false">
      <c r="A8" s="4" t="s">
        <v>33</v>
      </c>
      <c r="B8" s="11" t="n">
        <f aca="false">B6-B7</f>
        <v>146052</v>
      </c>
      <c r="C8" s="11" t="n">
        <f aca="false">C6-C7</f>
        <v>171008</v>
      </c>
      <c r="D8" s="11" t="n">
        <f aca="false">D6-D7</f>
        <v>216431</v>
      </c>
      <c r="E8" s="11" t="n">
        <f aca="false">E6-E7</f>
        <v>225465</v>
      </c>
      <c r="F8" s="11" t="n">
        <f aca="false">F6-F7</f>
        <v>259498.098</v>
      </c>
      <c r="G8" s="11" t="n">
        <f aca="false">G6-G7</f>
        <v>295827.83172</v>
      </c>
      <c r="H8" s="11" t="n">
        <f aca="false">H6-H7</f>
        <v>334285.4498436</v>
      </c>
      <c r="I8" s="11" t="n">
        <f aca="false">I6-I7</f>
        <v>374399.703824832</v>
      </c>
      <c r="J8" s="11" t="n">
        <f aca="false">J6-J7</f>
        <v>415583.671245564</v>
      </c>
    </row>
    <row r="9" customFormat="false" ht="15" hidden="false" customHeight="true" outlineLevel="0" collapsed="false">
      <c r="A9" s="6" t="s">
        <v>34</v>
      </c>
      <c r="B9" s="8" t="n">
        <v>27195</v>
      </c>
      <c r="C9" s="8" t="n">
        <v>29510</v>
      </c>
      <c r="D9" s="8" t="n">
        <v>32488</v>
      </c>
      <c r="E9" s="8" t="n">
        <v>35562</v>
      </c>
      <c r="F9" s="10" t="n">
        <f aca="false">F6*Assumptions!F8</f>
        <v>40069.55925</v>
      </c>
      <c r="G9" s="10" t="n">
        <f aca="false">G6*Assumptions!G8</f>
        <v>45679.297545</v>
      </c>
      <c r="H9" s="10" t="n">
        <f aca="false">H6*Assumptions!H8</f>
        <v>51617.60622585</v>
      </c>
      <c r="I9" s="10" t="n">
        <f aca="false">I6*Assumptions!I8</f>
        <v>57811.718972952</v>
      </c>
      <c r="J9" s="10" t="n">
        <f aca="false">J6*Assumptions!J8</f>
        <v>64171.0080599767</v>
      </c>
    </row>
    <row r="10" customFormat="false" ht="15" hidden="false" customHeight="true" outlineLevel="0" collapsed="false">
      <c r="A10" s="6" t="s">
        <v>35</v>
      </c>
      <c r="B10" s="8" t="n">
        <v>30334</v>
      </c>
      <c r="C10" s="8" t="n">
        <v>32065</v>
      </c>
      <c r="D10" s="8" t="n">
        <v>32877</v>
      </c>
      <c r="E10" s="8" t="n">
        <v>34666</v>
      </c>
      <c r="F10" s="10" t="n">
        <f aca="false">F6*Assumptions!F9</f>
        <v>38161.485</v>
      </c>
      <c r="G10" s="10" t="n">
        <f aca="false">G6*Assumptions!G9</f>
        <v>43504.0929</v>
      </c>
      <c r="H10" s="10" t="n">
        <f aca="false">H6*Assumptions!H9</f>
        <v>49159.624977</v>
      </c>
      <c r="I10" s="10" t="n">
        <f aca="false">I6*Assumptions!I9</f>
        <v>55058.77997424</v>
      </c>
      <c r="J10" s="10" t="n">
        <f aca="false">J6*Assumptions!J9</f>
        <v>61115.2457714064</v>
      </c>
    </row>
    <row r="11" customFormat="false" ht="15" hidden="false" customHeight="true" outlineLevel="0" collapsed="false">
      <c r="A11" s="4" t="s">
        <v>36</v>
      </c>
      <c r="B11" s="11" t="n">
        <f aca="false">B8-B9-B10</f>
        <v>88523</v>
      </c>
      <c r="C11" s="11" t="n">
        <f aca="false">C8-C9-C10</f>
        <v>109433</v>
      </c>
      <c r="D11" s="11" t="n">
        <f aca="false">D8-D9-D10</f>
        <v>151066</v>
      </c>
      <c r="E11" s="11" t="n">
        <f aca="false">E8-E9-E10</f>
        <v>155237</v>
      </c>
      <c r="F11" s="11" t="n">
        <f aca="false">F8-F9-F10</f>
        <v>181267.05375</v>
      </c>
      <c r="G11" s="11" t="n">
        <f aca="false">G8-G9-G10</f>
        <v>206644.441275</v>
      </c>
      <c r="H11" s="11" t="n">
        <f aca="false">H8-H9-H10</f>
        <v>233508.21864075</v>
      </c>
      <c r="I11" s="11" t="n">
        <f aca="false">I8-I9-I10</f>
        <v>261529.20487764</v>
      </c>
      <c r="J11" s="11" t="n">
        <f aca="false">J8-J9-J10</f>
        <v>290297.41741418</v>
      </c>
    </row>
    <row r="12" customFormat="false" ht="15" hidden="false" customHeight="true" outlineLevel="0" collapsed="false">
      <c r="A12" s="6" t="s">
        <v>37</v>
      </c>
      <c r="B12" s="8" t="n">
        <v>1968</v>
      </c>
      <c r="C12" s="8" t="n">
        <v>2935</v>
      </c>
      <c r="D12" s="8" t="n">
        <v>2385</v>
      </c>
      <c r="E12" s="8" t="n">
        <v>3051</v>
      </c>
      <c r="F12" s="10" t="n">
        <f aca="false">(BS!E21+BS!E24)*Assumptions!F10</f>
        <v>2014.7</v>
      </c>
      <c r="G12" s="10" t="n">
        <f aca="false">(BS!F21+BS!F24)*Assumptions!G10</f>
        <v>1764.7</v>
      </c>
      <c r="H12" s="10" t="n">
        <f aca="false">(BS!G21+BS!G24)*Assumptions!H10</f>
        <v>1514.7</v>
      </c>
      <c r="I12" s="10" t="n">
        <f aca="false">(BS!H21+BS!H24)*Assumptions!I10</f>
        <v>1264.7</v>
      </c>
      <c r="J12" s="10" t="n">
        <f aca="false">(BS!I21+BS!I24)*Assumptions!J10</f>
        <v>1014.7</v>
      </c>
    </row>
    <row r="13" customFormat="false" ht="15" hidden="false" customHeight="true" outlineLevel="0" collapsed="false">
      <c r="A13" s="6" t="s">
        <v>38</v>
      </c>
      <c r="B13" s="8" t="n">
        <v>2756</v>
      </c>
      <c r="C13" s="8" t="n">
        <v>1289</v>
      </c>
      <c r="D13" s="8" t="n">
        <v>-2516</v>
      </c>
      <c r="E13" s="8" t="n">
        <v>13748</v>
      </c>
      <c r="F13" s="12" t="n">
        <f aca="false">Assumptions!F11</f>
        <v>3000</v>
      </c>
      <c r="G13" s="12" t="n">
        <f aca="false">Assumptions!G11</f>
        <v>3000</v>
      </c>
      <c r="H13" s="12" t="n">
        <f aca="false">Assumptions!H11</f>
        <v>3000</v>
      </c>
      <c r="I13" s="12" t="n">
        <f aca="false">Assumptions!I11</f>
        <v>3000</v>
      </c>
      <c r="J13" s="12" t="n">
        <f aca="false">Assumptions!J11</f>
        <v>3000</v>
      </c>
    </row>
    <row r="14" customFormat="false" ht="15" hidden="false" customHeight="true" outlineLevel="0" collapsed="false">
      <c r="A14" s="4" t="s">
        <v>39</v>
      </c>
      <c r="B14" s="11" t="n">
        <f aca="false">B11-B12+B13</f>
        <v>89311</v>
      </c>
      <c r="C14" s="11" t="n">
        <f aca="false">C11-C12+C13</f>
        <v>107787</v>
      </c>
      <c r="D14" s="11" t="n">
        <f aca="false">D11-D12+D13</f>
        <v>146165</v>
      </c>
      <c r="E14" s="11" t="n">
        <f aca="false">E11-E12+E13</f>
        <v>165934</v>
      </c>
      <c r="F14" s="11" t="n">
        <f aca="false">F11-F12+F13</f>
        <v>182252.35375</v>
      </c>
      <c r="G14" s="11" t="n">
        <f aca="false">G11-G12+G13</f>
        <v>207879.741275</v>
      </c>
      <c r="H14" s="11" t="n">
        <f aca="false">H11-H12+H13</f>
        <v>234993.51864075</v>
      </c>
      <c r="I14" s="11" t="n">
        <f aca="false">I11-I12+I13</f>
        <v>263264.50487764</v>
      </c>
      <c r="J14" s="11" t="n">
        <f aca="false">J11-J12+J13</f>
        <v>292282.71741418</v>
      </c>
    </row>
    <row r="15" customFormat="false" ht="15" hidden="false" customHeight="true" outlineLevel="0" collapsed="false">
      <c r="A15" s="6" t="s">
        <v>40</v>
      </c>
      <c r="B15" s="8" t="n">
        <v>16950</v>
      </c>
      <c r="C15" s="8" t="n">
        <v>19651</v>
      </c>
      <c r="D15" s="8" t="n">
        <v>21795</v>
      </c>
      <c r="E15" s="8" t="n">
        <v>32185</v>
      </c>
      <c r="F15" s="10" t="n">
        <f aca="false">F14*Assumptions!F12</f>
        <v>34627.9472125</v>
      </c>
      <c r="G15" s="10" t="n">
        <f aca="false">G14*Assumptions!G12</f>
        <v>39497.15084225</v>
      </c>
      <c r="H15" s="10" t="n">
        <f aca="false">H14*Assumptions!H12</f>
        <v>44648.7685417425</v>
      </c>
      <c r="I15" s="10" t="n">
        <f aca="false">I14*Assumptions!I12</f>
        <v>50020.2559267516</v>
      </c>
      <c r="J15" s="10" t="n">
        <f aca="false">J14*Assumptions!J12</f>
        <v>55533.7163086943</v>
      </c>
    </row>
    <row r="16" customFormat="false" ht="15" hidden="false" customHeight="true" outlineLevel="0" collapsed="false">
      <c r="A16" s="4" t="s">
        <v>41</v>
      </c>
      <c r="B16" s="11" t="n">
        <f aca="false">B14-B15</f>
        <v>72361</v>
      </c>
      <c r="C16" s="11" t="n">
        <f aca="false">C14-C15</f>
        <v>88136</v>
      </c>
      <c r="D16" s="11" t="n">
        <f aca="false">D14-D15</f>
        <v>124370</v>
      </c>
      <c r="E16" s="11" t="n">
        <f aca="false">E14-E15</f>
        <v>133749</v>
      </c>
      <c r="F16" s="11" t="n">
        <f aca="false">F14-F15</f>
        <v>147624.4065375</v>
      </c>
      <c r="G16" s="11" t="n">
        <f aca="false">G14-G15</f>
        <v>168382.59043275</v>
      </c>
      <c r="H16" s="11" t="n">
        <f aca="false">H14-H15</f>
        <v>190344.750099007</v>
      </c>
      <c r="I16" s="11" t="n">
        <f aca="false">I14-I15</f>
        <v>213244.248950888</v>
      </c>
      <c r="J16" s="11" t="n">
        <f aca="false">J14-J15</f>
        <v>236749.001105486</v>
      </c>
    </row>
    <row r="17" customFormat="false" ht="15" hidden="false" customHeight="true" outlineLevel="0" collapsed="false">
      <c r="A17" s="6" t="s">
        <v>42</v>
      </c>
    </row>
    <row r="18" customFormat="false" ht="15" hidden="false" customHeight="true" outlineLevel="0" collapsed="false">
      <c r="A18" s="6" t="s">
        <v>43</v>
      </c>
      <c r="B18" s="13" t="n">
        <f aca="false">IF(B6=0,0,B8/B6)</f>
        <v>0.68920085883491</v>
      </c>
      <c r="C18" s="13" t="n">
        <f aca="false">IF(C6=0,0,C8/C6)</f>
        <v>0.697644438279714</v>
      </c>
      <c r="D18" s="13" t="n">
        <f aca="false">IF(D6=0,0,D8/D6)</f>
        <v>0.711331023920174</v>
      </c>
      <c r="E18" s="13" t="n">
        <f aca="false">IF(E6=0,0,E8/E6)</f>
        <v>0.679440933705803</v>
      </c>
      <c r="F18" s="13" t="n">
        <f aca="false">IF(F6=0,0,F8/F6)</f>
        <v>0.68</v>
      </c>
      <c r="G18" s="13" t="n">
        <f aca="false">IF(G6=0,0,G8/G6)</f>
        <v>0.68</v>
      </c>
      <c r="H18" s="13" t="n">
        <f aca="false">IF(H6=0,0,H8/H6)</f>
        <v>0.68</v>
      </c>
      <c r="I18" s="13" t="n">
        <f aca="false">IF(I6=0,0,I8/I6)</f>
        <v>0.68</v>
      </c>
      <c r="J18" s="13" t="n">
        <f aca="false">IF(J6=0,0,J8/J6)</f>
        <v>0.68</v>
      </c>
    </row>
    <row r="19" customFormat="false" ht="15" hidden="false" customHeight="true" outlineLevel="0" collapsed="false">
      <c r="A19" s="6" t="s">
        <v>44</v>
      </c>
      <c r="B19" s="13" t="n">
        <f aca="false">IF(B6=0,0,B11/B6)</f>
        <v>0.417728806361041</v>
      </c>
      <c r="C19" s="13" t="n">
        <f aca="false">IF(C6=0,0,C11/C6)</f>
        <v>0.446442995732737</v>
      </c>
      <c r="D19" s="13" t="n">
        <f aca="false">IF(D6=0,0,D11/D6)</f>
        <v>0.496499727208787</v>
      </c>
      <c r="E19" s="13" t="n">
        <f aca="false">IF(E6=0,0,E11/E6)</f>
        <v>0.467808184089272</v>
      </c>
      <c r="F19" s="13" t="n">
        <f aca="false">IF(F6=0,0,F11/F6)</f>
        <v>0.475</v>
      </c>
      <c r="G19" s="13" t="n">
        <f aca="false">IF(G6=0,0,G11/G6)</f>
        <v>0.475</v>
      </c>
      <c r="H19" s="13" t="n">
        <f aca="false">IF(H6=0,0,H11/H6)</f>
        <v>0.475</v>
      </c>
      <c r="I19" s="13" t="n">
        <f aca="false">IF(I6=0,0,I11/I6)</f>
        <v>0.475</v>
      </c>
      <c r="J19" s="13" t="n">
        <f aca="false">IF(J6=0,0,J11/J6)</f>
        <v>0.475</v>
      </c>
    </row>
    <row r="20" customFormat="false" ht="15" hidden="false" customHeight="true" outlineLevel="0" collapsed="false">
      <c r="A20" s="6" t="s">
        <v>13</v>
      </c>
      <c r="C20" s="13" t="n">
        <f aca="false">IF(B6=0,0,C6/B6-1)</f>
        <v>0.156699620130713</v>
      </c>
      <c r="D20" s="13" t="n">
        <f aca="false">IF(C6=0,0,D6/C6-1)</f>
        <v>0.241267613678087</v>
      </c>
      <c r="E20" s="13" t="n">
        <f aca="false">IF(D6=0,0,E6/D6-1)</f>
        <v>0.0906357021251421</v>
      </c>
      <c r="F20" s="13" t="n">
        <f aca="false">IF(E6=0,0,F6/E6-1)</f>
        <v>0.15</v>
      </c>
      <c r="G20" s="13" t="n">
        <f aca="false">IF(F6=0,0,G6/F6-1)</f>
        <v>0.14</v>
      </c>
      <c r="H20" s="13" t="n">
        <f aca="false">IF(G6=0,0,H6/G6-1)</f>
        <v>0.13</v>
      </c>
      <c r="I20" s="13" t="n">
        <f aca="false">IF(H6=0,0,I6/H6-1)</f>
        <v>0.12</v>
      </c>
      <c r="J20" s="13" t="n">
        <f aca="false">IF(I6=0,0,J6/I6-1)</f>
        <v>0.11</v>
      </c>
    </row>
    <row r="22" customFormat="false" ht="15" hidden="false" customHeight="true" outlineLevel="0" collapsed="false">
      <c r="A22" s="6" t="s">
        <v>45</v>
      </c>
      <c r="B22" s="8" t="n">
        <v>7472</v>
      </c>
      <c r="C22" s="8" t="n">
        <v>7469</v>
      </c>
      <c r="D22" s="8" t="n">
        <v>7465</v>
      </c>
      <c r="E22" s="8" t="n">
        <v>7453</v>
      </c>
      <c r="F22" s="10" t="n">
        <f aca="false">E22</f>
        <v>7453</v>
      </c>
      <c r="G22" s="10" t="n">
        <f aca="false">F22</f>
        <v>7453</v>
      </c>
      <c r="H22" s="10" t="n">
        <f aca="false">G22</f>
        <v>7453</v>
      </c>
      <c r="I22" s="10" t="n">
        <f aca="false">H22</f>
        <v>7453</v>
      </c>
      <c r="J22" s="10" t="n">
        <f aca="false">I22</f>
        <v>7453</v>
      </c>
    </row>
    <row r="23" customFormat="false" ht="15" hidden="false" customHeight="true" outlineLevel="0" collapsed="false">
      <c r="A23" s="6" t="s">
        <v>46</v>
      </c>
      <c r="B23" s="14" t="n">
        <f aca="false">IF(B22=0,0,B16/B22)</f>
        <v>9.68428800856531</v>
      </c>
      <c r="C23" s="14" t="n">
        <f aca="false">IF(C22=0,0,C16/C22)</f>
        <v>11.8002409961173</v>
      </c>
      <c r="D23" s="14" t="n">
        <f aca="false">IF(D22=0,0,D16/D22)</f>
        <v>16.6604152712659</v>
      </c>
      <c r="E23" s="14" t="n">
        <f aca="false">IF(E22=0,0,E16/E22)</f>
        <v>17.9456594659869</v>
      </c>
      <c r="F23" s="14" t="n">
        <f aca="false">IF(F22=0,0,F16/F22)</f>
        <v>19.8073804558567</v>
      </c>
      <c r="G23" s="14" t="n">
        <f aca="false">IF(G22=0,0,G16/G22)</f>
        <v>22.5925923027975</v>
      </c>
      <c r="H23" s="14" t="n">
        <f aca="false">IF(H22=0,0,H16/H22)</f>
        <v>25.5393465851345</v>
      </c>
      <c r="I23" s="14" t="n">
        <f aca="false">IF(I22=0,0,I16/I22)</f>
        <v>28.6118675635165</v>
      </c>
      <c r="J23" s="14" t="n">
        <f aca="false">IF(J22=0,0,J16/J22)</f>
        <v>31.7655978942018</v>
      </c>
    </row>
    <row r="25" customFormat="false" ht="15" hidden="false" customHeight="true" outlineLevel="0" collapsed="false">
      <c r="A25" s="3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10" min="2" style="1" width="12"/>
  </cols>
  <sheetData>
    <row r="1" customFormat="false" ht="15" hidden="false" customHeight="true" outlineLevel="0" collapsed="false">
      <c r="A1" s="2" t="s">
        <v>48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customFormat="false" ht="15" hidden="false" customHeight="true" outlineLevel="0" collapsed="false">
      <c r="A5" s="4" t="s">
        <v>49</v>
      </c>
    </row>
    <row r="6" customFormat="false" ht="15" hidden="false" customHeight="true" outlineLevel="0" collapsed="false">
      <c r="A6" s="6" t="s">
        <v>50</v>
      </c>
      <c r="B6" s="8" t="n">
        <v>34704</v>
      </c>
      <c r="C6" s="8" t="n">
        <v>18315</v>
      </c>
      <c r="D6" s="8" t="n">
        <v>30242</v>
      </c>
      <c r="E6" s="8" t="n">
        <v>30242</v>
      </c>
      <c r="F6" s="12" t="n">
        <f aca="false">CFS!F28</f>
        <v>50134.7841252055</v>
      </c>
      <c r="G6" s="12" t="n">
        <f aca="false">CFS!G28</f>
        <v>91412.1293217342</v>
      </c>
      <c r="H6" s="12" t="n">
        <f aca="false">CFS!H28</f>
        <v>155680.92079526</v>
      </c>
      <c r="I6" s="12" t="n">
        <f aca="false">CFS!I28</f>
        <v>244913.305795768</v>
      </c>
      <c r="J6" s="12" t="n">
        <f aca="false">CFS!J28</f>
        <v>422591.016431064</v>
      </c>
    </row>
    <row r="7" customFormat="false" ht="15" hidden="false" customHeight="true" outlineLevel="0" collapsed="false">
      <c r="A7" s="6" t="s">
        <v>51</v>
      </c>
      <c r="B7" s="8" t="n">
        <v>76558</v>
      </c>
      <c r="C7" s="8" t="n">
        <v>57228</v>
      </c>
      <c r="D7" s="8" t="n">
        <v>64323</v>
      </c>
      <c r="E7" s="8" t="n">
        <v>55908</v>
      </c>
      <c r="F7" s="10" t="n">
        <f aca="false">E7</f>
        <v>55908</v>
      </c>
      <c r="G7" s="10" t="n">
        <f aca="false">F7</f>
        <v>55908</v>
      </c>
      <c r="H7" s="10" t="n">
        <f aca="false">G7</f>
        <v>55908</v>
      </c>
      <c r="I7" s="10" t="n">
        <f aca="false">H7</f>
        <v>55908</v>
      </c>
      <c r="J7" s="10" t="n">
        <f aca="false">I7</f>
        <v>55908</v>
      </c>
    </row>
    <row r="8" customFormat="false" ht="15" hidden="false" customHeight="true" outlineLevel="0" collapsed="false">
      <c r="A8" s="6" t="s">
        <v>52</v>
      </c>
      <c r="B8" s="8" t="n">
        <v>48688</v>
      </c>
      <c r="C8" s="8" t="n">
        <v>56924</v>
      </c>
      <c r="D8" s="8" t="n">
        <v>69905</v>
      </c>
      <c r="E8" s="8" t="n">
        <v>80876</v>
      </c>
      <c r="F8" s="10" t="n">
        <f aca="false">IS!F6*Assumptions!F13/365</f>
        <v>93051.2921917808</v>
      </c>
      <c r="G8" s="10" t="n">
        <f aca="false">IS!G6*Assumptions!G13/365</f>
        <v>106078.47309863</v>
      </c>
      <c r="H8" s="10" t="n">
        <f aca="false">IS!H6*Assumptions!H13/365</f>
        <v>119868.674601452</v>
      </c>
      <c r="I8" s="10" t="n">
        <f aca="false">IS!I6*Assumptions!I13/365</f>
        <v>134252.915553626</v>
      </c>
      <c r="J8" s="10" t="n">
        <f aca="false">IS!J6*Assumptions!J13/365</f>
        <v>149020.736264525</v>
      </c>
    </row>
    <row r="9" customFormat="false" ht="15" hidden="false" customHeight="true" outlineLevel="0" collapsed="false">
      <c r="A9" s="6" t="s">
        <v>53</v>
      </c>
      <c r="B9" s="8" t="n">
        <v>2500</v>
      </c>
      <c r="C9" s="8" t="n">
        <v>1246</v>
      </c>
      <c r="D9" s="8" t="n">
        <v>938</v>
      </c>
      <c r="E9" s="8" t="n">
        <v>1397</v>
      </c>
      <c r="F9" s="10" t="n">
        <f aca="false">IS!F7*Assumptions!F14/365</f>
        <v>1672.83221917808</v>
      </c>
      <c r="G9" s="10" t="n">
        <f aca="false">IS!G7*Assumptions!G14/365</f>
        <v>1907.02872986301</v>
      </c>
      <c r="H9" s="10" t="n">
        <f aca="false">IS!H7*Assumptions!H14/365</f>
        <v>2154.94246474521</v>
      </c>
      <c r="I9" s="10" t="n">
        <f aca="false">IS!I7*Assumptions!I14/365</f>
        <v>2413.53556051463</v>
      </c>
      <c r="J9" s="10" t="n">
        <f aca="false">IS!J7*Assumptions!J14/365</f>
        <v>2679.02447217124</v>
      </c>
    </row>
    <row r="10" customFormat="false" ht="15" hidden="false" customHeight="true" outlineLevel="0" collapsed="false">
      <c r="A10" s="6" t="s">
        <v>54</v>
      </c>
      <c r="B10" s="10" t="n">
        <f aca="false">B11-SUM(B6:B9)</f>
        <v>21807</v>
      </c>
      <c r="C10" s="10" t="n">
        <f aca="false">C11-SUM(C6:C9)</f>
        <v>26021</v>
      </c>
      <c r="D10" s="10" t="n">
        <f aca="false">D11-SUM(D6:D9)</f>
        <v>25723</v>
      </c>
      <c r="E10" s="10" t="n">
        <f aca="false">E11-SUM(E6:E9)</f>
        <v>39287</v>
      </c>
      <c r="F10" s="10" t="n">
        <f aca="false">E10</f>
        <v>39287</v>
      </c>
      <c r="G10" s="10" t="n">
        <f aca="false">F10</f>
        <v>39287</v>
      </c>
      <c r="H10" s="10" t="n">
        <f aca="false">G10</f>
        <v>39287</v>
      </c>
      <c r="I10" s="10" t="n">
        <f aca="false">H10</f>
        <v>39287</v>
      </c>
      <c r="J10" s="10" t="n">
        <f aca="false">I10</f>
        <v>39287</v>
      </c>
    </row>
    <row r="11" customFormat="false" ht="15" hidden="false" customHeight="true" outlineLevel="0" collapsed="false">
      <c r="A11" s="4" t="s">
        <v>55</v>
      </c>
      <c r="B11" s="15" t="n">
        <v>184257</v>
      </c>
      <c r="C11" s="15" t="n">
        <v>159734</v>
      </c>
      <c r="D11" s="15" t="n">
        <v>191131</v>
      </c>
      <c r="E11" s="15" t="n">
        <v>207710</v>
      </c>
      <c r="F11" s="11" t="n">
        <f aca="false">SUM(F6:F10)</f>
        <v>240053.908536164</v>
      </c>
      <c r="G11" s="11" t="n">
        <f aca="false">SUM(G6:G7,G9:G10)</f>
        <v>188514.158051597</v>
      </c>
      <c r="H11" s="11" t="n">
        <f aca="false">SUM(H6:H10)</f>
        <v>372899.537861457</v>
      </c>
      <c r="I11" s="11" t="n">
        <f aca="false">SUM(I6:I10)</f>
        <v>476774.756909909</v>
      </c>
      <c r="J11" s="11" t="n">
        <f aca="false">SUM(J6:J10)</f>
        <v>669485.77716776</v>
      </c>
    </row>
    <row r="12" customFormat="false" ht="15" hidden="false" customHeight="true" outlineLevel="0" collapsed="false">
      <c r="A12" s="6" t="s">
        <v>56</v>
      </c>
      <c r="B12" s="8" t="n">
        <v>95641</v>
      </c>
      <c r="C12" s="8" t="n">
        <v>135591</v>
      </c>
      <c r="D12" s="8" t="n">
        <v>204966</v>
      </c>
      <c r="E12" s="8" t="n">
        <v>313076</v>
      </c>
      <c r="F12" s="12" t="n">
        <f aca="false">Schedules!F10</f>
        <v>392047.5005</v>
      </c>
      <c r="G12" s="12" t="n">
        <f aca="false">Schedules!G10</f>
        <v>468103.063415</v>
      </c>
      <c r="H12" s="12" t="n">
        <f aca="false">Schedules!H10</f>
        <v>540450.51633605</v>
      </c>
      <c r="I12" s="12" t="n">
        <f aca="false">Schedules!I10</f>
        <v>608041.644816091</v>
      </c>
      <c r="J12" s="12" t="n">
        <f aca="false">Schedules!J10</f>
        <v>608041.644816091</v>
      </c>
    </row>
    <row r="13" customFormat="false" ht="15" hidden="false" customHeight="true" outlineLevel="0" collapsed="false">
      <c r="A13" s="6" t="s">
        <v>57</v>
      </c>
      <c r="B13" s="8" t="n">
        <v>67886</v>
      </c>
      <c r="C13" s="8" t="n">
        <v>119220</v>
      </c>
      <c r="D13" s="8" t="n">
        <v>119509</v>
      </c>
      <c r="E13" s="8" t="n">
        <v>119651</v>
      </c>
      <c r="F13" s="10" t="n">
        <f aca="false">E13</f>
        <v>119651</v>
      </c>
      <c r="G13" s="10" t="n">
        <f aca="false">F13</f>
        <v>119651</v>
      </c>
      <c r="H13" s="10" t="n">
        <f aca="false">G13</f>
        <v>119651</v>
      </c>
      <c r="I13" s="10" t="n">
        <f aca="false">H13</f>
        <v>119651</v>
      </c>
      <c r="J13" s="10" t="n">
        <f aca="false">I13</f>
        <v>119651</v>
      </c>
    </row>
    <row r="14" customFormat="false" ht="15" hidden="false" customHeight="true" outlineLevel="0" collapsed="false">
      <c r="A14" s="6" t="s">
        <v>58</v>
      </c>
      <c r="B14" s="8" t="n">
        <v>9366</v>
      </c>
      <c r="C14" s="8" t="n">
        <v>27597</v>
      </c>
      <c r="D14" s="8" t="n">
        <v>22604</v>
      </c>
      <c r="E14" s="8" t="n">
        <v>18609</v>
      </c>
      <c r="F14" s="10" t="n">
        <f aca="false">E14</f>
        <v>18609</v>
      </c>
      <c r="G14" s="10" t="n">
        <f aca="false">F14</f>
        <v>18609</v>
      </c>
      <c r="H14" s="10" t="n">
        <f aca="false">G14</f>
        <v>18609</v>
      </c>
      <c r="I14" s="10" t="n">
        <f aca="false">H14</f>
        <v>18609</v>
      </c>
      <c r="J14" s="10" t="n">
        <f aca="false">I14</f>
        <v>18609</v>
      </c>
    </row>
    <row r="15" customFormat="false" ht="15" hidden="false" customHeight="true" outlineLevel="0" collapsed="false">
      <c r="A15" s="6" t="s">
        <v>59</v>
      </c>
      <c r="B15" s="10" t="n">
        <f aca="false">B16-B11-SUM(B12:B14)</f>
        <v>54826</v>
      </c>
      <c r="C15" s="10" t="n">
        <f aca="false">C16-C11-SUM(C12:C14)</f>
        <v>70021</v>
      </c>
      <c r="D15" s="10" t="n">
        <f aca="false">D16-D11-SUM(D12:D14)</f>
        <v>80793</v>
      </c>
      <c r="E15" s="10" t="n">
        <f aca="false">E16-E11-SUM(E12:E14)</f>
        <v>99330</v>
      </c>
      <c r="F15" s="10" t="n">
        <f aca="false">E15</f>
        <v>99330</v>
      </c>
      <c r="G15" s="10" t="n">
        <f aca="false">F15</f>
        <v>99330</v>
      </c>
      <c r="H15" s="10" t="n">
        <f aca="false">G15</f>
        <v>99330</v>
      </c>
      <c r="I15" s="10" t="n">
        <f aca="false">H15</f>
        <v>99330</v>
      </c>
      <c r="J15" s="10" t="n">
        <f aca="false">I15</f>
        <v>99330</v>
      </c>
    </row>
    <row r="16" customFormat="false" ht="15" hidden="false" customHeight="true" outlineLevel="0" collapsed="false">
      <c r="A16" s="4" t="s">
        <v>60</v>
      </c>
      <c r="B16" s="15" t="n">
        <v>411976</v>
      </c>
      <c r="C16" s="15" t="n">
        <v>512163</v>
      </c>
      <c r="D16" s="15" t="n">
        <v>619003</v>
      </c>
      <c r="E16" s="15" t="n">
        <v>758376</v>
      </c>
      <c r="F16" s="11" t="n">
        <f aca="false">F11+SUM(F12:F15)</f>
        <v>869691.409036164</v>
      </c>
      <c r="G16" s="11" t="n">
        <f aca="false">G11+SUM(G12:G15)</f>
        <v>894207.221466597</v>
      </c>
      <c r="H16" s="11" t="n">
        <f aca="false">H11+SUM(H12:H15)</f>
        <v>1150940.05419751</v>
      </c>
      <c r="I16" s="11" t="n">
        <f aca="false">I11+SUM(I12:I15)</f>
        <v>1322406.401726</v>
      </c>
      <c r="J16" s="11" t="n">
        <f aca="false">J11+SUM(J12:J15)</f>
        <v>1515117.42198385</v>
      </c>
    </row>
    <row r="17" customFormat="false" ht="15" hidden="false" customHeight="true" outlineLevel="0" collapsed="false">
      <c r="A17" s="4" t="s">
        <v>61</v>
      </c>
    </row>
    <row r="18" customFormat="false" ht="15" hidden="false" customHeight="true" outlineLevel="0" collapsed="false">
      <c r="A18" s="6" t="s">
        <v>62</v>
      </c>
      <c r="B18" s="8" t="n">
        <v>18095</v>
      </c>
      <c r="C18" s="8" t="n">
        <v>21996</v>
      </c>
      <c r="D18" s="8" t="n">
        <v>27724</v>
      </c>
      <c r="E18" s="8" t="n">
        <v>42416</v>
      </c>
      <c r="F18" s="10" t="n">
        <f aca="false">IS!F7*Assumptions!F15/365</f>
        <v>48512.1343561644</v>
      </c>
      <c r="G18" s="10" t="n">
        <f aca="false">IS!G7*Assumptions!G15/365</f>
        <v>55303.8331660274</v>
      </c>
      <c r="H18" s="10" t="n">
        <f aca="false">IS!H7*Assumptions!H15/365</f>
        <v>62493.331477611</v>
      </c>
      <c r="I18" s="10" t="n">
        <f aca="false">IS!I7*Assumptions!I15/365</f>
        <v>69992.5312549243</v>
      </c>
      <c r="J18" s="10" t="n">
        <f aca="false">IS!J7*Assumptions!J15/365</f>
        <v>77691.709692966</v>
      </c>
    </row>
    <row r="19" customFormat="false" ht="15" hidden="false" customHeight="true" outlineLevel="0" collapsed="false">
      <c r="A19" s="6" t="s">
        <v>63</v>
      </c>
      <c r="B19" s="10" t="n">
        <f aca="false">B22-B18-B21</f>
        <v>80807</v>
      </c>
      <c r="C19" s="10" t="n">
        <f aca="false">C22-C18-C21</f>
        <v>101041</v>
      </c>
      <c r="D19" s="10" t="n">
        <f aca="false">D22-D18-D21</f>
        <v>110495</v>
      </c>
      <c r="E19" s="10" t="n">
        <f aca="false">E22-E18-E21</f>
        <v>117182</v>
      </c>
      <c r="F19" s="10" t="n">
        <f aca="false">E19</f>
        <v>117182</v>
      </c>
      <c r="G19" s="10" t="n">
        <f aca="false">F19</f>
        <v>117182</v>
      </c>
      <c r="H19" s="10" t="n">
        <f aca="false">G19</f>
        <v>117182</v>
      </c>
      <c r="I19" s="10" t="n">
        <f aca="false">H19</f>
        <v>117182</v>
      </c>
      <c r="J19" s="10" t="n">
        <f aca="false">I19</f>
        <v>117182</v>
      </c>
    </row>
    <row r="20" customFormat="false" ht="15" hidden="false" customHeight="true" outlineLevel="0" collapsed="false">
      <c r="A20" s="6"/>
    </row>
    <row r="21" customFormat="false" ht="15" hidden="false" customHeight="true" outlineLevel="0" collapsed="false">
      <c r="A21" s="6" t="s">
        <v>64</v>
      </c>
      <c r="B21" s="8" t="n">
        <v>5247</v>
      </c>
      <c r="C21" s="8" t="n">
        <v>2249</v>
      </c>
      <c r="D21" s="8" t="n">
        <v>2999</v>
      </c>
      <c r="E21" s="8" t="n">
        <v>9227</v>
      </c>
      <c r="F21" s="12" t="n">
        <f aca="false">Schedules!F16</f>
        <v>9227</v>
      </c>
      <c r="G21" s="12" t="n">
        <f aca="false">Schedules!G16</f>
        <v>9227</v>
      </c>
      <c r="H21" s="12" t="n">
        <f aca="false">Schedules!H16</f>
        <v>9227</v>
      </c>
      <c r="I21" s="12" t="n">
        <f aca="false">Schedules!I16</f>
        <v>9227</v>
      </c>
      <c r="J21" s="12" t="n">
        <f aca="false">Schedules!J16</f>
        <v>9227</v>
      </c>
    </row>
    <row r="22" customFormat="false" ht="15" hidden="false" customHeight="true" outlineLevel="0" collapsed="false">
      <c r="A22" s="4" t="s">
        <v>65</v>
      </c>
      <c r="B22" s="15" t="n">
        <v>104149</v>
      </c>
      <c r="C22" s="15" t="n">
        <v>125286</v>
      </c>
      <c r="D22" s="15" t="n">
        <v>141218</v>
      </c>
      <c r="E22" s="15" t="n">
        <v>168825</v>
      </c>
      <c r="F22" s="11" t="n">
        <f aca="false">SUM(F18:F21)</f>
        <v>174921.134356164</v>
      </c>
      <c r="G22" s="11" t="n">
        <f aca="false">SUM(G18:G21)</f>
        <v>181712.833166027</v>
      </c>
      <c r="H22" s="11" t="n">
        <f aca="false">SUM(H18:H21)</f>
        <v>188902.331477611</v>
      </c>
      <c r="I22" s="11" t="n">
        <f aca="false">SUM(I18:I21)</f>
        <v>196401.531254924</v>
      </c>
      <c r="J22" s="11" t="n">
        <f aca="false">SUM(J18:J21)</f>
        <v>204100.709692966</v>
      </c>
    </row>
    <row r="24" customFormat="false" ht="15" hidden="false" customHeight="true" outlineLevel="0" collapsed="false">
      <c r="A24" s="6" t="s">
        <v>66</v>
      </c>
      <c r="B24" s="8" t="n">
        <v>41990</v>
      </c>
      <c r="C24" s="8" t="n">
        <v>42688</v>
      </c>
      <c r="D24" s="8" t="n">
        <v>40152</v>
      </c>
      <c r="E24" s="8" t="n">
        <v>31067</v>
      </c>
      <c r="F24" s="12" t="n">
        <f aca="false">Schedules!F17</f>
        <v>26067</v>
      </c>
      <c r="G24" s="12" t="n">
        <f aca="false">Schedules!G17</f>
        <v>21067</v>
      </c>
      <c r="H24" s="12" t="n">
        <f aca="false">Schedules!H17</f>
        <v>16067</v>
      </c>
      <c r="I24" s="12" t="n">
        <f aca="false">Schedules!I17</f>
        <v>11067</v>
      </c>
      <c r="J24" s="12" t="n">
        <f aca="false">Schedules!J17</f>
        <v>6067</v>
      </c>
    </row>
    <row r="25" customFormat="false" ht="15" hidden="false" customHeight="true" outlineLevel="0" collapsed="false">
      <c r="A25" s="6" t="s">
        <v>67</v>
      </c>
      <c r="B25" s="10" t="n">
        <f aca="false">B26-B22-B24</f>
        <v>59614</v>
      </c>
      <c r="C25" s="10" t="n">
        <f aca="false">C26-C22-C24</f>
        <v>75712</v>
      </c>
      <c r="D25" s="10" t="n">
        <f aca="false">D26-D22-D24</f>
        <v>94154</v>
      </c>
      <c r="E25" s="10" t="n">
        <f aca="false">E26-E22-E24</f>
        <v>116097</v>
      </c>
      <c r="F25" s="10" t="n">
        <f aca="false">E25</f>
        <v>116097</v>
      </c>
      <c r="G25" s="10" t="n">
        <f aca="false">F25</f>
        <v>116097</v>
      </c>
      <c r="H25" s="10" t="n">
        <f aca="false">G25</f>
        <v>116097</v>
      </c>
      <c r="I25" s="10" t="n">
        <f aca="false">H25</f>
        <v>116097</v>
      </c>
      <c r="J25" s="10" t="n">
        <f aca="false">I25</f>
        <v>116097</v>
      </c>
    </row>
    <row r="26" customFormat="false" ht="15" hidden="false" customHeight="true" outlineLevel="0" collapsed="false">
      <c r="A26" s="4" t="s">
        <v>68</v>
      </c>
      <c r="B26" s="15" t="n">
        <v>205753</v>
      </c>
      <c r="C26" s="15" t="n">
        <v>243686</v>
      </c>
      <c r="D26" s="15" t="n">
        <v>275524</v>
      </c>
      <c r="E26" s="15" t="n">
        <v>315989</v>
      </c>
      <c r="F26" s="11" t="n">
        <f aca="false">F22+F24+F25</f>
        <v>317085.134356164</v>
      </c>
      <c r="G26" s="11" t="n">
        <f aca="false">G22+G24+G25</f>
        <v>318876.833166027</v>
      </c>
      <c r="H26" s="11" t="n">
        <f aca="false">H22+H24+H25</f>
        <v>321066.331477611</v>
      </c>
      <c r="I26" s="11" t="n">
        <f aca="false">I22+I24+I25</f>
        <v>323565.531254924</v>
      </c>
      <c r="J26" s="11" t="n">
        <f aca="false">J22+J24+J25</f>
        <v>326264.709692966</v>
      </c>
    </row>
    <row r="27" customFormat="false" ht="15" hidden="false" customHeight="true" outlineLevel="0" collapsed="false">
      <c r="A27" s="4" t="s">
        <v>69</v>
      </c>
    </row>
    <row r="28" customFormat="false" ht="15" hidden="false" customHeight="true" outlineLevel="0" collapsed="false">
      <c r="A28" s="6" t="s">
        <v>70</v>
      </c>
      <c r="B28" s="8" t="n">
        <v>206223</v>
      </c>
      <c r="C28" s="8" t="n">
        <v>268477</v>
      </c>
      <c r="D28" s="8" t="n">
        <v>343479</v>
      </c>
      <c r="E28" s="8" t="n">
        <v>442387</v>
      </c>
      <c r="F28" s="10" t="n">
        <f aca="false">E28+IS!F16+CFS!F8+CFS!F19+CFS!F20</f>
        <v>552606.27468</v>
      </c>
      <c r="G28" s="10" t="n">
        <f aca="false">F28+IS!G16+CFS!G8+CFS!G19+CFS!G20</f>
        <v>681408.8613992</v>
      </c>
      <c r="H28" s="10" t="n">
        <f aca="false">G28+IS!H16+CFS!H8+CFS!H19+CFS!H20</f>
        <v>829873.722719896</v>
      </c>
      <c r="I28" s="10" t="n">
        <f aca="false">H28+IS!H16+CFS!I8+CFS!I19+CFS!I20</f>
        <v>975941.371619195</v>
      </c>
      <c r="J28" s="10" t="n">
        <f aca="false">I28+IS!J16+CFS!J8+CFS!J19+CFS!J20</f>
        <v>1165953.213439</v>
      </c>
    </row>
    <row r="29" customFormat="false" ht="15" hidden="false" customHeight="true" outlineLevel="0" collapsed="false">
      <c r="A29" s="4" t="s">
        <v>71</v>
      </c>
      <c r="B29" s="11" t="n">
        <f aca="false">B28</f>
        <v>206223</v>
      </c>
      <c r="C29" s="11" t="n">
        <f aca="false">C28</f>
        <v>268477</v>
      </c>
      <c r="D29" s="11" t="n">
        <f aca="false">D28</f>
        <v>343479</v>
      </c>
      <c r="E29" s="11" t="n">
        <f aca="false">E28</f>
        <v>442387</v>
      </c>
      <c r="F29" s="11" t="n">
        <f aca="false">F28</f>
        <v>552606.27468</v>
      </c>
      <c r="G29" s="11" t="n">
        <f aca="false">G28</f>
        <v>681408.8613992</v>
      </c>
      <c r="H29" s="11" t="n">
        <f aca="false">H28</f>
        <v>829873.722719896</v>
      </c>
      <c r="I29" s="11" t="n">
        <f aca="false">I28</f>
        <v>975941.371619195</v>
      </c>
      <c r="J29" s="11" t="n">
        <f aca="false">J28</f>
        <v>1165953.213439</v>
      </c>
    </row>
    <row r="30" customFormat="false" ht="15" hidden="false" customHeight="true" outlineLevel="0" collapsed="false">
      <c r="A30" s="4" t="s">
        <v>72</v>
      </c>
      <c r="B30" s="11" t="n">
        <f aca="false">B26+B29</f>
        <v>411976</v>
      </c>
      <c r="C30" s="11" t="n">
        <f aca="false">C26+C29</f>
        <v>512163</v>
      </c>
      <c r="D30" s="11" t="n">
        <f aca="false">D26+D29</f>
        <v>619003</v>
      </c>
      <c r="E30" s="11" t="n">
        <f aca="false">E26+E29</f>
        <v>758376</v>
      </c>
      <c r="F30" s="11" t="n">
        <f aca="false">F26+F29</f>
        <v>869691.409036164</v>
      </c>
      <c r="G30" s="11" t="n">
        <f aca="false">G26+G29</f>
        <v>1000285.69456523</v>
      </c>
      <c r="H30" s="11" t="n">
        <f aca="false">H26+H29</f>
        <v>1150940.05419751</v>
      </c>
      <c r="I30" s="11" t="n">
        <f aca="false">I26+I29</f>
        <v>1299506.90287412</v>
      </c>
      <c r="J30" s="11" t="n">
        <f aca="false">J26+J29</f>
        <v>1492217.92313197</v>
      </c>
    </row>
    <row r="32" customFormat="false" ht="15" hidden="false" customHeight="true" outlineLevel="0" collapsed="false">
      <c r="A32" s="4" t="s">
        <v>73</v>
      </c>
      <c r="B32" s="16" t="n">
        <f aca="false">ROUND(B16-B30,3)</f>
        <v>0</v>
      </c>
      <c r="C32" s="16" t="n">
        <f aca="false">ROUND(C16-C30,3)</f>
        <v>0</v>
      </c>
      <c r="D32" s="16" t="n">
        <f aca="false">ROUND(D16-D30,3)</f>
        <v>0</v>
      </c>
      <c r="E32" s="16" t="n">
        <f aca="false">ROUND(E16-E30,3)</f>
        <v>0</v>
      </c>
      <c r="F32" s="16" t="n">
        <f aca="false">ROUND(F16-F30,3)</f>
        <v>0</v>
      </c>
      <c r="G32" s="16" t="n">
        <f aca="false">ROUND(G16-G30,3)</f>
        <v>-106078.473</v>
      </c>
      <c r="H32" s="16" t="n">
        <f aca="false">ROUND(H16-H30,3)</f>
        <v>0</v>
      </c>
      <c r="I32" s="16" t="n">
        <f aca="false">ROUND(I16-I30,3)</f>
        <v>22899.499</v>
      </c>
      <c r="J32" s="16" t="n">
        <f aca="false">ROUND(J16-J30,3)</f>
        <v>22899.499</v>
      </c>
    </row>
    <row r="34" customFormat="false" ht="15" hidden="false" customHeight="true" outlineLevel="0" collapsed="false">
      <c r="A34" s="3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10" min="2" style="1" width="12"/>
  </cols>
  <sheetData>
    <row r="1" customFormat="false" ht="15" hidden="false" customHeight="true" outlineLevel="0" collapsed="false">
      <c r="A1" s="2" t="s">
        <v>75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6" customFormat="false" ht="15" hidden="false" customHeight="true" outlineLevel="0" collapsed="false">
      <c r="A6" s="4" t="s">
        <v>76</v>
      </c>
    </row>
    <row r="7" customFormat="false" ht="15" hidden="false" customHeight="true" outlineLevel="0" collapsed="false">
      <c r="A7" s="6" t="s">
        <v>77</v>
      </c>
      <c r="F7" s="10" t="n">
        <f aca="false">E10</f>
        <v>313076</v>
      </c>
      <c r="G7" s="10" t="n">
        <f aca="false">F10</f>
        <v>392047.5005</v>
      </c>
      <c r="H7" s="10" t="n">
        <f aca="false">G10</f>
        <v>468103.063415</v>
      </c>
      <c r="I7" s="10" t="n">
        <f aca="false">H10</f>
        <v>540450.51633605</v>
      </c>
      <c r="J7" s="10" t="n">
        <f aca="false">I10</f>
        <v>608041.644816091</v>
      </c>
    </row>
    <row r="8" customFormat="false" ht="15" hidden="false" customHeight="true" outlineLevel="0" collapsed="false">
      <c r="A8" s="6" t="s">
        <v>78</v>
      </c>
      <c r="B8" s="8" t="n">
        <v>28107</v>
      </c>
      <c r="C8" s="8" t="n">
        <v>44477</v>
      </c>
      <c r="D8" s="8" t="n">
        <v>64551</v>
      </c>
      <c r="E8" s="8" t="n">
        <v>115948</v>
      </c>
      <c r="F8" s="10" t="n">
        <f aca="false">IS!F6*Assumptions!F17</f>
        <v>125932.9005</v>
      </c>
      <c r="G8" s="10" t="n">
        <f aca="false">IS!G6*Assumptions!G17</f>
        <v>134862.68799</v>
      </c>
      <c r="H8" s="10" t="n">
        <f aca="false">IS!H6*Assumptions!H17</f>
        <v>142562.9124333</v>
      </c>
      <c r="I8" s="10" t="n">
        <f aca="false">IS!I6*Assumptions!I17</f>
        <v>148658.705930448</v>
      </c>
      <c r="J8" s="10" t="n">
        <f aca="false">IS!J6*Assumptions!J17</f>
        <v>152788.114428516</v>
      </c>
    </row>
    <row r="9" customFormat="false" ht="15" hidden="false" customHeight="true" outlineLevel="0" collapsed="false">
      <c r="A9" s="6" t="s">
        <v>79</v>
      </c>
      <c r="F9" s="10" t="n">
        <f aca="false">F7*Assumptions!F18</f>
        <v>46961.4</v>
      </c>
      <c r="G9" s="10" t="n">
        <f aca="false">G7*Assumptions!G18</f>
        <v>58807.125075</v>
      </c>
      <c r="H9" s="10" t="n">
        <f aca="false">H7*Assumptions!H18</f>
        <v>70215.45951225</v>
      </c>
      <c r="I9" s="10" t="n">
        <f aca="false">I7*Assumptions!I18</f>
        <v>81067.5774504075</v>
      </c>
      <c r="J9" s="10" t="n">
        <f aca="false">J8</f>
        <v>152788.114428516</v>
      </c>
    </row>
    <row r="10" customFormat="false" ht="15" hidden="false" customHeight="true" outlineLevel="0" collapsed="false">
      <c r="A10" s="4" t="s">
        <v>80</v>
      </c>
      <c r="B10" s="17" t="n">
        <f aca="false">BS!B12</f>
        <v>95641</v>
      </c>
      <c r="C10" s="17" t="n">
        <f aca="false">BS!C12</f>
        <v>135591</v>
      </c>
      <c r="D10" s="17" t="n">
        <f aca="false">BS!D12</f>
        <v>204966</v>
      </c>
      <c r="E10" s="17" t="n">
        <f aca="false">BS!E12</f>
        <v>313076</v>
      </c>
      <c r="F10" s="11" t="n">
        <f aca="false">F7+F8-F9</f>
        <v>392047.5005</v>
      </c>
      <c r="G10" s="11" t="n">
        <f aca="false">G7+G8-G9</f>
        <v>468103.063415</v>
      </c>
      <c r="H10" s="11" t="n">
        <f aca="false">H7+H8-H9</f>
        <v>540450.51633605</v>
      </c>
      <c r="I10" s="11" t="n">
        <f aca="false">I7+I8-I9</f>
        <v>608041.644816091</v>
      </c>
      <c r="J10" s="11" t="n">
        <f aca="false">J7+J8-J9</f>
        <v>608041.644816091</v>
      </c>
    </row>
    <row r="13" customFormat="false" ht="15" hidden="false" customHeight="true" outlineLevel="0" collapsed="false">
      <c r="A13" s="4" t="s">
        <v>81</v>
      </c>
    </row>
    <row r="14" customFormat="false" ht="15" hidden="false" customHeight="true" outlineLevel="0" collapsed="false">
      <c r="A14" s="6" t="s">
        <v>82</v>
      </c>
      <c r="F14" s="10" t="n">
        <f aca="false">E18</f>
        <v>40294</v>
      </c>
      <c r="G14" s="10" t="n">
        <f aca="false">F18</f>
        <v>35294</v>
      </c>
      <c r="H14" s="10" t="n">
        <f aca="false">G18</f>
        <v>30294</v>
      </c>
      <c r="I14" s="10" t="n">
        <f aca="false">H18</f>
        <v>25294</v>
      </c>
      <c r="J14" s="10" t="n">
        <f aca="false">I18</f>
        <v>20294</v>
      </c>
    </row>
    <row r="15" customFormat="false" ht="15" hidden="false" customHeight="true" outlineLevel="0" collapsed="false">
      <c r="A15" s="6" t="s">
        <v>83</v>
      </c>
      <c r="F15" s="12" t="n">
        <f aca="false">Assumptions!F21</f>
        <v>-5000</v>
      </c>
      <c r="G15" s="12" t="n">
        <f aca="false">Assumptions!G21</f>
        <v>-5000</v>
      </c>
      <c r="H15" s="12" t="n">
        <f aca="false">Assumptions!H21</f>
        <v>-5000</v>
      </c>
      <c r="I15" s="12" t="n">
        <f aca="false">Assumptions!I21</f>
        <v>-5000</v>
      </c>
      <c r="J15" s="12" t="n">
        <f aca="false">Assumptions!J21</f>
        <v>-5000</v>
      </c>
    </row>
    <row r="16" customFormat="false" ht="15" hidden="false" customHeight="true" outlineLevel="0" collapsed="false">
      <c r="A16" s="6" t="s">
        <v>64</v>
      </c>
      <c r="B16" s="12" t="n">
        <f aca="false">BS!B21</f>
        <v>5247</v>
      </c>
      <c r="C16" s="12" t="n">
        <f aca="false">BS!C21</f>
        <v>2249</v>
      </c>
      <c r="D16" s="12" t="n">
        <f aca="false">BS!D21</f>
        <v>2999</v>
      </c>
      <c r="E16" s="12" t="n">
        <f aca="false">BS!E21</f>
        <v>9227</v>
      </c>
      <c r="F16" s="10" t="n">
        <f aca="false">E16</f>
        <v>9227</v>
      </c>
      <c r="G16" s="10" t="n">
        <f aca="false">F16</f>
        <v>9227</v>
      </c>
      <c r="H16" s="10" t="n">
        <f aca="false">G16</f>
        <v>9227</v>
      </c>
      <c r="I16" s="10" t="n">
        <f aca="false">H16</f>
        <v>9227</v>
      </c>
      <c r="J16" s="10" t="n">
        <f aca="false">I16</f>
        <v>9227</v>
      </c>
    </row>
    <row r="17" customFormat="false" ht="15" hidden="false" customHeight="true" outlineLevel="0" collapsed="false">
      <c r="A17" s="6" t="s">
        <v>66</v>
      </c>
      <c r="B17" s="12" t="n">
        <f aca="false">BS!B24</f>
        <v>41990</v>
      </c>
      <c r="C17" s="12" t="n">
        <f aca="false">BS!C24</f>
        <v>42688</v>
      </c>
      <c r="D17" s="12" t="n">
        <f aca="false">BS!D24</f>
        <v>40152</v>
      </c>
      <c r="E17" s="12" t="n">
        <f aca="false">BS!E24</f>
        <v>31067</v>
      </c>
      <c r="F17" s="10" t="n">
        <f aca="false">E17+F15</f>
        <v>26067</v>
      </c>
      <c r="G17" s="10" t="n">
        <f aca="false">F17+G15</f>
        <v>21067</v>
      </c>
      <c r="H17" s="10" t="n">
        <f aca="false">G17+H15</f>
        <v>16067</v>
      </c>
      <c r="I17" s="10" t="n">
        <f aca="false">H17+I15</f>
        <v>11067</v>
      </c>
      <c r="J17" s="10" t="n">
        <f aca="false">I17+J15</f>
        <v>6067</v>
      </c>
    </row>
    <row r="18" customFormat="false" ht="15" hidden="false" customHeight="true" outlineLevel="0" collapsed="false">
      <c r="A18" s="4" t="s">
        <v>84</v>
      </c>
      <c r="B18" s="11" t="n">
        <f aca="false">B16+B17</f>
        <v>47237</v>
      </c>
      <c r="C18" s="11" t="n">
        <f aca="false">C16+C17</f>
        <v>44937</v>
      </c>
      <c r="D18" s="11" t="n">
        <f aca="false">D16+D17</f>
        <v>43151</v>
      </c>
      <c r="E18" s="11" t="n">
        <f aca="false">E16+E17</f>
        <v>40294</v>
      </c>
      <c r="F18" s="11" t="n">
        <f aca="false">F16+F17</f>
        <v>35294</v>
      </c>
      <c r="G18" s="11" t="n">
        <f aca="false">G16+G17</f>
        <v>30294</v>
      </c>
      <c r="H18" s="11" t="n">
        <f aca="false">H16+H17</f>
        <v>25294</v>
      </c>
      <c r="I18" s="11" t="n">
        <f aca="false">I16+I17</f>
        <v>20294</v>
      </c>
      <c r="J18" s="11" t="n">
        <f aca="false">J16+J17</f>
        <v>15294</v>
      </c>
    </row>
    <row r="20" customFormat="false" ht="15" hidden="false" customHeight="true" outlineLevel="0" collapsed="false">
      <c r="A20" s="3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10" min="2" style="1" width="12"/>
  </cols>
  <sheetData>
    <row r="1" customFormat="false" ht="15" hidden="false" customHeight="true" outlineLevel="0" collapsed="false">
      <c r="A1" s="2" t="s">
        <v>86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customFormat="false" ht="15" hidden="false" customHeight="true" outlineLevel="0" collapsed="false">
      <c r="A5" s="4" t="s">
        <v>87</v>
      </c>
    </row>
    <row r="6" customFormat="false" ht="15" hidden="false" customHeight="true" outlineLevel="0" collapsed="false">
      <c r="A6" s="6" t="s">
        <v>41</v>
      </c>
      <c r="B6" s="12" t="n">
        <f aca="false">IS!B16</f>
        <v>72361</v>
      </c>
      <c r="C6" s="12" t="n">
        <f aca="false">IS!C16</f>
        <v>88136</v>
      </c>
      <c r="D6" s="12" t="n">
        <f aca="false">IS!D16</f>
        <v>124370</v>
      </c>
      <c r="E6" s="12" t="n">
        <f aca="false">IS!E16</f>
        <v>133749</v>
      </c>
      <c r="F6" s="12" t="n">
        <f aca="false">IS!F16</f>
        <v>147624.4065375</v>
      </c>
      <c r="G6" s="12" t="n">
        <f aca="false">IS!G16</f>
        <v>168382.59043275</v>
      </c>
      <c r="H6" s="12" t="n">
        <f aca="false">IS!H16</f>
        <v>190344.750099007</v>
      </c>
      <c r="I6" s="12" t="n">
        <f aca="false">IS!I16</f>
        <v>213244.248950888</v>
      </c>
      <c r="J6" s="12" t="n">
        <f aca="false">IS!J16</f>
        <v>236749.001105486</v>
      </c>
    </row>
    <row r="7" customFormat="false" ht="15" hidden="false" customHeight="true" outlineLevel="0" collapsed="false">
      <c r="A7" s="6" t="s">
        <v>79</v>
      </c>
      <c r="F7" s="12" t="n">
        <f aca="false">Schedules!F9</f>
        <v>46961.4</v>
      </c>
      <c r="G7" s="12" t="n">
        <f aca="false">Schedules!G9</f>
        <v>58807.125075</v>
      </c>
      <c r="H7" s="12" t="n">
        <f aca="false">Schedules!H9</f>
        <v>70215.45951225</v>
      </c>
      <c r="I7" s="12" t="n">
        <f aca="false">Schedules!I9</f>
        <v>81067.5774504075</v>
      </c>
      <c r="J7" s="12" t="n">
        <f aca="false">Schedules!J9</f>
        <v>152788.114428516</v>
      </c>
    </row>
    <row r="8" customFormat="false" ht="15" hidden="false" customHeight="true" outlineLevel="0" collapsed="false">
      <c r="A8" s="6" t="s">
        <v>88</v>
      </c>
      <c r="B8" s="8" t="n">
        <v>9611</v>
      </c>
      <c r="C8" s="8" t="n">
        <v>10734</v>
      </c>
      <c r="D8" s="8" t="n">
        <v>11974</v>
      </c>
      <c r="E8" s="8" t="n">
        <v>12405</v>
      </c>
      <c r="F8" s="10" t="n">
        <f aca="false">IS!F6*Assumptions!F16</f>
        <v>14119.74945</v>
      </c>
      <c r="G8" s="10" t="n">
        <f aca="false">IS!G6*Assumptions!G16</f>
        <v>16096.514373</v>
      </c>
      <c r="H8" s="10" t="n">
        <f aca="false">IS!H6*Assumptions!H16</f>
        <v>18189.06124149</v>
      </c>
      <c r="I8" s="10" t="n">
        <f aca="false">IS!I6*Assumptions!I16</f>
        <v>20371.7485904688</v>
      </c>
      <c r="J8" s="10" t="n">
        <f aca="false">IS!J6*Assumptions!J16</f>
        <v>22612.6409354204</v>
      </c>
    </row>
    <row r="9" customFormat="false" ht="15" hidden="false" customHeight="true" outlineLevel="0" collapsed="false">
      <c r="A9" s="6" t="s">
        <v>89</v>
      </c>
      <c r="F9" s="10" t="n">
        <f aca="false">BS!E8-BS!F8</f>
        <v>-12175.2921917808</v>
      </c>
      <c r="G9" s="10" t="n">
        <f aca="false">BS!F8-BS!G8</f>
        <v>-13027.1809068493</v>
      </c>
      <c r="H9" s="10" t="n">
        <f aca="false">BS!G8-BS!H8</f>
        <v>-13790.2015028219</v>
      </c>
      <c r="I9" s="10" t="n">
        <f aca="false">BS!H8-BS!I8</f>
        <v>-14384.2409521743</v>
      </c>
      <c r="J9" s="10" t="n">
        <f aca="false">BS!I8-BS!J8</f>
        <v>-14767.8207108989</v>
      </c>
    </row>
    <row r="10" customFormat="false" ht="15" hidden="false" customHeight="true" outlineLevel="0" collapsed="false">
      <c r="A10" s="6" t="s">
        <v>90</v>
      </c>
      <c r="F10" s="10" t="n">
        <f aca="false">BS!E9-BS!F9</f>
        <v>-275.832219178082</v>
      </c>
      <c r="G10" s="10" t="n">
        <f aca="false">BS!F9-BS!G9</f>
        <v>-234.196510684932</v>
      </c>
      <c r="H10" s="10" t="n">
        <f aca="false">BS!G9-BS!H9</f>
        <v>-247.913734882192</v>
      </c>
      <c r="I10" s="10" t="n">
        <f aca="false">BS!H9-BS!I9</f>
        <v>-258.593095769425</v>
      </c>
      <c r="J10" s="10" t="n">
        <f aca="false">BS!I9-BS!J9</f>
        <v>-265.48891165661</v>
      </c>
    </row>
    <row r="11" customFormat="false" ht="15" hidden="false" customHeight="true" outlineLevel="0" collapsed="false">
      <c r="A11" s="6" t="s">
        <v>91</v>
      </c>
      <c r="F11" s="10" t="n">
        <f aca="false">BS!F18-BS!E18</f>
        <v>6096.13435616438</v>
      </c>
      <c r="G11" s="10" t="n">
        <f aca="false">BS!G18-BS!F18</f>
        <v>6791.69880986302</v>
      </c>
      <c r="H11" s="10" t="n">
        <f aca="false">BS!H18-BS!G18</f>
        <v>7189.49831158356</v>
      </c>
      <c r="I11" s="10" t="n">
        <f aca="false">BS!I18-BS!H18</f>
        <v>7499.19977731332</v>
      </c>
      <c r="J11" s="10" t="n">
        <f aca="false">BS!J18-BS!I18</f>
        <v>7699.17843804169</v>
      </c>
    </row>
    <row r="12" customFormat="false" ht="15" hidden="false" customHeight="true" outlineLevel="0" collapsed="false">
      <c r="A12" s="6" t="s">
        <v>92</v>
      </c>
      <c r="B12" s="10" t="n">
        <f aca="false">B13-SUM(B6:B11)</f>
        <v>5610</v>
      </c>
      <c r="C12" s="10" t="n">
        <f aca="false">C13-SUM(C6:C11)</f>
        <v>19678</v>
      </c>
      <c r="D12" s="10" t="n">
        <f aca="false">D13-SUM(D6:D11)</f>
        <v>-182</v>
      </c>
      <c r="E12" s="10" t="n">
        <f aca="false">E13-SUM(E6:E11)</f>
        <v>36781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</row>
    <row r="13" customFormat="false" ht="15" hidden="false" customHeight="true" outlineLevel="0" collapsed="false">
      <c r="A13" s="4" t="s">
        <v>93</v>
      </c>
      <c r="B13" s="15" t="n">
        <v>87582</v>
      </c>
      <c r="C13" s="15" t="n">
        <v>118548</v>
      </c>
      <c r="D13" s="15" t="n">
        <v>136162</v>
      </c>
      <c r="E13" s="15" t="n">
        <v>182935</v>
      </c>
      <c r="F13" s="11" t="n">
        <f aca="false">SUM(F6:F12)</f>
        <v>202350.565932705</v>
      </c>
      <c r="G13" s="11" t="n">
        <f aca="false">SUM(G6:G12)</f>
        <v>236816.551273079</v>
      </c>
      <c r="H13" s="11" t="n">
        <f aca="false">SUM(H6:H12)</f>
        <v>271900.653926627</v>
      </c>
      <c r="I13" s="11" t="n">
        <f aca="false">SUM(I6:I12)</f>
        <v>307539.940721134</v>
      </c>
      <c r="J13" s="11" t="n">
        <f aca="false">SUM(J6:J12)</f>
        <v>404815.625284909</v>
      </c>
    </row>
    <row r="14" customFormat="false" ht="15" hidden="false" customHeight="true" outlineLevel="0" collapsed="false">
      <c r="A14" s="4" t="s">
        <v>94</v>
      </c>
    </row>
    <row r="15" customFormat="false" ht="15" hidden="false" customHeight="true" outlineLevel="0" collapsed="false">
      <c r="A15" s="6" t="s">
        <v>78</v>
      </c>
      <c r="B15" s="12" t="n">
        <f aca="false">-Schedules!B8</f>
        <v>-28107</v>
      </c>
      <c r="C15" s="12" t="n">
        <f aca="false">-Schedules!C8</f>
        <v>-44477</v>
      </c>
      <c r="D15" s="12" t="n">
        <f aca="false">-Schedules!D8</f>
        <v>-64551</v>
      </c>
      <c r="E15" s="12" t="n">
        <f aca="false">-Schedules!E8</f>
        <v>-115948</v>
      </c>
      <c r="F15" s="12" t="n">
        <f aca="false">-Schedules!F8</f>
        <v>-125932.9005</v>
      </c>
      <c r="G15" s="12" t="n">
        <f aca="false">-Schedules!G8</f>
        <v>-134862.68799</v>
      </c>
      <c r="H15" s="12" t="n">
        <f aca="false">-Schedules!H8</f>
        <v>-142562.9124333</v>
      </c>
      <c r="I15" s="12" t="n">
        <f aca="false">-Schedules!I8</f>
        <v>-148658.705930448</v>
      </c>
      <c r="J15" s="12" t="n">
        <f aca="false">-Schedules!J8</f>
        <v>-152788.114428516</v>
      </c>
    </row>
    <row r="16" customFormat="false" ht="15" hidden="false" customHeight="true" outlineLevel="0" collapsed="false">
      <c r="A16" s="6" t="s">
        <v>95</v>
      </c>
      <c r="B16" s="10" t="n">
        <f aca="false">B17-B15</f>
        <v>5427</v>
      </c>
      <c r="C16" s="10" t="n">
        <f aca="false">C17-C15</f>
        <v>-52493</v>
      </c>
      <c r="D16" s="10" t="n">
        <f aca="false">D17-D15</f>
        <v>-8048</v>
      </c>
      <c r="E16" s="10" t="n">
        <f aca="false">E17-E15</f>
        <v>-23552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</row>
    <row r="17" customFormat="false" ht="15" hidden="false" customHeight="true" outlineLevel="0" collapsed="false">
      <c r="A17" s="4" t="s">
        <v>96</v>
      </c>
      <c r="B17" s="15" t="n">
        <v>-22680</v>
      </c>
      <c r="C17" s="15" t="n">
        <v>-96970</v>
      </c>
      <c r="D17" s="15" t="n">
        <v>-72599</v>
      </c>
      <c r="E17" s="15" t="n">
        <v>-139500</v>
      </c>
      <c r="F17" s="11" t="n">
        <f aca="false">SUM(F15:F16)</f>
        <v>-125932.9005</v>
      </c>
      <c r="G17" s="11" t="n">
        <f aca="false">SUM(G15:G16)</f>
        <v>-134862.68799</v>
      </c>
      <c r="H17" s="11" t="n">
        <f aca="false">SUM(H15:H16)</f>
        <v>-142562.9124333</v>
      </c>
      <c r="I17" s="11" t="n">
        <f aca="false">SUM(I15:I16)</f>
        <v>-148658.705930448</v>
      </c>
      <c r="J17" s="11" t="n">
        <f aca="false">SUM(J15:J16)</f>
        <v>-152788.114428516</v>
      </c>
    </row>
    <row r="18" customFormat="false" ht="15" hidden="false" customHeight="true" outlineLevel="0" collapsed="false">
      <c r="A18" s="4" t="s">
        <v>97</v>
      </c>
    </row>
    <row r="19" customFormat="false" ht="15" hidden="false" customHeight="true" outlineLevel="0" collapsed="false">
      <c r="A19" s="6" t="s">
        <v>98</v>
      </c>
      <c r="B19" s="8" t="n">
        <v>-19800</v>
      </c>
      <c r="C19" s="8" t="n">
        <v>-21771</v>
      </c>
      <c r="D19" s="8" t="n">
        <v>-24082</v>
      </c>
      <c r="E19" s="8" t="n">
        <v>-26445</v>
      </c>
      <c r="F19" s="10" t="n">
        <f aca="false">-IS!F16*Assumptions!F19</f>
        <v>-29524.8813075</v>
      </c>
      <c r="G19" s="10" t="n">
        <f aca="false">-IS!G16*Assumptions!G19</f>
        <v>-33676.51808655</v>
      </c>
      <c r="H19" s="10" t="n">
        <f aca="false">-IS!H16*Assumptions!H19</f>
        <v>-38068.9500198015</v>
      </c>
      <c r="I19" s="10" t="n">
        <f aca="false">-IS!I16*Assumptions!I19</f>
        <v>-42648.8497901777</v>
      </c>
      <c r="J19" s="10" t="n">
        <f aca="false">-IS!J16*Assumptions!J19</f>
        <v>-47349.8002210972</v>
      </c>
    </row>
    <row r="20" customFormat="false" ht="15" hidden="false" customHeight="true" outlineLevel="0" collapsed="false">
      <c r="A20" s="6" t="s">
        <v>99</v>
      </c>
      <c r="B20" s="8" t="n">
        <v>-22245</v>
      </c>
      <c r="C20" s="8" t="n">
        <v>-17254</v>
      </c>
      <c r="D20" s="8" t="n">
        <v>-18420</v>
      </c>
      <c r="E20" s="8" t="n">
        <v>-22271</v>
      </c>
      <c r="F20" s="10" t="n">
        <f aca="false">-Assumptions!F20</f>
        <v>-22000</v>
      </c>
      <c r="G20" s="10" t="n">
        <f aca="false">-Assumptions!G20</f>
        <v>-22000</v>
      </c>
      <c r="H20" s="10" t="n">
        <f aca="false">-Assumptions!H20</f>
        <v>-22000</v>
      </c>
      <c r="I20" s="10" t="n">
        <f aca="false">-Assumptions!I20</f>
        <v>-22000</v>
      </c>
      <c r="J20" s="10" t="n">
        <f aca="false">-Assumptions!J20</f>
        <v>-22000</v>
      </c>
    </row>
    <row r="21" customFormat="false" ht="15" hidden="false" customHeight="true" outlineLevel="0" collapsed="false">
      <c r="A21" s="6" t="s">
        <v>100</v>
      </c>
      <c r="F21" s="12" t="n">
        <f aca="false">Schedules!F18-Schedules!E18</f>
        <v>-5000</v>
      </c>
      <c r="G21" s="12" t="n">
        <f aca="false">Schedules!G18-Schedules!F18</f>
        <v>-5000</v>
      </c>
      <c r="H21" s="12" t="n">
        <f aca="false">Schedules!H18-Schedules!G18</f>
        <v>-5000</v>
      </c>
      <c r="I21" s="12" t="n">
        <f aca="false">Schedules!I18-Schedules!H18</f>
        <v>-5000</v>
      </c>
      <c r="J21" s="12" t="n">
        <f aca="false">Schedules!J18-Schedules!I18</f>
        <v>-5000</v>
      </c>
    </row>
    <row r="22" customFormat="false" ht="15" hidden="false" customHeight="true" outlineLevel="0" collapsed="false">
      <c r="A22" s="6" t="s">
        <v>101</v>
      </c>
      <c r="B22" s="10" t="n">
        <f aca="false">B23-SUM(B19:B21)</f>
        <v>-1890</v>
      </c>
      <c r="C22" s="10" t="n">
        <f aca="false">C23-SUM(C19:C21)</f>
        <v>1268</v>
      </c>
      <c r="D22" s="10" t="n">
        <f aca="false">D23-SUM(D19:D21)</f>
        <v>-9197</v>
      </c>
      <c r="E22" s="10" t="n">
        <f aca="false">E23-SUM(E19:E21)</f>
        <v>-3830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</row>
    <row r="23" customFormat="false" ht="15" hidden="false" customHeight="true" outlineLevel="0" collapsed="false">
      <c r="A23" s="4" t="s">
        <v>102</v>
      </c>
      <c r="B23" s="15" t="n">
        <v>-43935</v>
      </c>
      <c r="C23" s="15" t="n">
        <v>-37757</v>
      </c>
      <c r="D23" s="15" t="n">
        <v>-51699</v>
      </c>
      <c r="E23" s="15" t="n">
        <v>-52546</v>
      </c>
      <c r="F23" s="11" t="n">
        <f aca="false">SUM(F19:F22)</f>
        <v>-56524.8813075</v>
      </c>
      <c r="G23" s="11" t="n">
        <f aca="false">SUM(G19:G22)</f>
        <v>-60676.51808655</v>
      </c>
      <c r="H23" s="11" t="n">
        <f aca="false">SUM(H19:H22)</f>
        <v>-65068.9500198015</v>
      </c>
      <c r="I23" s="11" t="n">
        <f aca="false">SUM(I19:I22)</f>
        <v>-69648.8497901777</v>
      </c>
      <c r="J23" s="11" t="n">
        <f aca="false">SUM(J19:J22)</f>
        <v>-74349.8002210973</v>
      </c>
    </row>
    <row r="24" customFormat="false" ht="15" hidden="false" customHeight="true" outlineLevel="0" collapsed="false">
      <c r="A24" s="6" t="s">
        <v>103</v>
      </c>
      <c r="B24" s="10" t="n">
        <f aca="false">B28-B27-B13-B17-B23</f>
        <v>-194</v>
      </c>
      <c r="C24" s="10" t="n">
        <f aca="false">C28-C27-C13-C17-C23</f>
        <v>-210</v>
      </c>
      <c r="D24" s="10" t="n">
        <f aca="false">D28-D27-D13-D17-D23</f>
        <v>63</v>
      </c>
      <c r="E24" s="10" t="n">
        <f aca="false">E28-E27-E13-E17-E23</f>
        <v>9111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</row>
    <row r="25" customFormat="false" ht="15" hidden="false" customHeight="true" outlineLevel="0" collapsed="false">
      <c r="A25" s="4" t="s">
        <v>104</v>
      </c>
      <c r="B25" s="11" t="n">
        <f aca="false">B13+B17+B23+B24</f>
        <v>20773</v>
      </c>
      <c r="C25" s="11" t="n">
        <f aca="false">C13+C17+C23+C24</f>
        <v>-16389</v>
      </c>
      <c r="D25" s="11" t="n">
        <f aca="false">D13+D17+D23+D24</f>
        <v>11927</v>
      </c>
      <c r="E25" s="11" t="n">
        <f aca="false">E13+E17+E23+E24</f>
        <v>0</v>
      </c>
      <c r="F25" s="11" t="n">
        <f aca="false">F13+F17+F23+F24</f>
        <v>19892.7841252055</v>
      </c>
      <c r="G25" s="11" t="n">
        <f aca="false">G13+G17+G23+G24</f>
        <v>41277.3451965287</v>
      </c>
      <c r="H25" s="11" t="n">
        <f aca="false">H13+H17+H23+H24</f>
        <v>64268.7914735254</v>
      </c>
      <c r="I25" s="11" t="n">
        <f aca="false">I13+I17+I23+I24</f>
        <v>89232.3850005087</v>
      </c>
      <c r="J25" s="11" t="n">
        <f aca="false">J13+J17+J23+J24</f>
        <v>177677.710635295</v>
      </c>
    </row>
    <row r="27" customFormat="false" ht="15" hidden="false" customHeight="true" outlineLevel="0" collapsed="false">
      <c r="A27" s="6" t="s">
        <v>105</v>
      </c>
      <c r="B27" s="8" t="n">
        <v>13931</v>
      </c>
      <c r="C27" s="10" t="n">
        <f aca="false">B28</f>
        <v>34704</v>
      </c>
      <c r="D27" s="10" t="n">
        <f aca="false">C28</f>
        <v>18315</v>
      </c>
      <c r="E27" s="10" t="n">
        <f aca="false">D28</f>
        <v>30242</v>
      </c>
      <c r="F27" s="10" t="n">
        <f aca="false">E28</f>
        <v>30242</v>
      </c>
      <c r="G27" s="10" t="n">
        <f aca="false">F28</f>
        <v>50134.7841252055</v>
      </c>
      <c r="H27" s="10" t="n">
        <f aca="false">G28</f>
        <v>91412.1293217342</v>
      </c>
      <c r="I27" s="10" t="n">
        <f aca="false">H28</f>
        <v>155680.92079526</v>
      </c>
      <c r="J27" s="10" t="n">
        <f aca="false">I28</f>
        <v>244913.305795768</v>
      </c>
    </row>
    <row r="28" customFormat="false" ht="15" hidden="false" customHeight="true" outlineLevel="0" collapsed="false">
      <c r="A28" s="4" t="s">
        <v>106</v>
      </c>
      <c r="B28" s="18" t="n">
        <f aca="false">BS!B6</f>
        <v>34704</v>
      </c>
      <c r="C28" s="18" t="n">
        <f aca="false">BS!C6</f>
        <v>18315</v>
      </c>
      <c r="D28" s="18" t="n">
        <f aca="false">BS!D6</f>
        <v>30242</v>
      </c>
      <c r="E28" s="18" t="n">
        <f aca="false">BS!E6</f>
        <v>30242</v>
      </c>
      <c r="F28" s="11" t="n">
        <f aca="false">F27+F25</f>
        <v>50134.7841252055</v>
      </c>
      <c r="G28" s="11" t="n">
        <f aca="false">G27+G25</f>
        <v>91412.1293217342</v>
      </c>
      <c r="H28" s="11" t="n">
        <f aca="false">H27+H25</f>
        <v>155680.92079526</v>
      </c>
      <c r="I28" s="11" t="n">
        <f aca="false">I27+I25</f>
        <v>244913.305795768</v>
      </c>
      <c r="J28" s="11" t="n">
        <f aca="false">J27+J25</f>
        <v>422591.016431064</v>
      </c>
    </row>
    <row r="30" customFormat="false" ht="15" hidden="false" customHeight="true" outlineLevel="0" collapsed="false">
      <c r="A30" s="3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6"/>
  </cols>
  <sheetData>
    <row r="1" customFormat="false" ht="15" hidden="false" customHeight="true" outlineLevel="0" collapsed="false">
      <c r="A1" s="2" t="s">
        <v>108</v>
      </c>
    </row>
    <row r="2" customFormat="false" ht="15" hidden="false" customHeight="true" outlineLevel="0" collapsed="false">
      <c r="A2" s="3" t="s">
        <v>109</v>
      </c>
    </row>
    <row r="4" customFormat="false" ht="15" hidden="false" customHeight="true" outlineLevel="0" collapsed="false">
      <c r="A4" s="6" t="s">
        <v>110</v>
      </c>
      <c r="B4" s="19" t="n">
        <v>543.45</v>
      </c>
    </row>
    <row r="5" customFormat="false" ht="15" hidden="false" customHeight="true" outlineLevel="0" collapsed="false">
      <c r="A5" s="6" t="s">
        <v>111</v>
      </c>
      <c r="B5" s="8" t="n">
        <v>7472</v>
      </c>
    </row>
    <row r="6" customFormat="false" ht="15" hidden="false" customHeight="true" outlineLevel="0" collapsed="false">
      <c r="A6" s="4" t="s">
        <v>112</v>
      </c>
      <c r="B6" s="16" t="n">
        <f aca="false">B4*B5</f>
        <v>4060658.4</v>
      </c>
    </row>
    <row r="7" customFormat="false" ht="15" hidden="false" customHeight="true" outlineLevel="0" collapsed="false">
      <c r="A7" s="6" t="s">
        <v>113</v>
      </c>
      <c r="B7" s="12" t="n">
        <f aca="false">BS!E21+BS!E24</f>
        <v>40294</v>
      </c>
    </row>
    <row r="8" customFormat="false" ht="15" hidden="false" customHeight="true" outlineLevel="0" collapsed="false">
      <c r="A8" s="6" t="s">
        <v>114</v>
      </c>
      <c r="B8" s="12" t="n">
        <f aca="false">BS!E6+BS!E7</f>
        <v>86150</v>
      </c>
    </row>
    <row r="9" customFormat="false" ht="15" hidden="false" customHeight="true" outlineLevel="0" collapsed="false">
      <c r="A9" s="6" t="s">
        <v>115</v>
      </c>
      <c r="B9" s="10" t="n">
        <f aca="false">B7-B8</f>
        <v>-45856</v>
      </c>
    </row>
    <row r="10" customFormat="false" ht="15" hidden="false" customHeight="true" outlineLevel="0" collapsed="false">
      <c r="A10" s="4" t="s">
        <v>116</v>
      </c>
      <c r="B10" s="16" t="n">
        <f aca="false">B6+B9</f>
        <v>4014802.4</v>
      </c>
    </row>
    <row r="12" customFormat="false" ht="15" hidden="false" customHeight="true" outlineLevel="0" collapsed="false">
      <c r="A12" s="6" t="s">
        <v>117</v>
      </c>
      <c r="B12" s="12" t="n">
        <f aca="false">IS!E6</f>
        <v>331839</v>
      </c>
    </row>
    <row r="13" customFormat="false" ht="15" hidden="false" customHeight="true" outlineLevel="0" collapsed="false">
      <c r="A13" s="6" t="s">
        <v>118</v>
      </c>
      <c r="B13" s="12" t="n">
        <f aca="false">IS!F6</f>
        <v>381614.85</v>
      </c>
    </row>
    <row r="14" customFormat="false" ht="15" hidden="false" customHeight="true" outlineLevel="0" collapsed="false">
      <c r="A14" s="6" t="s">
        <v>119</v>
      </c>
      <c r="B14" s="20" t="n">
        <f aca="false">IF(B12=0,0,B10/B12)</f>
        <v>12.0986454274513</v>
      </c>
    </row>
    <row r="15" customFormat="false" ht="15" hidden="false" customHeight="true" outlineLevel="0" collapsed="false">
      <c r="A15" s="6" t="s">
        <v>120</v>
      </c>
      <c r="B15" s="20" t="n">
        <f aca="false">IF(B13=0,0,B10/B13)</f>
        <v>10.520561241262</v>
      </c>
    </row>
    <row r="17" customFormat="false" ht="15" hidden="false" customHeight="true" outlineLevel="0" collapsed="false">
      <c r="A17" s="3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2026-10-14T03:57:31Z</dcterms:created>
  <dc:creator>openpyxl</dc:creator>
  <dc:description/>
  <dc:language>en-US</dc:language>
  <cp:lastModifiedBy/>
  <dcterms:modified xsi:type="dcterms:W3CDTF">2026-10-14T03:57:46Z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