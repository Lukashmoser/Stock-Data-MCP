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Notes" sheetId="1" state="visible" r:id="rId3"/>
    <sheet name="Revenue Model" sheetId="2" state="visible" r:id="rId4"/>
    <sheet name="Income Statement" sheetId="3" state="visible" r:id="rId5"/>
    <sheet name="Cash Flow" sheetId="4" state="visible" r:id="rId6"/>
    <sheet name="Balance Sheet" sheetId="5" state="visible" r:id="rId7"/>
    <sheet name="Scenarios" sheetId="6" state="visible" r:id="rId8"/>
    <sheet name="DCF Inputs" sheetId="7" state="visible" r:id="rId9"/>
    <sheet name="DCF" sheetId="8" state="visible" r:id="rId10"/>
    <sheet name="Sensitivity" sheetId="9" state="visible" r:id="rId11"/>
    <sheet name="Comps" sheetId="10" state="visible" r:id="rId12"/>
    <sheet name="Valuation Summary" sheetId="11" state="visible" r:id="rId13"/>
    <sheet name="Quarterly Hist" sheetId="12" state="visible" r:id="rId14"/>
    <sheet name="Checks" sheetId="13" state="visible" r:id="rId15"/>
  </sheets>
  <definedNames>
    <definedName function="false" hidden="false" name="DCF_Value_Per_Share" vbProcedure="false">DCF!$C$48</definedName>
    <definedName function="false" hidden="false" name="Price_Target" vbProcedure="false">'Valuation Summary'!$C$9</definedName>
    <definedName function="false" hidden="false" name="Revenue_FY2026E" vbProcedure="false">'Revenue Model'!$G$47</definedName>
    <definedName function="false" hidden="false" name="ScenarioSel" vbProcedure="false">Scenarios!$C$3</definedName>
    <definedName function="false" hidden="false" name="UFCF_FY2030E" vbProcedure="false">'DCF Inputs'!$K$16</definedName>
    <definedName function="false" hidden="false" name="WACC" vbProcedure="false">DCF!$C$18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<sst xmlns="http://schemas.openxmlformats.org/spreadsheetml/2006/main" count="916" uniqueCount="583">
  <si>
    <t xml:space="preserve">Advanced Micro Devices, Inc. (NASDAQ: AMD) - Financial Model</t>
  </si>
  <si>
    <t xml:space="preserve">Prepared 2026-10-14 (Initiating Coverage, Task 2). Units: USD millions except per-share (USD) and share counts (millions).</t>
  </si>
  <si>
    <t xml:space="preserve">Fiscal year ends on the last Saturday of December (FY2025 = 2025-12-27).</t>
  </si>
  <si>
    <t xml:space="preserve">COLOR CODE: blue = hardcoded input / historical data; black = formula; green = link to another sheet; grey italic = static scenario snapshot.</t>
  </si>
  <si>
    <t xml:space="preserve">SCENARIO SWITCH: Scenarios!C3 (1 Bull, 2 Base, 3 Bear). Named range: ScenarioSel.</t>
  </si>
  <si>
    <t xml:space="preserve">SOURCES</t>
  </si>
  <si>
    <t xml:space="preserve">- AMD Form 10-K FY2025 (filed 2026-02-04) and Form 10-K FY2024 (filed 2025-02-05), via SEC XBRL (stock-data get_financials).</t>
  </si>
  <si>
    <t xml:space="preserve">- AMD Form 10-Q Q2 FY2026 (filed 2026-08-05) and Q1 FY2026 (filed 2026-05-06), via XBRL and sec.gov.</t>
  </si>
  <si>
    <t xml:space="preserve">- AMD Q4/FY2025 earnings release (2026-02-03, ir.amd.com): full FY2025/FY2024 statements, segment data, FCF reconciliation.</t>
  </si>
  <si>
    <t xml:space="preserve">- AMD Q4/FY2024 earnings release EX-99.1 (2025-02-04) and Q4/FY2023 EX-99.1 (2024-01-30): FY2022-FY2023 statements and segments.</t>
  </si>
  <si>
    <t xml:space="preserve">- AMD Q2 FY2026 earnings release (2026-08-05): Q3 FY2026 guidance about USD 13.0bn +/- 0.3bn; non-GAAP GM about 56%.</t>
  </si>
  <si>
    <t xml:space="preserve">- Market data: stock-data get_quote, USD 605.53 at 2026-10-14 07:49 UTC.</t>
  </si>
  <si>
    <t xml:space="preserve">KEY DATA NOTES</t>
  </si>
  <si>
    <t xml:space="preserve">- FY2025 operating cash flow 7,709 includes 1,216 from discontinued operations (ZT Systems manufacturing). AMD-defined FCF = CFO continuing 6,493 - capex 974 = 5,519.</t>
  </si>
  <si>
    <t xml:space="preserve">- FY2022 and FY2023 MG&amp;A shown net of licensing gains (102 and 34) to match the FY2024+ presentation; operating income is unchanged.</t>
  </si>
  <si>
    <t xml:space="preserve">- FY2023 balance sheet uses the recast presentation (AR 4,323; prepaid &amp; other 2,321 incl. related-party receivables).</t>
  </si>
  <si>
    <t xml:space="preserve">- Sub-segment revenue splits (EPYC/Instinct/networking, desktop/notebook, semi-custom/Radeon, FPGA/x86) are analyst ESTIMATES; segment totals are reported.</t>
  </si>
  <si>
    <t xml:space="preserve">- Geographic revenue split is an analyst ESTIMATE (10-K country table not retrieved).</t>
  </si>
  <si>
    <t xml:space="preserve">- Q3 FY2024 and Q4 FY2024 quarterly segment revenue from model knowledge (sums tie to reported quarterly revenue).</t>
  </si>
  <si>
    <t xml:space="preserve">- Projections exclude the OpenAI warrant (up to 160M shares), future M&amp;A and any China MI308 licence changes.</t>
  </si>
  <si>
    <t xml:space="preserve">- Historical cash on CF basis includes restricted cash (24 at FY2024, 17 at FY2025); projections roll from balance-sheet cash.</t>
  </si>
  <si>
    <t xml:space="preserve">TABS: Revenue Model | Income Statement | Cash Flow | Balance Sheet | Scenarios | DCF Inputs | Quarterly Hist | Checks</t>
  </si>
  <si>
    <t xml:space="preserve">AMD - Revenue Model</t>
  </si>
  <si>
    <t xml:space="preserve">USD millions. Historical segment totals are reported (10-K / earnings releases); sub-product splits are analyst estimates (blue). Projections driven by Scenarios tab.</t>
  </si>
  <si>
    <t xml:space="preserve">Revenue by product</t>
  </si>
  <si>
    <t xml:space="preserve">FY2022A</t>
  </si>
  <si>
    <t xml:space="preserve">FY2023A</t>
  </si>
  <si>
    <t xml:space="preserve">FY2024A</t>
  </si>
  <si>
    <t xml:space="preserve">FY2025A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</si>
  <si>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</si>
  <si>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</si>
  <si>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</si>
  <si>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</si>
  <si>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</si>
  <si>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Data Center</t>
  </si>
  <si>
    <t xml:space="preserve">  Server CPU (EPYC)</t>
  </si>
  <si>
    <t xml:space="preserve">hist split = estimate</t>
  </si>
  <si>
    <t xml:space="preserve">    YoY growth %</t>
  </si>
  <si>
    <t xml:space="preserve">  Data Center GPU (Instinct MI-series)</t>
  </si>
  <si>
    <t xml:space="preserve">  Networking (Pensando), rack-scale &amp; other</t>
  </si>
  <si>
    <t xml:space="preserve">Data Center total</t>
  </si>
  <si>
    <t xml:space="preserve">  % of total revenue</t>
  </si>
  <si>
    <t xml:space="preserve">  YoY growth %</t>
  </si>
  <si>
    <t xml:space="preserve">Client</t>
  </si>
  <si>
    <t xml:space="preserve">  Desktop CPU (Ryzen, Threadripper)</t>
  </si>
  <si>
    <t xml:space="preserve">  Notebook CPU (Ryzen AI / Mobile)</t>
  </si>
  <si>
    <t xml:space="preserve">Client total</t>
  </si>
  <si>
    <t xml:space="preserve">Gaming</t>
  </si>
  <si>
    <t xml:space="preserve">  Semi-custom console SoCs</t>
  </si>
  <si>
    <t xml:space="preserve">  Radeon discrete GPUs</t>
  </si>
  <si>
    <t xml:space="preserve">Gaming total</t>
  </si>
  <si>
    <t xml:space="preserve">Embedded</t>
  </si>
  <si>
    <t xml:space="preserve">  FPGA &amp; adaptive SoC (Xilinx)</t>
  </si>
  <si>
    <t xml:space="preserve">  Embedded x86 (EPYC/Ryzen Embedded)</t>
  </si>
  <si>
    <t xml:space="preserve">Embedded total</t>
  </si>
  <si>
    <t xml:space="preserve">Reporting-segment view</t>
  </si>
  <si>
    <t xml:space="preserve">Client and Gaming segment (reported combined from FY2025)</t>
  </si>
  <si>
    <t xml:space="preserve">Data Center AI-related (GPU + networking)</t>
  </si>
  <si>
    <t xml:space="preserve">TOTAL REVENUE</t>
  </si>
  <si>
    <t xml:space="preserve">Total revenue growth %</t>
  </si>
  <si>
    <t xml:space="preserve">Revenue by geography (billing location)</t>
  </si>
  <si>
    <t xml:space="preserve">Geographic split is an analyst ESTIMATE (blue share inputs below); AMD's 10-K country table was not retrievable in this session.</t>
  </si>
  <si>
    <t xml:space="preserve">Americas</t>
  </si>
  <si>
    <t xml:space="preserve">  United States</t>
  </si>
  <si>
    <t xml:space="preserve">  Other Americas</t>
  </si>
  <si>
    <t xml:space="preserve">Americas total</t>
  </si>
  <si>
    <t xml:space="preserve">  % of total</t>
  </si>
  <si>
    <t xml:space="preserve">Asia-Pacific</t>
  </si>
  <si>
    <t xml:space="preserve">  China (incl. Hong Kong)</t>
  </si>
  <si>
    <t xml:space="preserve">  Taiwan</t>
  </si>
  <si>
    <t xml:space="preserve">  Japan</t>
  </si>
  <si>
    <t xml:space="preserve">  Singapore</t>
  </si>
  <si>
    <t xml:space="preserve">  Other Asia-Pacific</t>
  </si>
  <si>
    <t xml:space="preserve">Asia-Pacific total</t>
  </si>
  <si>
    <t xml:space="preserve">Europe, Middle East &amp; Africa</t>
  </si>
  <si>
    <t xml:space="preserve">  Europe</t>
  </si>
  <si>
    <t xml:space="preserve">  Other EMEA</t>
  </si>
  <si>
    <t xml:space="preserve">Europe, Middle East &amp; Africa total</t>
  </si>
  <si>
    <t xml:space="preserve">TOTAL REVENUE (geography)</t>
  </si>
  <si>
    <t xml:space="preserve">Check vs product total (should be 0)</t>
  </si>
  <si>
    <t xml:space="preserve">Geographic share inputs (estimates)</t>
  </si>
  <si>
    <t xml:space="preserve">  United States share</t>
  </si>
  <si>
    <t xml:space="preserve">  Other Americas share</t>
  </si>
  <si>
    <t xml:space="preserve">  China (incl. Hong Kong) share</t>
  </si>
  <si>
    <t xml:space="preserve">  Taiwan share</t>
  </si>
  <si>
    <t xml:space="preserve">  Japan share</t>
  </si>
  <si>
    <t xml:space="preserve">  Singapore share</t>
  </si>
  <si>
    <t xml:space="preserve">  Other Asia-Pacific share</t>
  </si>
  <si>
    <t xml:space="preserve">  Europe share</t>
  </si>
  <si>
    <t xml:space="preserve">  Other EMEA share</t>
  </si>
  <si>
    <t xml:space="preserve">Sum of shares (must = 100%)</t>
  </si>
  <si>
    <t xml:space="preserve">AMD - Income Statement (GAAP)</t>
  </si>
  <si>
    <t xml:space="preserve">USD millions except per share. FY2022A-FY2025A from 10-K / Q4 earnings releases (FY2024 &amp; FY2025 MG&amp;A shown net of licensing gains, as recast).</t>
  </si>
  <si>
    <t xml:space="preserve">USD millions</t>
  </si>
  <si>
    <t xml:space="preserve">Revenue</t>
  </si>
  <si>
    <t xml:space="preserve">  Data Center</t>
  </si>
  <si>
    <t xml:space="preserve">  Client</t>
  </si>
  <si>
    <t xml:space="preserve">  Gaming</t>
  </si>
  <si>
    <t xml:space="preserve">  Embedded</t>
  </si>
  <si>
    <t xml:space="preserve">Total net revenue</t>
  </si>
  <si>
    <t xml:space="preserve">Cost of sales</t>
  </si>
  <si>
    <t xml:space="preserve">  Cost of sales ex-amortization % of revenue (driver)</t>
  </si>
  <si>
    <t xml:space="preserve">  Cost of sales (ex-amortization)</t>
  </si>
  <si>
    <t xml:space="preserve">  Amortization of acquisition-related intangibles (COGS)</t>
  </si>
  <si>
    <t xml:space="preserve">Total cost of sales</t>
  </si>
  <si>
    <t xml:space="preserve">Gross profit</t>
  </si>
  <si>
    <t xml:space="preserve">  Gross margin % (GAAP)</t>
  </si>
  <si>
    <t xml:space="preserve">  Gross margin % ex-amortization</t>
  </si>
  <si>
    <t xml:space="preserve">Operating expenses</t>
  </si>
  <si>
    <t xml:space="preserve">  R&amp;D % of revenue (driver)</t>
  </si>
  <si>
    <t xml:space="preserve">  Research and development</t>
  </si>
  <si>
    <t xml:space="preserve">  MG&amp;A % of revenue (driver)</t>
  </si>
  <si>
    <t xml:space="preserve">  Marketing, general &amp; administrative (net of licensing gain)</t>
  </si>
  <si>
    <t xml:space="preserve">FY22/23 net of 102/34 licensing gain</t>
  </si>
  <si>
    <t xml:space="preserve">  Amortization of acquisition-related intangibles (opex)</t>
  </si>
  <si>
    <t xml:space="preserve">  Restructuring charges</t>
  </si>
  <si>
    <t xml:space="preserve">Total operating expenses</t>
  </si>
  <si>
    <t xml:space="preserve">  Opex % of revenue</t>
  </si>
  <si>
    <t xml:space="preserve">Operating income (EBIT)</t>
  </si>
  <si>
    <t xml:space="preserve">  Operating margin %</t>
  </si>
  <si>
    <t xml:space="preserve">  D&amp;A (ex-acquired intangibles) % of revenue</t>
  </si>
  <si>
    <t xml:space="preserve">  Depreciation &amp; amortization (ex-acquired intangibles)</t>
  </si>
  <si>
    <t xml:space="preserve">FY22 = 4,174 total less 3,548 intangibles</t>
  </si>
  <si>
    <t xml:space="preserve">  Amortization of acquired intangibles (total)</t>
  </si>
  <si>
    <t xml:space="preserve">EBITDA</t>
  </si>
  <si>
    <t xml:space="preserve">  EBITDA margin %</t>
  </si>
  <si>
    <t xml:space="preserve">  Stock-based compensation % of revenue</t>
  </si>
  <si>
    <t xml:space="preserve">  Stock-based compensation (memo)</t>
  </si>
  <si>
    <t xml:space="preserve">Adjusted EBITDA (EBITDA + SBC + restructuring)</t>
  </si>
  <si>
    <t xml:space="preserve">Approx. non-GAAP operating income (EBIT + amort + SBC + restr.)</t>
  </si>
  <si>
    <t xml:space="preserve">excl. inventory/acq. adj.</t>
  </si>
  <si>
    <t xml:space="preserve">  Approx. non-GAAP operating margin %</t>
  </si>
  <si>
    <t xml:space="preserve">Below the line</t>
  </si>
  <si>
    <t xml:space="preserve">  Interest rate on average debt</t>
  </si>
  <si>
    <t xml:space="preserve">  Interest expense</t>
  </si>
  <si>
    <t xml:space="preserve">  Yield on beginning cash + ST investments</t>
  </si>
  <si>
    <t xml:space="preserve">  Other income (expense), net (incl. interest income)</t>
  </si>
  <si>
    <t xml:space="preserve">FY25 incl. 341 inv. gains</t>
  </si>
  <si>
    <t xml:space="preserve">Income before taxes and equity income</t>
  </si>
  <si>
    <t xml:space="preserve">  Effective tax rate %</t>
  </si>
  <si>
    <t xml:space="preserve">  Income tax provision (benefit)</t>
  </si>
  <si>
    <t xml:space="preserve">  Equity income in investee</t>
  </si>
  <si>
    <t xml:space="preserve">Income from continuing operations</t>
  </si>
  <si>
    <t xml:space="preserve">  Income (loss) from discontinued operations, net</t>
  </si>
  <si>
    <t xml:space="preserve">ZT manufacturing</t>
  </si>
  <si>
    <t xml:space="preserve">NET INCOME</t>
  </si>
  <si>
    <t xml:space="preserve">  Net margin %</t>
  </si>
  <si>
    <t xml:space="preserve">  Net income growth %</t>
  </si>
  <si>
    <t xml:space="preserve">Per share</t>
  </si>
  <si>
    <t xml:space="preserve">  Diluted share count growth % (projection input)</t>
  </si>
  <si>
    <t xml:space="preserve">  Weighted avg. basic shares (M)</t>
  </si>
  <si>
    <t xml:space="preserve">proj = 99% of diluted</t>
  </si>
  <si>
    <t xml:space="preserve">  Weighted avg. diluted shares (M)</t>
  </si>
  <si>
    <t xml:space="preserve">FY26E: Q2'26 = 1,659; excl. OpenAI warrant</t>
  </si>
  <si>
    <t xml:space="preserve">  EPS - basic (USD)</t>
  </si>
  <si>
    <t xml:space="preserve">EPS - diluted (USD)</t>
  </si>
  <si>
    <t xml:space="preserve">  Diluted EPS growth %</t>
  </si>
  <si>
    <t xml:space="preserve">  Approx. non-GAAP diluted EPS (USD)</t>
  </si>
  <si>
    <t xml:space="preserve">13% non-GAAP tax</t>
  </si>
  <si>
    <t xml:space="preserve">Amortization schedule inputs</t>
  </si>
  <si>
    <t xml:space="preserve">  Amortization of acquired intangibles - total (input)</t>
  </si>
  <si>
    <t xml:space="preserve">  Share recorded in cost of sales</t>
  </si>
  <si>
    <t xml:space="preserve">AMD - Cash Flow Statement</t>
  </si>
  <si>
    <t xml:space="preserve">USD millions. Historical lines condensed from reported statements; projections derived from Income Statement and Balance Sheet.</t>
  </si>
  <si>
    <t xml:space="preserve">OPERATING ACTIVITIES</t>
  </si>
  <si>
    <t xml:space="preserve">  Net income</t>
  </si>
  <si>
    <t xml:space="preserve">  (Income) loss from discontinued operations</t>
  </si>
  <si>
    <t xml:space="preserve">  Depreciation &amp; amortization (ex-intangibles)</t>
  </si>
  <si>
    <t xml:space="preserve">  Amortization of acquisition-related intangibles</t>
  </si>
  <si>
    <t xml:space="preserve">FY24 CF shows 2,393</t>
  </si>
  <si>
    <t xml:space="preserve">  Stock-based compensation</t>
  </si>
  <si>
    <t xml:space="preserve">  Deferred income taxes</t>
  </si>
  <si>
    <t xml:space="preserve">  Other non-cash items</t>
  </si>
  <si>
    <t xml:space="preserve">  Changes in working capital</t>
  </si>
  <si>
    <t xml:space="preserve">    Accounts receivable</t>
  </si>
  <si>
    <t xml:space="preserve">    Inventories</t>
  </si>
  <si>
    <t xml:space="preserve">    Prepaid expenses &amp; other assets</t>
  </si>
  <si>
    <t xml:space="preserve">    Accounts payable (incl. related parties)</t>
  </si>
  <si>
    <t xml:space="preserve">    Accrued &amp; other liabilities</t>
  </si>
  <si>
    <t xml:space="preserve">Cash from operations - continuing</t>
  </si>
  <si>
    <t xml:space="preserve">  Cash from operations - discontinued</t>
  </si>
  <si>
    <t xml:space="preserve">CASH FROM OPERATIONS</t>
  </si>
  <si>
    <t xml:space="preserve">INVESTING ACTIVITIES</t>
  </si>
  <si>
    <t xml:space="preserve">  Capital expenditures</t>
  </si>
  <si>
    <t xml:space="preserve">  Net (purchases) / maturities of ST investments</t>
  </si>
  <si>
    <t xml:space="preserve">  Acquisitions, net (FY22 incl. +2,366 Xilinx cash acquired)</t>
  </si>
  <si>
    <t xml:space="preserve">  Strategic / LT investments &amp; other</t>
  </si>
  <si>
    <t xml:space="preserve">FY26E incl. post-Q2 commitments</t>
  </si>
  <si>
    <t xml:space="preserve">  Investing - discontinued ops (ZT divestiture)</t>
  </si>
  <si>
    <t xml:space="preserve">CASH FROM INVESTING</t>
  </si>
  <si>
    <t xml:space="preserve">FREE CASH FLOW (CFO continuing + capex)</t>
  </si>
  <si>
    <t xml:space="preserve">AMD definition</t>
  </si>
  <si>
    <t xml:space="preserve">  FCF margin %</t>
  </si>
  <si>
    <t xml:space="preserve">FINANCING ACTIVITIES</t>
  </si>
  <si>
    <t xml:space="preserve">  Debt issuance</t>
  </si>
  <si>
    <t xml:space="preserve">  Debt repayment</t>
  </si>
  <si>
    <t xml:space="preserve">  Proceeds from employee equity plans</t>
  </si>
  <si>
    <t xml:space="preserve">  Repurchases of common stock</t>
  </si>
  <si>
    <t xml:space="preserve">  Tax withholding on employee equity plans</t>
  </si>
  <si>
    <t xml:space="preserve">  Other financing (FY25: contingent consideration)</t>
  </si>
  <si>
    <t xml:space="preserve">CASH FROM FINANCING</t>
  </si>
  <si>
    <t xml:space="preserve">NET CHANGE IN CASH</t>
  </si>
  <si>
    <t xml:space="preserve">  Beginning cash (incl. restricted, hist.)</t>
  </si>
  <si>
    <t xml:space="preserve">FY26E starts from BS cash</t>
  </si>
  <si>
    <t xml:space="preserve">Ending cash</t>
  </si>
  <si>
    <t xml:space="preserve">  Memo: restricted cash (CF ending - BS cash)</t>
  </si>
  <si>
    <t xml:space="preserve">Projection inputs</t>
  </si>
  <si>
    <t xml:space="preserve">  Buybacks as % of free cash flow</t>
  </si>
  <si>
    <t xml:space="preserve">AMD - Balance Sheet</t>
  </si>
  <si>
    <t xml:space="preserve">USD millions, fiscal year-end. FY2022-FY2023 related-party receivables/payables, ROU assets and equity-method investments folded into 'other' lines.</t>
  </si>
  <si>
    <t xml:space="preserve">Working-capital drivers</t>
  </si>
  <si>
    <t xml:space="preserve">  DSO (receivables / revenue x 365)</t>
  </si>
  <si>
    <t xml:space="preserve">  DIO (inventory / cost of sales ex-amort. x 365)</t>
  </si>
  <si>
    <t xml:space="preserve">  DPO (payables / cost of sales ex-amort. x 365)</t>
  </si>
  <si>
    <t xml:space="preserve">  Prepaid &amp; other current assets % revenue</t>
  </si>
  <si>
    <t xml:space="preserve">  Accrued liabilities % revenue</t>
  </si>
  <si>
    <t xml:space="preserve">  Other current liabilities % revenue</t>
  </si>
  <si>
    <t xml:space="preserve">ASSETS</t>
  </si>
  <si>
    <t xml:space="preserve">  Cash and cash equivalents</t>
  </si>
  <si>
    <t xml:space="preserve">  Short-term investments</t>
  </si>
  <si>
    <t xml:space="preserve">  Accounts receivable, net</t>
  </si>
  <si>
    <t xml:space="preserve">FY23 as recast</t>
  </si>
  <si>
    <t xml:space="preserve">  Inventories</t>
  </si>
  <si>
    <t xml:space="preserve">  Prepaid expenses &amp; other current assets</t>
  </si>
  <si>
    <t xml:space="preserve">Total current assets</t>
  </si>
  <si>
    <t xml:space="preserve">  Property and equipment, net</t>
  </si>
  <si>
    <t xml:space="preserve">  Goodwill</t>
  </si>
  <si>
    <t xml:space="preserve">  Acquisition-related intangibles, net</t>
  </si>
  <si>
    <t xml:space="preserve">  Deferred tax assets</t>
  </si>
  <si>
    <t xml:space="preserve">  Other non-current assets (incl. ROU, equity-method, LT investments)</t>
  </si>
  <si>
    <t xml:space="preserve">Total non-current assets</t>
  </si>
  <si>
    <t xml:space="preserve">TOTAL ASSETS</t>
  </si>
  <si>
    <t xml:space="preserve">LIABILITIES</t>
  </si>
  <si>
    <t xml:space="preserve">  Accounts payable</t>
  </si>
  <si>
    <t xml:space="preserve">  Accrued liabilities (incl. related-party payables)</t>
  </si>
  <si>
    <t xml:space="preserve">  Current portion of long-term debt</t>
  </si>
  <si>
    <t xml:space="preserve">  Other current liabilities</t>
  </si>
  <si>
    <t xml:space="preserve">Total current liabilities</t>
  </si>
  <si>
    <t xml:space="preserve">  Long-term debt, net of current portion</t>
  </si>
  <si>
    <t xml:space="preserve">  Long-term operating lease liabilities</t>
  </si>
  <si>
    <t xml:space="preserve">  Deferred tax liabilities</t>
  </si>
  <si>
    <t xml:space="preserve">  Other long-term liabilities</t>
  </si>
  <si>
    <t xml:space="preserve">Total non-current liabilities</t>
  </si>
  <si>
    <t xml:space="preserve">TOTAL LIABILITIES</t>
  </si>
  <si>
    <t xml:space="preserve">STOCKHOLDERS' EQUITY</t>
  </si>
  <si>
    <t xml:space="preserve">  Common stock, par value</t>
  </si>
  <si>
    <t xml:space="preserve">  Additional paid-in capital</t>
  </si>
  <si>
    <t xml:space="preserve">  Treasury stock, at cost</t>
  </si>
  <si>
    <t xml:space="preserve">  Retained earnings (accumulated deficit)</t>
  </si>
  <si>
    <t xml:space="preserve">  Accumulated other comprehensive income (loss)</t>
  </si>
  <si>
    <t xml:space="preserve">TOTAL STOCKHOLDERS' EQUITY</t>
  </si>
  <si>
    <t xml:space="preserve">TOTAL LIABILITIES + EQUITY</t>
  </si>
  <si>
    <t xml:space="preserve">BALANCE CHECK (assets - liabilities - equity)</t>
  </si>
  <si>
    <t xml:space="preserve">Memo</t>
  </si>
  <si>
    <t xml:space="preserve">  Total debt</t>
  </si>
  <si>
    <t xml:space="preserve">  Net cash (cash + ST investments - debt)</t>
  </si>
  <si>
    <t xml:space="preserve">  Operating NWC (AR + inv + prepaid - AP - accrued - OCL)</t>
  </si>
  <si>
    <t xml:space="preserve">  Debt / equity</t>
  </si>
  <si>
    <t xml:space="preserve">  Current ratio</t>
  </si>
  <si>
    <t xml:space="preserve">  ROIC (NOPAT / (equity + debt - cash - STI))</t>
  </si>
  <si>
    <t xml:space="preserve">AMD - Scenario Drivers (Bull / Base / Bear)</t>
  </si>
  <si>
    <t xml:space="preserve">Change the selector in C3 to switch the whole model. Live rows feed the Revenue Model, Income Statement and Cash Flow.</t>
  </si>
  <si>
    <t xml:space="preserve">Scenario selector (1 = Bull, 2 = Base, 3 = Bear)</t>
  </si>
  <si>
    <t xml:space="preserve">Driver / case</t>
  </si>
  <si>
    <t xml:space="preserve">Server CPU (EPYC) revenue growth</t>
  </si>
  <si>
    <t xml:space="preserve">  Bull</t>
  </si>
  <si>
    <t xml:space="preserve">  Base</t>
  </si>
  <si>
    <t xml:space="preserve">  Bear</t>
  </si>
  <si>
    <t xml:space="preserve">  Live (selected)</t>
  </si>
  <si>
    <t xml:space="preserve">Data Center GPU (Instinct) revenue growth</t>
  </si>
  <si>
    <t xml:space="preserve">DC networking, rack-scale &amp; other growth</t>
  </si>
  <si>
    <t xml:space="preserve">Client desktop CPU growth</t>
  </si>
  <si>
    <t xml:space="preserve">Client notebook CPU growth</t>
  </si>
  <si>
    <t xml:space="preserve">Gaming semi-custom SoC growth</t>
  </si>
  <si>
    <t xml:space="preserve">Gaming Radeon discrete GPU growth</t>
  </si>
  <si>
    <t xml:space="preserve">Embedded FPGA / adaptive SoC growth</t>
  </si>
  <si>
    <t xml:space="preserve">Embedded x86 growth</t>
  </si>
  <si>
    <t xml:space="preserve">Cost of sales ex-amortization, % of revenue</t>
  </si>
  <si>
    <t xml:space="preserve">R&amp;D, % of revenue</t>
  </si>
  <si>
    <t xml:space="preserve">MG&amp;A (net of licensing gains), % of revenue</t>
  </si>
  <si>
    <t xml:space="preserve">Capex, % of revenue</t>
  </si>
  <si>
    <t xml:space="preserve">Scenario outputs - static snapshot from full-model recalculation under each case; 'Live' column follows the selector</t>
  </si>
  <si>
    <t xml:space="preserve">Metric</t>
  </si>
  <si>
    <t xml:space="preserve">Bull</t>
  </si>
  <si>
    <t xml:space="preserve">Base</t>
  </si>
  <si>
    <t xml:space="preserve">Bear</t>
  </si>
  <si>
    <t xml:space="preserve">Live</t>
  </si>
  <si>
    <t xml:space="preserve">FY2026E revenue</t>
  </si>
  <si>
    <t xml:space="preserve">FY2030E revenue</t>
  </si>
  <si>
    <t xml:space="preserve">Revenue CAGR FY2025A-FY2030E</t>
  </si>
  <si>
    <t xml:space="preserve">FY2030E Data Center revenue</t>
  </si>
  <si>
    <t xml:space="preserve">FY2030E gross margin % (GAAP)</t>
  </si>
  <si>
    <t xml:space="preserve">FY2026E operating margin % (GAAP)</t>
  </si>
  <si>
    <t xml:space="preserve">FY2030E operating margin % (GAAP)</t>
  </si>
  <si>
    <t xml:space="preserve">FY2030E EBITDA</t>
  </si>
  <si>
    <t xml:space="preserve">FY2030E EBITDA margin %</t>
  </si>
  <si>
    <t xml:space="preserve">FY2030E net income</t>
  </si>
  <si>
    <t xml:space="preserve">FY2030E diluted EPS (USD)</t>
  </si>
  <si>
    <t xml:space="preserve">FY2030E approx. non-GAAP EPS (USD)</t>
  </si>
  <si>
    <t xml:space="preserve">FY2030E free cash flow</t>
  </si>
  <si>
    <t xml:space="preserve">FY2030E FCF margin %</t>
  </si>
  <si>
    <t xml:space="preserve">Cumulative FCF FY2026E-FY2030E</t>
  </si>
  <si>
    <t xml:space="preserve">FY2030E unlevered FCF</t>
  </si>
  <si>
    <t xml:space="preserve">Bull: MI450/Helios ramps on schedule with OpenAI, Anthropic, Meta, Microsoft and Oracle; DC GPU revenue +155% in FY2026E and +120% in FY2027E; EPYC share gains continue toward management's &gt;50% target; opex leverage drives GAAP operating margin toward the high-30s.</t>
  </si>
  <si>
    <t xml:space="preserve">Base: H1 FY2026 actuals plus Q3 guidance (about USD 13.0bn) anchor FY2026E; DC GPU growth decelerates from +140% to +15% by FY2030E; DC CAGR about 40% (below management's &gt;60% target); cost of sales ex-amortization falls to 44% of revenue on mix.</t>
  </si>
  <si>
    <t xml:space="preserve">Bear: rack-scale deployment delays and customer pushouts (OpenAI or Anthropic milestones slip), custom ASIC substitution and export-control drag; DC GPU growth slows to +40% in FY2027E; rack pass-through content dilutes gross margin; opex stays elevated.</t>
  </si>
  <si>
    <t xml:space="preserve">AMD - DCF Inputs (for Task 3 valuation)</t>
  </si>
  <si>
    <t xml:space="preserve">Unlevered FCF built from GAAP EBIT; SBC is treated as a real expense (not added back). USD millions.</t>
  </si>
  <si>
    <t xml:space="preserve">Revenue growth %</t>
  </si>
  <si>
    <t xml:space="preserve">EBIT (GAAP operating income)</t>
  </si>
  <si>
    <t xml:space="preserve">EBIT margin %</t>
  </si>
  <si>
    <t xml:space="preserve">Tax rate % (projection: model rate; hist: 15% normalized)</t>
  </si>
  <si>
    <t xml:space="preserve">NOPAT</t>
  </si>
  <si>
    <t xml:space="preserve">Add: D&amp;A (ex-intangibles)</t>
  </si>
  <si>
    <t xml:space="preserve">Add: amortization of acquired intangibles</t>
  </si>
  <si>
    <t xml:space="preserve">Less: capital expenditures</t>
  </si>
  <si>
    <t xml:space="preserve">Less: increase in net working capital</t>
  </si>
  <si>
    <t xml:space="preserve">UNLEVERED FREE CASH FLOW</t>
  </si>
  <si>
    <t xml:space="preserve">UFCF margin %</t>
  </si>
  <si>
    <t xml:space="preserve">Memo: stock-based compensation (already deducted in EBIT)</t>
  </si>
  <si>
    <t xml:space="preserve">Terminal-year metrics (FY2030E)</t>
  </si>
  <si>
    <t xml:space="preserve">FY2030E EBIT</t>
  </si>
  <si>
    <t xml:space="preserve">FY2030E NOPAT</t>
  </si>
  <si>
    <t xml:space="preserve">Capital structure &amp; market inputs (latest)</t>
  </si>
  <si>
    <t xml:space="preserve">Share price (USD), 2026-10-14</t>
  </si>
  <si>
    <t xml:space="preserve">stock-data get_quote</t>
  </si>
  <si>
    <t xml:space="preserve">Basic shares outstanding (M), 2026-06-27</t>
  </si>
  <si>
    <t xml:space="preserve">10-Q 2026-08-05</t>
  </si>
  <si>
    <t xml:space="preserve">Diluted weighted shares (M), Q2 FY2026</t>
  </si>
  <si>
    <t xml:space="preserve">Market capitalization (price x basic shares)</t>
  </si>
  <si>
    <t xml:space="preserve">Cash and cash equivalents, 2026-06-27</t>
  </si>
  <si>
    <t xml:space="preserve">Short-term investments, 2026-06-27</t>
  </si>
  <si>
    <t xml:space="preserve">Total debt (carrying), 2026-06-27</t>
  </si>
  <si>
    <t xml:space="preserve">Enterprise value (market cap - cash - STI + debt)</t>
  </si>
  <si>
    <t xml:space="preserve">EV / FY2026E revenue</t>
  </si>
  <si>
    <t xml:space="preserve">EV / FY2027E EBITDA</t>
  </si>
  <si>
    <t xml:space="preserve">P/E FY2027E (diluted EPS)</t>
  </si>
  <si>
    <t xml:space="preserve">OpenAI warrant: up to 160M shares (not in share count; model knowledge)</t>
  </si>
  <si>
    <t xml:space="preserve">excluded</t>
  </si>
  <si>
    <t xml:space="preserve">AMD - Discounted Cash Flow (two-stage: explicit FY2026E-FY2030E + 5-year fade FY2031E-FY2035E + Gordon terminal value)</t>
  </si>
  <si>
    <t xml:space="preserve">USD millions except per share. Valuation date 2026-10-14; balance sheet as of 2026-06-27, so only H2 FY2026E cash flow is included. Mid-period discounting.</t>
  </si>
  <si>
    <t xml:space="preserve">WACC BUILD</t>
  </si>
  <si>
    <t xml:space="preserve">Risk-free rate: 10-year UST (FRED DGS10, 2026-10-09)</t>
  </si>
  <si>
    <t xml:space="preserve">Equity risk premium (assumed)</t>
  </si>
  <si>
    <t xml:space="preserve">Peer median unlevered beta (Comps tab, Blume-adjusted 5y monthly)</t>
  </si>
  <si>
    <t xml:space="preserve">AMD debt / equity (market)</t>
  </si>
  <si>
    <t xml:space="preserve">Tax rate for levering / Kd shield</t>
  </si>
  <si>
    <t xml:space="preserve">Relevered beta applied to AMD</t>
  </si>
  <si>
    <t xml:space="preserve">Memo: AMD own beta, Blume-adjusted (raw 2.52)</t>
  </si>
  <si>
    <t xml:space="preserve">Cost of equity (CAPM)</t>
  </si>
  <si>
    <t xml:space="preserve">Pre-tax cost of debt (Rf + 0.6% A-rated spread, assumed)</t>
  </si>
  <si>
    <t xml:space="preserve">After-tax cost of debt</t>
  </si>
  <si>
    <t xml:space="preserve">Equity value (market cap)</t>
  </si>
  <si>
    <t xml:space="preserve">Debt (carrying, 2026-06-27)</t>
  </si>
  <si>
    <t xml:space="preserve">E / (D + E)</t>
  </si>
  <si>
    <t xml:space="preserve">WACC</t>
  </si>
  <si>
    <t xml:space="preserve">Terminal growth rate (nominal)</t>
  </si>
  <si>
    <t xml:space="preserve">Net cash: cash + ST investments - debt (2026-06-27)</t>
  </si>
  <si>
    <t xml:space="preserve">Diluted shares (M), Q2 FY2026</t>
  </si>
  <si>
    <t xml:space="preserve">Current share price (USD), 2026-10-14</t>
  </si>
  <si>
    <t xml:space="preserve">BASE DCF (linked live to the model; follows Scenarios!C3 selector - keep on 2 = Base)</t>
  </si>
  <si>
    <t xml:space="preserve">FY2026E (H2)</t>
  </si>
  <si>
    <t xml:space="preserve">FY2031E</t>
  </si>
  <si>
    <t xml:space="preserve">FY2032E</t>
  </si>
  <si>
    <t xml:space="preserve">FY2033E</t>
  </si>
  <si>
    <t xml:space="preserve">FY2034E</t>
  </si>
  <si>
    <t xml:space="preserve">FY2035E</t>
  </si>
  <si>
    <t xml:space="preserve">Stage</t>
  </si>
  <si>
    <t xml:space="preserve">Explicit (model)</t>
  </si>
  <si>
    <t xml:space="preserve">Fade</t>
  </si>
  <si>
    <t xml:space="preserve">Unlevered FCF (full year)</t>
  </si>
  <si>
    <t xml:space="preserve">Fraction of year included</t>
  </si>
  <si>
    <t xml:space="preserve">Cash flow discounted</t>
  </si>
  <si>
    <t xml:space="preserve">Discount period (years, mid-period)</t>
  </si>
  <si>
    <t xml:space="preserve">Discount factor</t>
  </si>
  <si>
    <t xml:space="preserve">Present value</t>
  </si>
  <si>
    <t xml:space="preserve">PV of explicit-period cash flows (H2 FY2026E-FY2030E)</t>
  </si>
  <si>
    <t xml:space="preserve">PV of fade-period cash flows (FY2031E-FY2035E)</t>
  </si>
  <si>
    <t xml:space="preserve">Terminal-year FCF (FY2036E = FY2035E x (1+g))</t>
  </si>
  <si>
    <t xml:space="preserve">Terminal value at end-FY2035E (Gordon growth)</t>
  </si>
  <si>
    <t xml:space="preserve">Discount period to end-FY2035E (years)</t>
  </si>
  <si>
    <t xml:space="preserve">PV of terminal value</t>
  </si>
  <si>
    <t xml:space="preserve">ENTERPRISE VALUE</t>
  </si>
  <si>
    <t xml:space="preserve">Terminal value as % of EV</t>
  </si>
  <si>
    <t xml:space="preserve">Plus: net cash</t>
  </si>
  <si>
    <t xml:space="preserve">EQUITY VALUE</t>
  </si>
  <si>
    <t xml:space="preserve">DCF VALUE PER SHARE (USD)</t>
  </si>
  <si>
    <t xml:space="preserve">Implied upside / (downside) vs. current price</t>
  </si>
  <si>
    <t xml:space="preserve">Implied EV / NTM revenue</t>
  </si>
  <si>
    <t xml:space="preserve">Implied terminal EV / FY2035E UFCF (x)</t>
  </si>
  <si>
    <t xml:space="preserve">BULL SCENARIO DCF (static snapshot of model outputs for this case; same WACC and fade)</t>
  </si>
  <si>
    <t xml:space="preserve">BASE (static) SCENARIO DCF (static snapshot of model outputs for this case; same WACC and fade)</t>
  </si>
  <si>
    <t xml:space="preserve">BEAR SCENARIO DCF (static snapshot of model outputs for this case; same WACC and fade)</t>
  </si>
  <si>
    <t xml:space="preserve">AMD - DCF Sensitivity Analysis (value per share, USD)</t>
  </si>
  <si>
    <t xml:space="preserve">Recomputes the base DCF (DCF tab) for each input pair. Fade-period revenue path held at base; terminal growth and WACC flexed.</t>
  </si>
  <si>
    <t xml:space="preserve">TABLE 1: WACC (rows) vs. terminal growth (columns)</t>
  </si>
  <si>
    <t xml:space="preserve">WACC \ g</t>
  </si>
  <si>
    <t xml:space="preserve">TABLE 2: WACC (rows) vs. fade-period &amp; terminal UFCF margin (columns); g = base</t>
  </si>
  <si>
    <t xml:space="preserve">WACC \ margin</t>
  </si>
  <si>
    <t xml:space="preserve">Memo: base fade/terminal UFCF margin =</t>
  </si>
  <si>
    <t xml:space="preserve">TABLE 3: Beta (rows) vs. equity risk premium (columns); g = base; WACC ~ cost of equity (debt &lt;1% of capital)</t>
  </si>
  <si>
    <t xml:space="preserve">Beta \ ERP</t>
  </si>
  <si>
    <t xml:space="preserve">TABLE 4: Comps - EV / NTM revenue multiple applied to AMD NTM revenue</t>
  </si>
  <si>
    <t xml:space="preserve">Multiple</t>
  </si>
  <si>
    <t xml:space="preserve">Implied value / share (USD)</t>
  </si>
  <si>
    <t xml:space="preserve">vs. price</t>
  </si>
  <si>
    <t xml:space="preserve">Multiple implied by current price (EV / NTM revenue)</t>
  </si>
  <si>
    <t xml:space="preserve">AMD - Trading Comparables (NVDA, AVGO, INTC, QCOM)</t>
  </si>
  <si>
    <t xml:space="preserve">USD millions except per share. Prices/market caps: stock-data get_quote 2026-10-14. Balance sheet &amp; LTM: SEC XBRL (stock-data get_financials), latest reported quarter. NTM revenue for peers = analyst estimates (no consensus feed). Betas: 5y monthly vs S&amp;P 500 (59 months to 2026-09), Blume-adjusted.</t>
  </si>
  <si>
    <t xml:space="preserve">Company</t>
  </si>
  <si>
    <t xml:space="preserve">Ticker</t>
  </si>
  <si>
    <t xml:space="preserve">Latest qtr end</t>
  </si>
  <si>
    <t xml:space="preserve">Price (USD)</t>
  </si>
  <si>
    <t xml:space="preserve">Market cap</t>
  </si>
  <si>
    <t xml:space="preserve">Total debt</t>
  </si>
  <si>
    <t xml:space="preserve">Cash + ST inv.</t>
  </si>
  <si>
    <t xml:space="preserve">Enterprise value</t>
  </si>
  <si>
    <t xml:space="preserve">LTM revenue</t>
  </si>
  <si>
    <t xml:space="preserve">NTM revenue (est.)</t>
  </si>
  <si>
    <t xml:space="preserve">LTM op. income</t>
  </si>
  <si>
    <t xml:space="preserve">LTM net income</t>
  </si>
  <si>
    <t xml:space="preserve">EV / LTM rev</t>
  </si>
  <si>
    <t xml:space="preserve">EV / NTM rev</t>
  </si>
  <si>
    <t xml:space="preserve">EV / LTM EBIT</t>
  </si>
  <si>
    <t xml:space="preserve">P/E LTM</t>
  </si>
  <si>
    <t xml:space="preserve">NTM rev growth</t>
  </si>
  <si>
    <t xml:space="preserve">LTM op. margin</t>
  </si>
  <si>
    <t xml:space="preserve">Raw beta</t>
  </si>
  <si>
    <t xml:space="preserve">Blume beta</t>
  </si>
  <si>
    <t xml:space="preserve">D/E (market)</t>
  </si>
  <si>
    <t xml:space="preserve">Unlevered beta</t>
  </si>
  <si>
    <t xml:space="preserve">NVIDIA</t>
  </si>
  <si>
    <t xml:space="preserve">NVDA</t>
  </si>
  <si>
    <t xml:space="preserve">2026-07-26</t>
  </si>
  <si>
    <t xml:space="preserve">NTM: Q3 FY27 guide 108,000 then +8% q/q (est.); cash excl. marketable securities (not tagged)</t>
  </si>
  <si>
    <t xml:space="preserve">Broadcom</t>
  </si>
  <si>
    <t xml:space="preserve">AVGO</t>
  </si>
  <si>
    <t xml:space="preserve">2026-08-02</t>
  </si>
  <si>
    <t xml:space="preserve">NTM: latest qtr 29,591 x4 x1.10 (est.)</t>
  </si>
  <si>
    <t xml:space="preserve">Intel</t>
  </si>
  <si>
    <t xml:space="preserve">INTC</t>
  </si>
  <si>
    <t xml:space="preserve">2026-06-27</t>
  </si>
  <si>
    <t xml:space="preserve">NTM: latest qtr x4 x1.02 (est.); LTM loss -&gt; P/E n.m.</t>
  </si>
  <si>
    <t xml:space="preserve">Qualcomm</t>
  </si>
  <si>
    <t xml:space="preserve">QCOM</t>
  </si>
  <si>
    <t xml:space="preserve">2026-06-28</t>
  </si>
  <si>
    <t xml:space="preserve">NTM: LTM x0.97 (est.); debt = last tagged total (FY2025Q4)</t>
  </si>
  <si>
    <t xml:space="preserve">STATISTICAL SUMMARY (peers)</t>
  </si>
  <si>
    <t xml:space="preserve">Maximum</t>
  </si>
  <si>
    <t xml:space="preserve">75th percentile</t>
  </si>
  <si>
    <t xml:space="preserve">Median</t>
  </si>
  <si>
    <t xml:space="preserve">25th percentile</t>
  </si>
  <si>
    <t xml:space="preserve">Minimum</t>
  </si>
  <si>
    <t xml:space="preserve">TARGET</t>
  </si>
  <si>
    <t xml:space="preserve">Advanced Micro Devices</t>
  </si>
  <si>
    <t xml:space="preserve">AMD</t>
  </si>
  <si>
    <t xml:space="preserve">NTM = 25% FY2026E + 75% FY2027E (model base case)</t>
  </si>
  <si>
    <t xml:space="preserve">AMD premium / (discount) to peer median EV/NTM revenue</t>
  </si>
  <si>
    <t xml:space="preserve">COMPS-IMPLIED VALUE (EV / NTM revenue applied to AMD NTM revenue)</t>
  </si>
  <si>
    <t xml:space="preserve">Case</t>
  </si>
  <si>
    <t xml:space="preserve">AMD NTM revenue</t>
  </si>
  <si>
    <t xml:space="preserve">Implied EV</t>
  </si>
  <si>
    <t xml:space="preserve">Net cash</t>
  </si>
  <si>
    <t xml:space="preserve">Equity value</t>
  </si>
  <si>
    <t xml:space="preserve">Diluted shares</t>
  </si>
  <si>
    <t xml:space="preserve">Value / share (USD)</t>
  </si>
  <si>
    <t xml:space="preserve">Peer selection: NVDA (AI GPU leader, direct DC competitor); AVGO (custom AI ASIC + networking, competes for hyperscaler AI budgets); INTC (x86 CPU rival in server and client); QCOM (Arm PC entrant; large fabless peer). Peer set specified by the user.</t>
  </si>
  <si>
    <t xml:space="preserve">Multiple choice: EV/NTM revenue is primary because AMD's GAAP earnings are depressed by acquisition amortization (USD ~2.1bn/yr) and Intel has negative LTM earnings. Median applied with no premium: AMD's faster growth than the median is offset by GAAP operating margin (~16%) far below NVDA/AVGO (48-65%).</t>
  </si>
  <si>
    <t xml:space="preserve">AMD - Valuation Summary, Price Target and Rating</t>
  </si>
  <si>
    <t xml:space="preserve">USD per share unless stated. 12-month price target. Rating bands: BUY if upside &gt; +15%; SELL if &lt; -10%; otherwise HOLD.</t>
  </si>
  <si>
    <t xml:space="preserve">Method</t>
  </si>
  <si>
    <t xml:space="preserve">Low</t>
  </si>
  <si>
    <t xml:space="preserve">High</t>
  </si>
  <si>
    <t xml:space="preserve">Weight</t>
  </si>
  <si>
    <t xml:space="preserve">Weighted</t>
  </si>
  <si>
    <t xml:space="preserve">Basis for range</t>
  </si>
  <si>
    <t xml:space="preserve">DCF (base case)</t>
  </si>
  <si>
    <t xml:space="preserve">WACC +/-1pp and g -/+0.5pp (Sensitivity Table 1)</t>
  </si>
  <si>
    <t xml:space="preserve">Trading comps (EV / NTM revenue)</t>
  </si>
  <si>
    <t xml:space="preserve">Peer 25th / median / 75th percentile</t>
  </si>
  <si>
    <t xml:space="preserve">Weighted value</t>
  </si>
  <si>
    <t xml:space="preserve">12-MONTH PRICE TARGET (rounded to nearest USD 5)</t>
  </si>
  <si>
    <t xml:space="preserve">Current price (2026-10-14)</t>
  </si>
  <si>
    <t xml:space="preserve">Implied upside / (downside)</t>
  </si>
  <si>
    <t xml:space="preserve">RATING</t>
  </si>
  <si>
    <t xml:space="preserve">Implied EV / NTM revenue at target</t>
  </si>
  <si>
    <t xml:space="preserve">Implied P/E on FY2027E GAAP EPS at target</t>
  </si>
  <si>
    <t xml:space="preserve">Implied P/E on FY2027E approx. non-GAAP EPS at target</t>
  </si>
  <si>
    <t xml:space="preserve">Current P/E on FY2027E approx. non-GAAP EPS</t>
  </si>
  <si>
    <t xml:space="preserve">SCENARIO DCF VALUES (static model snapshots, same WACC / fade / terminal growth)</t>
  </si>
  <si>
    <t xml:space="preserve">Scenario</t>
  </si>
  <si>
    <t xml:space="preserve">Probability</t>
  </si>
  <si>
    <t xml:space="preserve">FY2030E UFCF</t>
  </si>
  <si>
    <t xml:space="preserve">DCF value / share</t>
  </si>
  <si>
    <t xml:space="preserve">Prob.-weighted</t>
  </si>
  <si>
    <t xml:space="preserve">Probability-weighted DCF value</t>
  </si>
  <si>
    <t xml:space="preserve">FOOTBALL FIELD (USD per share)</t>
  </si>
  <si>
    <t xml:space="preserve">Range</t>
  </si>
  <si>
    <t xml:space="preserve">Midpoint</t>
  </si>
  <si>
    <t xml:space="preserve">DCF - base case (WACC +/-1pp, g +/-0.5pp)</t>
  </si>
  <si>
    <t xml:space="preserve">DCF - full sensitivity grid (Table 1)</t>
  </si>
  <si>
    <t xml:space="preserve">DCF - bear to bull scenarios</t>
  </si>
  <si>
    <t xml:space="preserve">Trading comps (25th-75th pct EV/NTM rev)</t>
  </si>
  <si>
    <t xml:space="preserve">52-week trading range</t>
  </si>
  <si>
    <t xml:space="preserve">Price target</t>
  </si>
  <si>
    <t xml:space="preserve">Current price</t>
  </si>
  <si>
    <t xml:space="preserve">Reverse DCF check: see Sensitivity Table 1/3 - the current price is not reached anywhere in the WACC 10-16% / g 2-4% grid under base-case cash flows.</t>
  </si>
  <si>
    <t xml:space="preserve">AMD - Quarterly History (8 quarters)</t>
  </si>
  <si>
    <t xml:space="preserve">USD millions. SEC XBRL via stock-data get_financials (Q4 values derived as FY - 9M). Segment data from 10-Qs / earnings releases.</t>
  </si>
  <si>
    <t xml:space="preserve">Q3 FY24</t>
  </si>
  <si>
    <t xml:space="preserve">Q4 FY24</t>
  </si>
  <si>
    <t xml:space="preserve">Q1 FY25</t>
  </si>
  <si>
    <t xml:space="preserve">Q2 FY25</t>
  </si>
  <si>
    <t xml:space="preserve">Q3 FY25</t>
  </si>
  <si>
    <t xml:space="preserve">Q4 FY25</t>
  </si>
  <si>
    <t xml:space="preserve">Q1 FY26</t>
  </si>
  <si>
    <t xml:space="preserve">Q2 FY26</t>
  </si>
  <si>
    <t xml:space="preserve">Period end</t>
  </si>
  <si>
    <t xml:space="preserve">2024-09-28</t>
  </si>
  <si>
    <t xml:space="preserve">2024-12-28</t>
  </si>
  <si>
    <t xml:space="preserve">2025-03-29</t>
  </si>
  <si>
    <t xml:space="preserve">2025-06-28</t>
  </si>
  <si>
    <t xml:space="preserve">2025-09-27</t>
  </si>
  <si>
    <t xml:space="preserve">2025-12-27</t>
  </si>
  <si>
    <t xml:space="preserve">2026-03-28</t>
  </si>
  <si>
    <t xml:space="preserve">Cost of revenue (incl. amortization)</t>
  </si>
  <si>
    <t xml:space="preserve">Research &amp; development</t>
  </si>
  <si>
    <t xml:space="preserve">SG&amp;A / MG&amp;A</t>
  </si>
  <si>
    <t xml:space="preserve">Total operating expenses (XBRL, incl. amortization)</t>
  </si>
  <si>
    <t xml:space="preserve">Operating income</t>
  </si>
  <si>
    <t xml:space="preserve">Pre-tax income</t>
  </si>
  <si>
    <t xml:space="preserve">Income tax</t>
  </si>
  <si>
    <t xml:space="preserve">Net income</t>
  </si>
  <si>
    <t xml:space="preserve">Diluted EPS (USD)</t>
  </si>
  <si>
    <t xml:space="preserve">Diluted shares (M)</t>
  </si>
  <si>
    <t xml:space="preserve">Operating cash flow</t>
  </si>
  <si>
    <t xml:space="preserve">Capex</t>
  </si>
  <si>
    <t xml:space="preserve">Free cash flow (OCF - capex)</t>
  </si>
  <si>
    <t xml:space="preserve">Stock-based compensation</t>
  </si>
  <si>
    <t xml:space="preserve">Share repurchases</t>
  </si>
  <si>
    <t xml:space="preserve">Cash and equivalents</t>
  </si>
  <si>
    <t xml:space="preserve">Short-term investments</t>
  </si>
  <si>
    <t xml:space="preserve">Inventories</t>
  </si>
  <si>
    <t xml:space="preserve">Total assets</t>
  </si>
  <si>
    <t xml:space="preserve">Total debt (current + long-term)</t>
  </si>
  <si>
    <t xml:space="preserve">Stockholders' equity</t>
  </si>
  <si>
    <t xml:space="preserve">Ratios</t>
  </si>
  <si>
    <t xml:space="preserve">Gross margin % (GAAP)</t>
  </si>
  <si>
    <t xml:space="preserve">Operating margin % (GAAP)</t>
  </si>
  <si>
    <t xml:space="preserve">Revenue YoY %</t>
  </si>
  <si>
    <t xml:space="preserve">Data Center YoY %</t>
  </si>
  <si>
    <t xml:space="preserve">Segment sum check (should be 0)</t>
  </si>
  <si>
    <t xml:space="preserve">FY2026E bridge (calibration of annual projection)</t>
  </si>
  <si>
    <t xml:space="preserve">H1 FY2026 actual revenue</t>
  </si>
  <si>
    <t xml:space="preserve">Q3 FY2026 guidance midpoint (2026-08-05)</t>
  </si>
  <si>
    <t xml:space="preserve">Implied Q4 FY2026E revenue in model</t>
  </si>
  <si>
    <t xml:space="preserve">Implied Q4 QoQ growth %</t>
  </si>
  <si>
    <t xml:space="preserve">AMD - Model Integrity Checks</t>
  </si>
  <si>
    <t xml:space="preserve">Balance sheet balances (|A - L - E| &lt; 0.5)</t>
  </si>
  <si>
    <t xml:space="preserve">CF ending cash = BS cash (projections)</t>
  </si>
  <si>
    <t xml:space="preserve">Revenue: product = geography</t>
  </si>
  <si>
    <t xml:space="preserve">Revenue: Revenue Model = Income Statement</t>
  </si>
  <si>
    <t xml:space="preserve">Geographic shares sum to 100%</t>
  </si>
  <si>
    <t xml:space="preserve">Historical tie-outs to reported figures</t>
  </si>
  <si>
    <t xml:space="preserve">Revenue (reported)</t>
  </si>
  <si>
    <t xml:space="preserve">  ties?</t>
  </si>
  <si>
    <t xml:space="preserve">Gross profit (reported)</t>
  </si>
  <si>
    <t xml:space="preserve">Operating income (reported)</t>
  </si>
  <si>
    <t xml:space="preserve">Net income (reported)</t>
  </si>
  <si>
    <t xml:space="preserve">Diluted EPS (reported)</t>
  </si>
  <si>
    <t xml:space="preserve">Operating cash flow (reported)</t>
  </si>
  <si>
    <t xml:space="preserve">Investing cash flow (reported)</t>
  </si>
  <si>
    <t xml:space="preserve">Financing cash flow (reported)</t>
  </si>
  <si>
    <t xml:space="preserve">Total assets (reported)</t>
  </si>
  <si>
    <t xml:space="preserve">Stockholders' equity (reported)</t>
  </si>
  <si>
    <t xml:space="preserve">Total current assets (reported)</t>
  </si>
  <si>
    <t xml:space="preserve">Total current liabilities (reported)</t>
  </si>
  <si>
    <t xml:space="preserve">Data Center segment revenue (reported)</t>
  </si>
  <si>
    <t xml:space="preserve">Client segment revenue (reported)</t>
  </si>
  <si>
    <t xml:space="preserve">Gaming segment revenue (reported)</t>
  </si>
  <si>
    <t xml:space="preserve">Embedded segment revenue (reported)</t>
  </si>
  <si>
    <t xml:space="preserve">Quarterly segment sums tie to revenue</t>
  </si>
  <si>
    <t xml:space="preserve">ALL CHECKS PASS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</si>
</sst>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#,##0;\(#,##0\);\-"/>
    <numFmt numFmtId="166" formatCode="0.0%;\(0.0%\);\-"/>
    <numFmt numFmtId="167" formatCode="0.00;\(0.00\)"/>
    <numFmt numFmtId="168" formatCode="0.0"/>
    <numFmt numFmtId="169" formatCode="0.00\x"/>
    <numFmt numFmtId="170" formatCode="0.00"/>
    <numFmt numFmtId="171" formatCode="0.0\x"/>
    <numFmt numFmtId="172" formatCode="0.0%;\(0.0%\);\-"/>
    <numFmt numFmtId="173" formatCode="0.00%"/>
    <numFmt numFmtId="174" formatCode="#,##0;\(#,##0\);\-"/>
    <numFmt numFmtId="175" formatCode="#,##0.00"/>
    <numFmt numFmtId="176" formatCode="0.000"/>
    <numFmt numFmtId="177" formatCode="0.0\x"/>
    <numFmt numFmtId="178" formatCode="@"/>
    <numFmt numFmtId="179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Times New Roman"/>
      <family val="0"/>
      <charset val="1"/>
    </font>
    <font>
      <sz val="10"/>
      <color rgb="FF000000"/>
      <name val="Times New Roman"/>
      <family val="0"/>
      <charset val="1"/>
    </font>
    <font>
      <b val="true"/>
      <sz val="10"/>
      <color rgb="FF000000"/>
      <name val="Times New Roman"/>
      <family val="0"/>
      <charset val="1"/>
    </font>
    <font>
      <i val="true"/>
      <sz val="9"/>
      <name val="Times New Roman"/>
      <family val="0"/>
      <charset val="1"/>
    </font>
    <font>
      <b val="true"/>
      <sz val="10"/>
      <color rgb="FFFFFFFF"/>
      <name val="Times New Roman"/>
      <family val="0"/>
      <charset val="1"/>
    </font>
    <font>
      <i val="true"/>
      <sz val="8"/>
      <color rgb="FF7F7F7F"/>
      <name val="Times New Roman"/>
      <family val="0"/>
      <charset val="1"/>
    </font>
    <font>
      <sz val="10"/>
      <color rgb="FF0000FF"/>
      <name val="Times New Roman"/>
      <family val="0"/>
      <charset val="1"/>
    </font>
    <font>
      <sz val="10"/>
      <color rgb="FF008000"/>
      <name val="Times New Roman"/>
      <family val="0"/>
      <charset val="1"/>
    </font>
    <font>
      <i val="true"/>
      <sz val="9"/>
      <color rgb="FFC00000"/>
      <name val="Times New Roman"/>
      <family val="0"/>
      <charset val="1"/>
    </font>
    <font>
      <b val="true"/>
      <sz val="10"/>
      <color rgb="FF0000FF"/>
      <name val="Times New Roman"/>
      <family val="0"/>
      <charset val="1"/>
    </font>
    <font>
      <i val="true"/>
      <sz val="10"/>
      <color rgb="FF595959"/>
      <name val="Times New Roman"/>
      <family val="0"/>
      <charset val="1"/>
    </font>
    <font>
      <sz val="9"/>
      <name val="Times New Roman"/>
      <family val="0"/>
      <charset val="1"/>
    </font>
    <font>
      <b val="true"/>
      <sz val="10"/>
      <color rgb="FF008000"/>
      <name val="Times New Roman"/>
      <family val="0"/>
      <charset val="1"/>
    </font>
    <font>
      <b val="true"/>
      <sz val="10"/>
      <name val="Times New Roman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0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3"/>
    </row>
    <row r="6" customFormat="false" ht="15" hidden="false" customHeight="true" outlineLevel="0" collapsed="false">
      <c r="A6" s="4" t="s">
        <v>3</v>
      </c>
    </row>
    <row r="7" customFormat="false" ht="15" hidden="false" customHeight="true" outlineLevel="0" collapsed="false">
      <c r="A7" s="4" t="s">
        <v>4</v>
      </c>
    </row>
    <row r="8" customFormat="false" ht="15" hidden="false" customHeight="true" outlineLevel="0" collapsed="false">
      <c r="A8" s="3"/>
    </row>
    <row r="9" customFormat="false" ht="15" hidden="false" customHeight="true" outlineLevel="0" collapsed="false">
      <c r="A9" s="4" t="s">
        <v>5</v>
      </c>
    </row>
    <row r="10" customFormat="false" ht="15" hidden="false" customHeight="true" outlineLevel="0" collapsed="false">
      <c r="A10" s="3" t="s">
        <v>6</v>
      </c>
    </row>
    <row r="11" customFormat="false" ht="15" hidden="false" customHeight="true" outlineLevel="0" collapsed="false">
      <c r="A11" s="3" t="s">
        <v>7</v>
      </c>
    </row>
    <row r="12" customFormat="false" ht="15" hidden="false" customHeight="true" outlineLevel="0" collapsed="false">
      <c r="A12" s="3" t="s">
        <v>8</v>
      </c>
    </row>
    <row r="13" customFormat="false" ht="15" hidden="false" customHeight="true" outlineLevel="0" collapsed="false">
      <c r="A13" s="3" t="s">
        <v>9</v>
      </c>
    </row>
    <row r="14" customFormat="false" ht="15" hidden="false" customHeight="true" outlineLevel="0" collapsed="false">
      <c r="A14" s="3" t="s">
        <v>10</v>
      </c>
    </row>
    <row r="15" customFormat="false" ht="15" hidden="false" customHeight="true" outlineLevel="0" collapsed="false">
      <c r="A15" s="3" t="s">
        <v>11</v>
      </c>
    </row>
    <row r="16" customFormat="false" ht="15" hidden="false" customHeight="true" outlineLevel="0" collapsed="false">
      <c r="A16" s="3"/>
    </row>
    <row r="17" customFormat="false" ht="15" hidden="false" customHeight="true" outlineLevel="0" collapsed="false">
      <c r="A17" s="4" t="s">
        <v>12</v>
      </c>
    </row>
    <row r="18" customFormat="false" ht="15" hidden="false" customHeight="true" outlineLevel="0" collapsed="false">
      <c r="A18" s="3" t="s">
        <v>13</v>
      </c>
    </row>
    <row r="19" customFormat="false" ht="15" hidden="false" customHeight="true" outlineLevel="0" collapsed="false">
      <c r="A19" s="3" t="s">
        <v>14</v>
      </c>
    </row>
    <row r="20" customFormat="false" ht="15" hidden="false" customHeight="true" outlineLevel="0" collapsed="false">
      <c r="A20" s="3" t="s">
        <v>15</v>
      </c>
    </row>
    <row r="21" customFormat="false" ht="15" hidden="false" customHeight="true" outlineLevel="0" collapsed="false">
      <c r="A21" s="3" t="s">
        <v>16</v>
      </c>
    </row>
    <row r="22" customFormat="false" ht="15" hidden="false" customHeight="true" outlineLevel="0" collapsed="false">
      <c r="A22" s="3" t="s">
        <v>17</v>
      </c>
    </row>
    <row r="23" customFormat="false" ht="15" hidden="false" customHeight="true" outlineLevel="0" collapsed="false">
      <c r="A23" s="3" t="s">
        <v>18</v>
      </c>
    </row>
    <row r="24" customFormat="false" ht="15" hidden="false" customHeight="true" outlineLevel="0" collapsed="false">
      <c r="A24" s="3" t="s">
        <v>19</v>
      </c>
    </row>
    <row r="25" customFormat="false" ht="15" hidden="false" customHeight="true" outlineLevel="0" collapsed="false">
      <c r="A25" s="3" t="s">
        <v>20</v>
      </c>
    </row>
    <row r="26" customFormat="false" ht="15" hidden="false" customHeight="true" outlineLevel="0" collapsed="false">
      <c r="A26" s="3"/>
    </row>
    <row r="27" customFormat="false" ht="15" hidden="false" customHeight="true" outlineLevel="0" collapsed="false">
      <c r="A27" s="4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8"/>
    <col collapsed="false" customWidth="true" hidden="false" outlineLevel="0" max="11" min="3" style="1" width="11"/>
  </cols>
  <sheetData>
    <row r="1" customFormat="false" ht="17.25" hidden="false" customHeight="true" outlineLevel="0" collapsed="false">
      <c r="A1" s="2" t="s">
        <v>22</v>
      </c>
    </row>
    <row r="2" customFormat="false" ht="15" hidden="false" customHeight="true" outlineLevel="0" collapsed="false">
      <c r="A2" s="5" t="s">
        <v>23</v>
      </c>
    </row>
    <row r="4" customFormat="false" ht="15" hidden="false" customHeight="true" outlineLevel="0" collapsed="false">
      <c r="A4" s="6" t="s">
        <v>24</v>
      </c>
      <c r="B4" s="6"/>
      <c r="C4" s="7" t="s">
        <v>25</v>
      </c>
      <c r="D4" s="7" t="s">
        <v>26</v>
      </c>
      <c r="E4" s="7" t="s">
        <v>27</v>
      </c>
      <c r="F4" s="7" t="s">
        <v>28</v>
      </c>
      <c r="G4" s="7" t="s">
        <v>29</v>
      </c>
      <c r="H4" s="7" t="s">
        <v>30</v>
      </c>
      <c r="I4" s="7" t="s">
        <v>31</v>
      </c>
      <c r="J4" s="7" t="s">
        <v>32</v>
      </c>
      <c r="K4" s="7" t="s">
        <v>33</v>
      </c>
    </row>
    <row r="5" customFormat="false" ht="15" hidden="false" customHeight="true" outlineLevel="0" collapsed="false">
      <c r="A5" s="8" t="s">
        <v>34</v>
      </c>
      <c r="B5" s="9"/>
      <c r="C5" s="9"/>
      <c r="D5" s="9"/>
      <c r="E5" s="9"/>
      <c r="F5" s="9"/>
      <c r="G5" s="9"/>
      <c r="H5" s="9"/>
      <c r="I5" s="9"/>
      <c r="J5" s="9"/>
      <c r="K5" s="9"/>
    </row>
    <row r="6" customFormat="false" ht="15" hidden="false" customHeight="true" outlineLevel="0" collapsed="false">
      <c r="A6" s="3" t="s">
        <v>35</v>
      </c>
      <c r="B6" s="10" t="s">
        <v>36</v>
      </c>
      <c r="C6" s="11" t="n">
        <v>5493</v>
      </c>
      <c r="D6" s="11" t="n">
        <v>5596</v>
      </c>
      <c r="E6" s="11" t="n">
        <v>7329</v>
      </c>
      <c r="F6" s="11" t="n">
        <v>9735</v>
      </c>
      <c r="G6" s="12" t="n">
        <f aca="false">F6*(1+G7)</f>
        <v>13629</v>
      </c>
      <c r="H6" s="12" t="n">
        <f aca="false">G6*(1+H7)</f>
        <v>17036.25</v>
      </c>
      <c r="I6" s="12" t="n">
        <f aca="false">H6*(1+I7)</f>
        <v>19591.6875</v>
      </c>
      <c r="J6" s="12" t="n">
        <f aca="false">I6*(1+J7)</f>
        <v>21942.69</v>
      </c>
      <c r="K6" s="12" t="n">
        <f aca="false">J6*(1+K7)</f>
        <v>24136.959</v>
      </c>
    </row>
    <row r="7" customFormat="false" ht="15" hidden="false" customHeight="true" outlineLevel="0" collapsed="false">
      <c r="A7" s="3" t="s">
        <v>37</v>
      </c>
      <c r="D7" s="13" t="n">
        <f aca="false">D6/C6-1</f>
        <v>0.0187511378117604</v>
      </c>
      <c r="E7" s="13" t="n">
        <f aca="false">E6/D6-1</f>
        <v>0.309685489635454</v>
      </c>
      <c r="F7" s="13" t="n">
        <f aca="false">F6/E6-1</f>
        <v>0.328284895620139</v>
      </c>
      <c r="G7" s="14" t="n">
        <f aca="false">Scenarios!G9</f>
        <v>0.4</v>
      </c>
      <c r="H7" s="14" t="n">
        <f aca="false">Scenarios!H9</f>
        <v>0.25</v>
      </c>
      <c r="I7" s="14" t="n">
        <f aca="false">Scenarios!I9</f>
        <v>0.15</v>
      </c>
      <c r="J7" s="14" t="n">
        <f aca="false">Scenarios!J9</f>
        <v>0.12</v>
      </c>
      <c r="K7" s="14" t="n">
        <f aca="false">Scenarios!K9</f>
        <v>0.1</v>
      </c>
    </row>
    <row r="8" customFormat="false" ht="15" hidden="false" customHeight="true" outlineLevel="0" collapsed="false">
      <c r="A8" s="3" t="s">
        <v>38</v>
      </c>
      <c r="B8" s="10" t="s">
        <v>36</v>
      </c>
      <c r="C8" s="11" t="n">
        <v>400</v>
      </c>
      <c r="D8" s="11" t="n">
        <v>700</v>
      </c>
      <c r="E8" s="11" t="n">
        <v>5000</v>
      </c>
      <c r="F8" s="11" t="n">
        <v>6500</v>
      </c>
      <c r="G8" s="12" t="n">
        <f aca="false">F8*(1+G9)</f>
        <v>15600</v>
      </c>
      <c r="H8" s="12" t="n">
        <f aca="false">G8*(1+H9)</f>
        <v>29640</v>
      </c>
      <c r="I8" s="12" t="n">
        <f aca="false">H8*(1+I9)</f>
        <v>42978</v>
      </c>
      <c r="J8" s="12" t="n">
        <f aca="false">I8*(1+J9)</f>
        <v>53722.5</v>
      </c>
      <c r="K8" s="12" t="n">
        <f aca="false">J8*(1+K9)</f>
        <v>61780.875</v>
      </c>
    </row>
    <row r="9" customFormat="false" ht="15" hidden="false" customHeight="true" outlineLevel="0" collapsed="false">
      <c r="A9" s="3" t="s">
        <v>37</v>
      </c>
      <c r="D9" s="13" t="n">
        <f aca="false">D8/C8-1</f>
        <v>0.75</v>
      </c>
      <c r="E9" s="13" t="n">
        <f aca="false">E8/D8-1</f>
        <v>6.14285714285714</v>
      </c>
      <c r="F9" s="13" t="n">
        <f aca="false">F8/E8-1</f>
        <v>0.3</v>
      </c>
      <c r="G9" s="14" t="n">
        <f aca="false">Scenarios!G15</f>
        <v>1.4</v>
      </c>
      <c r="H9" s="14" t="n">
        <f aca="false">Scenarios!H15</f>
        <v>0.9</v>
      </c>
      <c r="I9" s="14" t="n">
        <f aca="false">Scenarios!I15</f>
        <v>0.45</v>
      </c>
      <c r="J9" s="14" t="n">
        <f aca="false">Scenarios!J15</f>
        <v>0.25</v>
      </c>
      <c r="K9" s="14" t="n">
        <f aca="false">Scenarios!K15</f>
        <v>0.15</v>
      </c>
    </row>
    <row r="10" customFormat="false" ht="15" hidden="false" customHeight="true" outlineLevel="0" collapsed="false">
      <c r="A10" s="3" t="s">
        <v>39</v>
      </c>
      <c r="B10" s="10" t="s">
        <v>36</v>
      </c>
      <c r="C10" s="11" t="n">
        <v>150</v>
      </c>
      <c r="D10" s="11" t="n">
        <v>200</v>
      </c>
      <c r="E10" s="11" t="n">
        <v>250</v>
      </c>
      <c r="F10" s="11" t="n">
        <v>400</v>
      </c>
      <c r="G10" s="12" t="n">
        <f aca="false">F10*(1+G11)</f>
        <v>1000</v>
      </c>
      <c r="H10" s="12" t="n">
        <f aca="false">G10*(1+H11)</f>
        <v>2000</v>
      </c>
      <c r="I10" s="12" t="n">
        <f aca="false">H10*(1+I11)</f>
        <v>3000</v>
      </c>
      <c r="J10" s="12" t="n">
        <f aca="false">I10*(1+J11)</f>
        <v>3900</v>
      </c>
      <c r="K10" s="12" t="n">
        <f aca="false">J10*(1+K11)</f>
        <v>4680</v>
      </c>
    </row>
    <row r="11" customFormat="false" ht="15" hidden="false" customHeight="true" outlineLevel="0" collapsed="false">
      <c r="A11" s="3" t="s">
        <v>37</v>
      </c>
      <c r="D11" s="13" t="n">
        <f aca="false">D10/C10-1</f>
        <v>0.333333333333333</v>
      </c>
      <c r="E11" s="13" t="n">
        <f aca="false">E10/D10-1</f>
        <v>0.25</v>
      </c>
      <c r="F11" s="13" t="n">
        <f aca="false">F10/E10-1</f>
        <v>0.6</v>
      </c>
      <c r="G11" s="14" t="n">
        <f aca="false">Scenarios!G21</f>
        <v>1.5</v>
      </c>
      <c r="H11" s="14" t="n">
        <f aca="false">Scenarios!H21</f>
        <v>1</v>
      </c>
      <c r="I11" s="14" t="n">
        <f aca="false">Scenarios!I21</f>
        <v>0.5</v>
      </c>
      <c r="J11" s="14" t="n">
        <f aca="false">Scenarios!J21</f>
        <v>0.3</v>
      </c>
      <c r="K11" s="14" t="n">
        <f aca="false">Scenarios!K21</f>
        <v>0.2</v>
      </c>
    </row>
    <row r="12" customFormat="false" ht="15" hidden="false" customHeight="true" outlineLevel="0" collapsed="false">
      <c r="A12" s="4" t="s">
        <v>40</v>
      </c>
      <c r="C12" s="15" t="n">
        <f aca="false">C6+C8+C10</f>
        <v>6043</v>
      </c>
      <c r="D12" s="15" t="n">
        <f aca="false">D6+D8+D10</f>
        <v>6496</v>
      </c>
      <c r="E12" s="15" t="n">
        <f aca="false">E6+E8+E10</f>
        <v>12579</v>
      </c>
      <c r="F12" s="15" t="n">
        <f aca="false">F6+F8+F10</f>
        <v>16635</v>
      </c>
      <c r="G12" s="15" t="n">
        <f aca="false">G6+G8+G10</f>
        <v>30229</v>
      </c>
      <c r="H12" s="15" t="n">
        <f aca="false">H6+H8+H10</f>
        <v>48676.25</v>
      </c>
      <c r="I12" s="15" t="n">
        <f aca="false">I6+I8+I10</f>
        <v>65569.6875</v>
      </c>
      <c r="J12" s="15" t="n">
        <f aca="false">J6+J8+J10</f>
        <v>79565.19</v>
      </c>
      <c r="K12" s="15" t="n">
        <f aca="false">K6+K8+K10</f>
        <v>90597.834</v>
      </c>
    </row>
    <row r="13" customFormat="false" ht="15" hidden="false" customHeight="true" outlineLevel="0" collapsed="false">
      <c r="A13" s="3" t="s">
        <v>41</v>
      </c>
      <c r="C13" s="13" t="n">
        <f aca="false">C12/C47</f>
        <v>0.256048472522351</v>
      </c>
      <c r="D13" s="13" t="n">
        <f aca="false">D12/D47</f>
        <v>0.28641975308642</v>
      </c>
      <c r="E13" s="13" t="n">
        <f aca="false">E12/E47</f>
        <v>0.487841768470041</v>
      </c>
      <c r="F13" s="13" t="n">
        <f aca="false">F12/F47</f>
        <v>0.480239036923699</v>
      </c>
      <c r="G13" s="16" t="n">
        <f aca="false">G12/G47</f>
        <v>0.610989277521197</v>
      </c>
      <c r="H13" s="16" t="n">
        <f aca="false">H12/H47</f>
        <v>0.704257294210958</v>
      </c>
      <c r="I13" s="16" t="n">
        <f aca="false">I12/I47</f>
        <v>0.750077927199268</v>
      </c>
      <c r="J13" s="16" t="n">
        <f aca="false">J12/J47</f>
        <v>0.774895747543709</v>
      </c>
      <c r="K13" s="16" t="n">
        <f aca="false">K12/K47</f>
        <v>0.791169146594294</v>
      </c>
    </row>
    <row r="14" customFormat="false" ht="15" hidden="false" customHeight="true" outlineLevel="0" collapsed="false">
      <c r="A14" s="3" t="s">
        <v>42</v>
      </c>
      <c r="D14" s="13" t="n">
        <f aca="false">D12/C12-1</f>
        <v>0.0749627668376633</v>
      </c>
      <c r="E14" s="13" t="n">
        <f aca="false">E12/D12-1</f>
        <v>0.936422413793103</v>
      </c>
      <c r="F14" s="13" t="n">
        <f aca="false">F12/E12-1</f>
        <v>0.322442165513952</v>
      </c>
      <c r="G14" s="16" t="n">
        <f aca="false">G12/F12-1</f>
        <v>0.817192666065524</v>
      </c>
      <c r="H14" s="16" t="n">
        <f aca="false">H12/G12-1</f>
        <v>0.610250090972245</v>
      </c>
      <c r="I14" s="16" t="n">
        <f aca="false">I12/H12-1</f>
        <v>0.347057086361419</v>
      </c>
      <c r="J14" s="16" t="n">
        <f aca="false">J12/I12-1</f>
        <v>0.21344470339286</v>
      </c>
      <c r="K14" s="16" t="n">
        <f aca="false">K12/J12-1</f>
        <v>0.138661693637632</v>
      </c>
    </row>
    <row r="16" customFormat="false" ht="15" hidden="false" customHeight="true" outlineLevel="0" collapsed="false">
      <c r="A16" s="8" t="s">
        <v>43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customFormat="false" ht="15" hidden="false" customHeight="true" outlineLevel="0" collapsed="false">
      <c r="A17" s="3" t="s">
        <v>44</v>
      </c>
      <c r="B17" s="10" t="s">
        <v>36</v>
      </c>
      <c r="C17" s="11" t="n">
        <v>2790</v>
      </c>
      <c r="D17" s="11" t="n">
        <v>2093</v>
      </c>
      <c r="E17" s="11" t="n">
        <v>3174</v>
      </c>
      <c r="F17" s="11" t="n">
        <v>5320</v>
      </c>
      <c r="G17" s="12" t="n">
        <f aca="false">F17*(1+G18)</f>
        <v>6118</v>
      </c>
      <c r="H17" s="12" t="n">
        <f aca="false">G17*(1+H18)</f>
        <v>6485.08</v>
      </c>
      <c r="I17" s="12" t="n">
        <f aca="false">H17*(1+I18)</f>
        <v>6809.334</v>
      </c>
      <c r="J17" s="12" t="n">
        <f aca="false">I17*(1+J18)</f>
        <v>7149.8007</v>
      </c>
      <c r="K17" s="12" t="n">
        <f aca="false">J17*(1+K18)</f>
        <v>7435.792728</v>
      </c>
    </row>
    <row r="18" customFormat="false" ht="15" hidden="false" customHeight="true" outlineLevel="0" collapsed="false">
      <c r="A18" s="3" t="s">
        <v>37</v>
      </c>
      <c r="D18" s="13" t="n">
        <f aca="false">D17/C17-1</f>
        <v>-0.249820788530466</v>
      </c>
      <c r="E18" s="13" t="n">
        <f aca="false">E17/D17-1</f>
        <v>0.516483516483516</v>
      </c>
      <c r="F18" s="13" t="n">
        <f aca="false">F17/E17-1</f>
        <v>0.676118462507876</v>
      </c>
      <c r="G18" s="14" t="n">
        <f aca="false">Scenarios!G27</f>
        <v>0.15</v>
      </c>
      <c r="H18" s="14" t="n">
        <f aca="false">Scenarios!H27</f>
        <v>0.06</v>
      </c>
      <c r="I18" s="14" t="n">
        <f aca="false">Scenarios!I27</f>
        <v>0.05</v>
      </c>
      <c r="J18" s="14" t="n">
        <f aca="false">Scenarios!J27</f>
        <v>0.05</v>
      </c>
      <c r="K18" s="14" t="n">
        <f aca="false">Scenarios!K27</f>
        <v>0.04</v>
      </c>
    </row>
    <row r="19" customFormat="false" ht="15" hidden="false" customHeight="true" outlineLevel="0" collapsed="false">
      <c r="A19" s="3" t="s">
        <v>45</v>
      </c>
      <c r="B19" s="10" t="s">
        <v>36</v>
      </c>
      <c r="C19" s="11" t="n">
        <v>3411</v>
      </c>
      <c r="D19" s="11" t="n">
        <v>2558</v>
      </c>
      <c r="E19" s="11" t="n">
        <v>3880</v>
      </c>
      <c r="F19" s="11" t="n">
        <v>5320</v>
      </c>
      <c r="G19" s="12" t="n">
        <f aca="false">F19*(1+G20)</f>
        <v>6118</v>
      </c>
      <c r="H19" s="12" t="n">
        <f aca="false">G19*(1+H20)</f>
        <v>6485.08</v>
      </c>
      <c r="I19" s="12" t="n">
        <f aca="false">H19*(1+I20)</f>
        <v>6809.334</v>
      </c>
      <c r="J19" s="12" t="n">
        <f aca="false">I19*(1+J20)</f>
        <v>7149.8007</v>
      </c>
      <c r="K19" s="12" t="n">
        <f aca="false">J19*(1+K20)</f>
        <v>7435.792728</v>
      </c>
    </row>
    <row r="20" customFormat="false" ht="15" hidden="false" customHeight="true" outlineLevel="0" collapsed="false">
      <c r="A20" s="3" t="s">
        <v>37</v>
      </c>
      <c r="D20" s="13" t="n">
        <f aca="false">D19/C19-1</f>
        <v>-0.250073292289651</v>
      </c>
      <c r="E20" s="13" t="n">
        <f aca="false">E19/D19-1</f>
        <v>0.516810007818608</v>
      </c>
      <c r="F20" s="13" t="n">
        <f aca="false">F19/E19-1</f>
        <v>0.371134020618557</v>
      </c>
      <c r="G20" s="14" t="n">
        <f aca="false">Scenarios!G33</f>
        <v>0.15</v>
      </c>
      <c r="H20" s="14" t="n">
        <f aca="false">Scenarios!H33</f>
        <v>0.06</v>
      </c>
      <c r="I20" s="14" t="n">
        <f aca="false">Scenarios!I33</f>
        <v>0.05</v>
      </c>
      <c r="J20" s="14" t="n">
        <f aca="false">Scenarios!J33</f>
        <v>0.05</v>
      </c>
      <c r="K20" s="14" t="n">
        <f aca="false">Scenarios!K33</f>
        <v>0.04</v>
      </c>
    </row>
    <row r="21" customFormat="false" ht="15" hidden="false" customHeight="true" outlineLevel="0" collapsed="false">
      <c r="A21" s="4" t="s">
        <v>46</v>
      </c>
      <c r="C21" s="15" t="n">
        <f aca="false">C17+C19</f>
        <v>6201</v>
      </c>
      <c r="D21" s="15" t="n">
        <f aca="false">D17+D19</f>
        <v>4651</v>
      </c>
      <c r="E21" s="15" t="n">
        <f aca="false">E17+E19</f>
        <v>7054</v>
      </c>
      <c r="F21" s="15" t="n">
        <f aca="false">F17+F19</f>
        <v>10640</v>
      </c>
      <c r="G21" s="15" t="n">
        <f aca="false">G17+G19</f>
        <v>12236</v>
      </c>
      <c r="H21" s="15" t="n">
        <f aca="false">H17+H19</f>
        <v>12970.16</v>
      </c>
      <c r="I21" s="15" t="n">
        <f aca="false">I17+I19</f>
        <v>13618.668</v>
      </c>
      <c r="J21" s="15" t="n">
        <f aca="false">J17+J19</f>
        <v>14299.6014</v>
      </c>
      <c r="K21" s="15" t="n">
        <f aca="false">K17+K19</f>
        <v>14871.585456</v>
      </c>
    </row>
    <row r="22" customFormat="false" ht="15" hidden="false" customHeight="true" outlineLevel="0" collapsed="false">
      <c r="A22" s="3" t="s">
        <v>41</v>
      </c>
      <c r="C22" s="13" t="n">
        <f aca="false">C21/C47</f>
        <v>0.262743104105758</v>
      </c>
      <c r="D22" s="13" t="n">
        <f aca="false">D21/D47</f>
        <v>0.205070546737213</v>
      </c>
      <c r="E22" s="13" t="n">
        <f aca="false">E21/E47</f>
        <v>0.273569904983518</v>
      </c>
      <c r="F22" s="13" t="n">
        <f aca="false">F21/F47</f>
        <v>0.307168220791593</v>
      </c>
      <c r="G22" s="16" t="n">
        <f aca="false">G21/G47</f>
        <v>0.247314327293307</v>
      </c>
      <c r="H22" s="16" t="n">
        <f aca="false">H21/H47</f>
        <v>0.187654755390631</v>
      </c>
      <c r="I22" s="16" t="n">
        <f aca="false">I21/I47</f>
        <v>0.155789399860339</v>
      </c>
      <c r="J22" s="16" t="n">
        <f aca="false">J21/J47</f>
        <v>0.139265680336213</v>
      </c>
      <c r="K22" s="16" t="n">
        <f aca="false">K21/K47</f>
        <v>0.129869987551001</v>
      </c>
    </row>
    <row r="23" customFormat="false" ht="15" hidden="false" customHeight="true" outlineLevel="0" collapsed="false">
      <c r="A23" s="3" t="s">
        <v>42</v>
      </c>
      <c r="D23" s="13" t="n">
        <f aca="false">D21/C21-1</f>
        <v>-0.249959683921948</v>
      </c>
      <c r="E23" s="13" t="n">
        <f aca="false">E21/D21-1</f>
        <v>0.516663083207912</v>
      </c>
      <c r="F23" s="13" t="n">
        <f aca="false">F21/E21-1</f>
        <v>0.508364048766657</v>
      </c>
      <c r="G23" s="16" t="n">
        <f aca="false">G21/F21-1</f>
        <v>0.15</v>
      </c>
      <c r="H23" s="16" t="n">
        <f aca="false">H21/G21-1</f>
        <v>0.0600000000000001</v>
      </c>
      <c r="I23" s="16" t="n">
        <f aca="false">I21/H21-1</f>
        <v>0.05</v>
      </c>
      <c r="J23" s="16" t="n">
        <f aca="false">J21/I21-1</f>
        <v>0.05</v>
      </c>
      <c r="K23" s="16" t="n">
        <f aca="false">K21/J21-1</f>
        <v>0.04</v>
      </c>
    </row>
    <row r="25" customFormat="false" ht="15" hidden="false" customHeight="true" outlineLevel="0" collapsed="false">
      <c r="A25" s="8" t="s">
        <v>47</v>
      </c>
      <c r="B25" s="9"/>
      <c r="C25" s="9"/>
      <c r="D25" s="9"/>
      <c r="E25" s="9"/>
      <c r="F25" s="9"/>
      <c r="G25" s="9"/>
      <c r="H25" s="9"/>
      <c r="I25" s="9"/>
      <c r="J25" s="9"/>
      <c r="K25" s="9"/>
    </row>
    <row r="26" customFormat="false" ht="15" hidden="false" customHeight="true" outlineLevel="0" collapsed="false">
      <c r="A26" s="3" t="s">
        <v>48</v>
      </c>
      <c r="B26" s="10" t="s">
        <v>36</v>
      </c>
      <c r="C26" s="11" t="n">
        <v>5444</v>
      </c>
      <c r="D26" s="11" t="n">
        <v>5280</v>
      </c>
      <c r="E26" s="11" t="n">
        <v>1946</v>
      </c>
      <c r="F26" s="11" t="n">
        <v>2540</v>
      </c>
      <c r="G26" s="12" t="n">
        <f aca="false">F26*(1+G27)</f>
        <v>1778</v>
      </c>
      <c r="H26" s="12" t="n">
        <f aca="false">G26*(1+H27)</f>
        <v>1778</v>
      </c>
      <c r="I26" s="12" t="n">
        <f aca="false">H26*(1+I27)</f>
        <v>2133.6</v>
      </c>
      <c r="J26" s="12" t="n">
        <f aca="false">I26*(1+J27)</f>
        <v>2346.96</v>
      </c>
      <c r="K26" s="12" t="n">
        <f aca="false">J26*(1+K27)</f>
        <v>2229.612</v>
      </c>
    </row>
    <row r="27" customFormat="false" ht="15" hidden="false" customHeight="true" outlineLevel="0" collapsed="false">
      <c r="A27" s="3" t="s">
        <v>37</v>
      </c>
      <c r="D27" s="13" t="n">
        <f aca="false">D26/C26-1</f>
        <v>-0.0301249081557679</v>
      </c>
      <c r="E27" s="13" t="n">
        <f aca="false">E26/D26-1</f>
        <v>-0.631439393939394</v>
      </c>
      <c r="F27" s="13" t="n">
        <f aca="false">F26/E26-1</f>
        <v>0.305241521068859</v>
      </c>
      <c r="G27" s="14" t="n">
        <f aca="false">Scenarios!G39</f>
        <v>-0.3</v>
      </c>
      <c r="H27" s="14" t="n">
        <f aca="false">Scenarios!H39</f>
        <v>0</v>
      </c>
      <c r="I27" s="14" t="n">
        <f aca="false">Scenarios!I39</f>
        <v>0.2</v>
      </c>
      <c r="J27" s="14" t="n">
        <f aca="false">Scenarios!J39</f>
        <v>0.1</v>
      </c>
      <c r="K27" s="14" t="n">
        <f aca="false">Scenarios!K39</f>
        <v>-0.05</v>
      </c>
    </row>
    <row r="28" customFormat="false" ht="15" hidden="false" customHeight="true" outlineLevel="0" collapsed="false">
      <c r="A28" s="3" t="s">
        <v>49</v>
      </c>
      <c r="B28" s="10" t="s">
        <v>36</v>
      </c>
      <c r="C28" s="11" t="n">
        <v>1361</v>
      </c>
      <c r="D28" s="11" t="n">
        <v>932</v>
      </c>
      <c r="E28" s="11" t="n">
        <v>649</v>
      </c>
      <c r="F28" s="11" t="n">
        <v>1370</v>
      </c>
      <c r="G28" s="12" t="n">
        <f aca="false">F28*(1+G29)</f>
        <v>1260.4</v>
      </c>
      <c r="H28" s="12" t="n">
        <f aca="false">G28*(1+H29)</f>
        <v>1323.42</v>
      </c>
      <c r="I28" s="12" t="n">
        <f aca="false">H28*(1+I29)</f>
        <v>1376.3568</v>
      </c>
      <c r="J28" s="12" t="n">
        <f aca="false">I28*(1+J29)</f>
        <v>1417.647504</v>
      </c>
      <c r="K28" s="12" t="n">
        <f aca="false">J28*(1+K29)</f>
        <v>1460.17692912</v>
      </c>
    </row>
    <row r="29" customFormat="false" ht="15" hidden="false" customHeight="true" outlineLevel="0" collapsed="false">
      <c r="A29" s="3" t="s">
        <v>37</v>
      </c>
      <c r="D29" s="13" t="n">
        <f aca="false">D28/C28-1</f>
        <v>-0.315209404849375</v>
      </c>
      <c r="E29" s="13" t="n">
        <f aca="false">E28/D28-1</f>
        <v>-0.303648068669528</v>
      </c>
      <c r="F29" s="13" t="n">
        <f aca="false">F28/E28-1</f>
        <v>1.11093990755008</v>
      </c>
      <c r="G29" s="14" t="n">
        <f aca="false">Scenarios!G45</f>
        <v>-0.08</v>
      </c>
      <c r="H29" s="14" t="n">
        <f aca="false">Scenarios!H45</f>
        <v>0.05</v>
      </c>
      <c r="I29" s="14" t="n">
        <f aca="false">Scenarios!I45</f>
        <v>0.04</v>
      </c>
      <c r="J29" s="14" t="n">
        <f aca="false">Scenarios!J45</f>
        <v>0.03</v>
      </c>
      <c r="K29" s="14" t="n">
        <f aca="false">Scenarios!K45</f>
        <v>0.03</v>
      </c>
    </row>
    <row r="30" customFormat="false" ht="15" hidden="false" customHeight="true" outlineLevel="0" collapsed="false">
      <c r="A30" s="4" t="s">
        <v>50</v>
      </c>
      <c r="C30" s="15" t="n">
        <f aca="false">C26+C28</f>
        <v>6805</v>
      </c>
      <c r="D30" s="15" t="n">
        <f aca="false">D26+D28</f>
        <v>6212</v>
      </c>
      <c r="E30" s="15" t="n">
        <f aca="false">E26+E28</f>
        <v>2595</v>
      </c>
      <c r="F30" s="15" t="n">
        <f aca="false">F26+F28</f>
        <v>3910</v>
      </c>
      <c r="G30" s="15" t="n">
        <f aca="false">G26+G28</f>
        <v>3038.4</v>
      </c>
      <c r="H30" s="15" t="n">
        <f aca="false">H26+H28</f>
        <v>3101.42</v>
      </c>
      <c r="I30" s="15" t="n">
        <f aca="false">I26+I28</f>
        <v>3509.9568</v>
      </c>
      <c r="J30" s="15" t="n">
        <f aca="false">J26+J28</f>
        <v>3764.607504</v>
      </c>
      <c r="K30" s="15" t="n">
        <f aca="false">K26+K28</f>
        <v>3689.78892912</v>
      </c>
    </row>
    <row r="31" customFormat="false" ht="15" hidden="false" customHeight="true" outlineLevel="0" collapsed="false">
      <c r="A31" s="3" t="s">
        <v>41</v>
      </c>
      <c r="C31" s="13" t="n">
        <f aca="false">C30/C47</f>
        <v>0.288335240032202</v>
      </c>
      <c r="D31" s="13" t="n">
        <f aca="false">D30/D47</f>
        <v>0.273897707231041</v>
      </c>
      <c r="E31" s="13" t="n">
        <f aca="false">E30/E47</f>
        <v>0.100639906922629</v>
      </c>
      <c r="F31" s="13" t="n">
        <f aca="false">F30/F47</f>
        <v>0.112878547302174</v>
      </c>
      <c r="G31" s="16" t="n">
        <f aca="false">G30/G47</f>
        <v>0.0614122141261837</v>
      </c>
      <c r="H31" s="16" t="n">
        <f aca="false">H30/H47</f>
        <v>0.044871937698811</v>
      </c>
      <c r="I31" s="16" t="n">
        <f aca="false">I30/I47</f>
        <v>0.0401518021738776</v>
      </c>
      <c r="J31" s="16" t="n">
        <f aca="false">J30/J47</f>
        <v>0.036664002763278</v>
      </c>
      <c r="K31" s="16" t="n">
        <f aca="false">K30/K47</f>
        <v>0.0322220414029429</v>
      </c>
    </row>
    <row r="32" customFormat="false" ht="15" hidden="false" customHeight="true" outlineLevel="0" collapsed="false">
      <c r="A32" s="3" t="s">
        <v>42</v>
      </c>
      <c r="D32" s="13" t="n">
        <f aca="false">D30/C30-1</f>
        <v>-0.0871418074944893</v>
      </c>
      <c r="E32" s="13" t="n">
        <f aca="false">E30/D30-1</f>
        <v>-0.582260141661301</v>
      </c>
      <c r="F32" s="13" t="n">
        <f aca="false">F30/E30-1</f>
        <v>0.506743737957611</v>
      </c>
      <c r="G32" s="16" t="n">
        <f aca="false">G30/F30-1</f>
        <v>-0.222915601023018</v>
      </c>
      <c r="H32" s="16" t="n">
        <f aca="false">H30/G30-1</f>
        <v>0.0207411795681938</v>
      </c>
      <c r="I32" s="16" t="n">
        <f aca="false">I30/H30-1</f>
        <v>0.131725725635354</v>
      </c>
      <c r="J32" s="16" t="n">
        <f aca="false">J30/I30-1</f>
        <v>0.0725509510544404</v>
      </c>
      <c r="K32" s="16" t="n">
        <f aca="false">K30/J30-1</f>
        <v>-0.0198742033002122</v>
      </c>
    </row>
    <row r="34" customFormat="false" ht="15" hidden="false" customHeight="true" outlineLevel="0" collapsed="false">
      <c r="A34" s="8" t="s">
        <v>51</v>
      </c>
      <c r="B34" s="9"/>
      <c r="C34" s="9"/>
      <c r="D34" s="9"/>
      <c r="E34" s="9"/>
      <c r="F34" s="9"/>
      <c r="G34" s="9"/>
      <c r="H34" s="9"/>
      <c r="I34" s="9"/>
      <c r="J34" s="9"/>
      <c r="K34" s="9"/>
    </row>
    <row r="35" customFormat="false" ht="15" hidden="false" customHeight="true" outlineLevel="0" collapsed="false">
      <c r="A35" s="3" t="s">
        <v>52</v>
      </c>
      <c r="B35" s="10" t="s">
        <v>36</v>
      </c>
      <c r="C35" s="11" t="n">
        <v>3869</v>
      </c>
      <c r="D35" s="11" t="n">
        <v>4523</v>
      </c>
      <c r="E35" s="11" t="n">
        <v>3023</v>
      </c>
      <c r="F35" s="11" t="n">
        <v>2936</v>
      </c>
      <c r="G35" s="12" t="n">
        <f aca="false">F35*(1+G36)</f>
        <v>3376.4</v>
      </c>
      <c r="H35" s="12" t="n">
        <f aca="false">G35*(1+H36)</f>
        <v>3714.04</v>
      </c>
      <c r="I35" s="12" t="n">
        <f aca="false">H35*(1+I36)</f>
        <v>4011.1632</v>
      </c>
      <c r="J35" s="12" t="n">
        <f aca="false">I35*(1+J36)</f>
        <v>4291.944624</v>
      </c>
      <c r="K35" s="12" t="n">
        <f aca="false">J35*(1+K36)</f>
        <v>4549.46130144</v>
      </c>
    </row>
    <row r="36" customFormat="false" ht="15" hidden="false" customHeight="true" outlineLevel="0" collapsed="false">
      <c r="A36" s="3" t="s">
        <v>37</v>
      </c>
      <c r="D36" s="13" t="n">
        <f aca="false">D35/C35-1</f>
        <v>0.16903592659602</v>
      </c>
      <c r="E36" s="13" t="n">
        <f aca="false">E35/D35-1</f>
        <v>-0.331638293168251</v>
      </c>
      <c r="F36" s="13" t="n">
        <f aca="false">F35/E35-1</f>
        <v>-0.0287793582533906</v>
      </c>
      <c r="G36" s="14" t="n">
        <f aca="false">Scenarios!G51</f>
        <v>0.15</v>
      </c>
      <c r="H36" s="14" t="n">
        <f aca="false">Scenarios!H51</f>
        <v>0.1</v>
      </c>
      <c r="I36" s="14" t="n">
        <f aca="false">Scenarios!I51</f>
        <v>0.08</v>
      </c>
      <c r="J36" s="14" t="n">
        <f aca="false">Scenarios!J51</f>
        <v>0.07</v>
      </c>
      <c r="K36" s="14" t="n">
        <f aca="false">Scenarios!K51</f>
        <v>0.06</v>
      </c>
    </row>
    <row r="37" customFormat="false" ht="15" hidden="false" customHeight="true" outlineLevel="0" collapsed="false">
      <c r="A37" s="3" t="s">
        <v>53</v>
      </c>
      <c r="B37" s="10" t="s">
        <v>36</v>
      </c>
      <c r="C37" s="11" t="n">
        <v>683</v>
      </c>
      <c r="D37" s="11" t="n">
        <v>798</v>
      </c>
      <c r="E37" s="11" t="n">
        <v>534</v>
      </c>
      <c r="F37" s="11" t="n">
        <v>518</v>
      </c>
      <c r="G37" s="12" t="n">
        <f aca="false">F37*(1+G38)</f>
        <v>595.7</v>
      </c>
      <c r="H37" s="12" t="n">
        <f aca="false">G37*(1+H38)</f>
        <v>655.27</v>
      </c>
      <c r="I37" s="12" t="n">
        <f aca="false">H37*(1+I38)</f>
        <v>707.6916</v>
      </c>
      <c r="J37" s="12" t="n">
        <f aca="false">I37*(1+J38)</f>
        <v>757.230012</v>
      </c>
      <c r="K37" s="12" t="n">
        <f aca="false">J37*(1+K38)</f>
        <v>802.66381272</v>
      </c>
    </row>
    <row r="38" customFormat="false" ht="15" hidden="false" customHeight="true" outlineLevel="0" collapsed="false">
      <c r="A38" s="3" t="s">
        <v>37</v>
      </c>
      <c r="D38" s="13" t="n">
        <f aca="false">D37/C37-1</f>
        <v>0.168374816983895</v>
      </c>
      <c r="E38" s="13" t="n">
        <f aca="false">E37/D37-1</f>
        <v>-0.330827067669173</v>
      </c>
      <c r="F38" s="13" t="n">
        <f aca="false">F37/E37-1</f>
        <v>-0.0299625468164794</v>
      </c>
      <c r="G38" s="14" t="n">
        <f aca="false">Scenarios!G57</f>
        <v>0.15</v>
      </c>
      <c r="H38" s="14" t="n">
        <f aca="false">Scenarios!H57</f>
        <v>0.1</v>
      </c>
      <c r="I38" s="14" t="n">
        <f aca="false">Scenarios!I57</f>
        <v>0.08</v>
      </c>
      <c r="J38" s="14" t="n">
        <f aca="false">Scenarios!J57</f>
        <v>0.07</v>
      </c>
      <c r="K38" s="14" t="n">
        <f aca="false">Scenarios!K57</f>
        <v>0.06</v>
      </c>
    </row>
    <row r="39" customFormat="false" ht="15" hidden="false" customHeight="true" outlineLevel="0" collapsed="false">
      <c r="A39" s="4" t="s">
        <v>54</v>
      </c>
      <c r="C39" s="15" t="n">
        <f aca="false">C35+C37</f>
        <v>4552</v>
      </c>
      <c r="D39" s="15" t="n">
        <f aca="false">D35+D37</f>
        <v>5321</v>
      </c>
      <c r="E39" s="15" t="n">
        <f aca="false">E35+E37</f>
        <v>3557</v>
      </c>
      <c r="F39" s="15" t="n">
        <f aca="false">F35+F37</f>
        <v>3454</v>
      </c>
      <c r="G39" s="15" t="n">
        <f aca="false">G35+G37</f>
        <v>3972.1</v>
      </c>
      <c r="H39" s="15" t="n">
        <f aca="false">H35+H37</f>
        <v>4369.31</v>
      </c>
      <c r="I39" s="15" t="n">
        <f aca="false">I35+I37</f>
        <v>4718.8548</v>
      </c>
      <c r="J39" s="15" t="n">
        <f aca="false">J35+J37</f>
        <v>5049.174636</v>
      </c>
      <c r="K39" s="15" t="n">
        <f aca="false">K35+K37</f>
        <v>5352.12511416</v>
      </c>
    </row>
    <row r="40" customFormat="false" ht="15" hidden="false" customHeight="true" outlineLevel="0" collapsed="false">
      <c r="A40" s="3" t="s">
        <v>41</v>
      </c>
      <c r="C40" s="13" t="n">
        <f aca="false">C39/C47</f>
        <v>0.192873183339689</v>
      </c>
      <c r="D40" s="13" t="n">
        <f aca="false">D39/D47</f>
        <v>0.234611992945326</v>
      </c>
      <c r="E40" s="13" t="n">
        <f aca="false">E39/E47</f>
        <v>0.137948419623812</v>
      </c>
      <c r="F40" s="13" t="n">
        <f aca="false">F39/F47</f>
        <v>0.0997141949825341</v>
      </c>
      <c r="G40" s="16" t="n">
        <f aca="false">G39/G47</f>
        <v>0.0802841810593122</v>
      </c>
      <c r="H40" s="16" t="n">
        <f aca="false">H39/H47</f>
        <v>0.0632160126995996</v>
      </c>
      <c r="I40" s="16" t="n">
        <f aca="false">I39/I47</f>
        <v>0.0539808707665156</v>
      </c>
      <c r="J40" s="16" t="n">
        <f aca="false">J39/J47</f>
        <v>0.0491745693567998</v>
      </c>
      <c r="K40" s="16" t="n">
        <f aca="false">K39/K47</f>
        <v>0.0467388244517618</v>
      </c>
    </row>
    <row r="41" customFormat="false" ht="15" hidden="false" customHeight="true" outlineLevel="0" collapsed="false">
      <c r="A41" s="3" t="s">
        <v>42</v>
      </c>
      <c r="D41" s="13" t="n">
        <f aca="false">D39/C39-1</f>
        <v>0.168936731107206</v>
      </c>
      <c r="E41" s="13" t="n">
        <f aca="false">E39/D39-1</f>
        <v>-0.33151663221199</v>
      </c>
      <c r="F41" s="13" t="n">
        <f aca="false">F39/E39-1</f>
        <v>-0.0289569862243464</v>
      </c>
      <c r="G41" s="16" t="n">
        <f aca="false">G39/F39-1</f>
        <v>0.15</v>
      </c>
      <c r="H41" s="16" t="n">
        <f aca="false">H39/G39-1</f>
        <v>0.1</v>
      </c>
      <c r="I41" s="16" t="n">
        <f aca="false">I39/H39-1</f>
        <v>0.0800000000000001</v>
      </c>
      <c r="J41" s="16" t="n">
        <f aca="false">J39/I39-1</f>
        <v>0.0700000000000001</v>
      </c>
      <c r="K41" s="16" t="n">
        <f aca="false">K39/J39-1</f>
        <v>0.0600000000000001</v>
      </c>
    </row>
    <row r="43" customFormat="false" ht="15" hidden="false" customHeight="true" outlineLevel="0" collapsed="false">
      <c r="A43" s="8" t="s">
        <v>55</v>
      </c>
      <c r="B43" s="9"/>
      <c r="C43" s="9"/>
      <c r="D43" s="9"/>
      <c r="E43" s="9"/>
      <c r="F43" s="9"/>
      <c r="G43" s="9"/>
      <c r="H43" s="9"/>
      <c r="I43" s="9"/>
      <c r="J43" s="9"/>
      <c r="K43" s="9"/>
    </row>
    <row r="44" customFormat="false" ht="15" hidden="false" customHeight="true" outlineLevel="0" collapsed="false">
      <c r="A44" s="4" t="s">
        <v>56</v>
      </c>
      <c r="C44" s="17" t="n">
        <f aca="false">C21+C30</f>
        <v>13006</v>
      </c>
      <c r="D44" s="17" t="n">
        <f aca="false">D21+D30</f>
        <v>10863</v>
      </c>
      <c r="E44" s="17" t="n">
        <f aca="false">E21+E30</f>
        <v>9649</v>
      </c>
      <c r="F44" s="17" t="n">
        <f aca="false">F21+F30</f>
        <v>14550</v>
      </c>
      <c r="G44" s="17" t="n">
        <f aca="false">G21+G30</f>
        <v>15274.4</v>
      </c>
      <c r="H44" s="17" t="n">
        <f aca="false">H21+H30</f>
        <v>16071.58</v>
      </c>
      <c r="I44" s="17" t="n">
        <f aca="false">I21+I30</f>
        <v>17128.6248</v>
      </c>
      <c r="J44" s="17" t="n">
        <f aca="false">J21+J30</f>
        <v>18064.208904</v>
      </c>
      <c r="K44" s="17" t="n">
        <f aca="false">K21+K30</f>
        <v>18561.37438512</v>
      </c>
    </row>
    <row r="45" customFormat="false" ht="15" hidden="false" customHeight="true" outlineLevel="0" collapsed="false">
      <c r="A45" s="3" t="s">
        <v>57</v>
      </c>
      <c r="C45" s="18" t="n">
        <f aca="false">C8+C10</f>
        <v>550</v>
      </c>
      <c r="D45" s="18" t="n">
        <f aca="false">D8+D10</f>
        <v>900</v>
      </c>
      <c r="E45" s="18" t="n">
        <f aca="false">E8+E10</f>
        <v>5250</v>
      </c>
      <c r="F45" s="18" t="n">
        <f aca="false">F8+F10</f>
        <v>6900</v>
      </c>
      <c r="G45" s="12" t="n">
        <f aca="false">G8+G10</f>
        <v>16600</v>
      </c>
      <c r="H45" s="12" t="n">
        <f aca="false">H8+H10</f>
        <v>31640</v>
      </c>
      <c r="I45" s="12" t="n">
        <f aca="false">I8+I10</f>
        <v>45978</v>
      </c>
      <c r="J45" s="12" t="n">
        <f aca="false">J8+J10</f>
        <v>57622.5</v>
      </c>
      <c r="K45" s="12" t="n">
        <f aca="false">K8+K10</f>
        <v>66460.875</v>
      </c>
    </row>
    <row r="47" customFormat="false" ht="15" hidden="false" customHeight="true" outlineLevel="0" collapsed="false">
      <c r="A47" s="4" t="s">
        <v>58</v>
      </c>
      <c r="C47" s="15" t="n">
        <f aca="false">C12+C21+C30+C39</f>
        <v>23601</v>
      </c>
      <c r="D47" s="15" t="n">
        <f aca="false">D12+D21+D30+D39</f>
        <v>22680</v>
      </c>
      <c r="E47" s="15" t="n">
        <f aca="false">E12+E21+E30+E39</f>
        <v>25785</v>
      </c>
      <c r="F47" s="15" t="n">
        <f aca="false">F12+F21+F30+F39</f>
        <v>34639</v>
      </c>
      <c r="G47" s="15" t="n">
        <f aca="false">G12+G21+G30+G39</f>
        <v>49475.5</v>
      </c>
      <c r="H47" s="15" t="n">
        <f aca="false">H12+H21+H30+H39</f>
        <v>69117.14</v>
      </c>
      <c r="I47" s="15" t="n">
        <f aca="false">I12+I21+I30+I39</f>
        <v>87417.1671</v>
      </c>
      <c r="J47" s="15" t="n">
        <f aca="false">J12+J21+J30+J39</f>
        <v>102678.57354</v>
      </c>
      <c r="K47" s="15" t="n">
        <f aca="false">K12+K21+K30+K39</f>
        <v>114511.33349928</v>
      </c>
    </row>
    <row r="48" customFormat="false" ht="15" hidden="false" customHeight="true" outlineLevel="0" collapsed="false">
      <c r="A48" s="3" t="s">
        <v>59</v>
      </c>
      <c r="D48" s="13" t="n">
        <f aca="false">D47/C47-1</f>
        <v>-0.0390237701792296</v>
      </c>
      <c r="E48" s="13" t="n">
        <f aca="false">E47/D47-1</f>
        <v>0.136904761904762</v>
      </c>
      <c r="F48" s="13" t="n">
        <f aca="false">F47/E47-1</f>
        <v>0.343377932906729</v>
      </c>
      <c r="G48" s="16" t="n">
        <f aca="false">G47/F47-1</f>
        <v>0.428317792084067</v>
      </c>
      <c r="H48" s="16" t="n">
        <f aca="false">H47/G47-1</f>
        <v>0.396997301694778</v>
      </c>
      <c r="I48" s="16" t="n">
        <f aca="false">I47/H47-1</f>
        <v>0.264768291917171</v>
      </c>
      <c r="J48" s="16" t="n">
        <f aca="false">J47/I47-1</f>
        <v>0.174581343073516</v>
      </c>
      <c r="K48" s="16" t="n">
        <f aca="false">K47/J47-1</f>
        <v>0.11524079027715</v>
      </c>
    </row>
    <row r="51" customFormat="false" ht="15" hidden="false" customHeight="true" outlineLevel="0" collapsed="false">
      <c r="A51" s="6" t="s">
        <v>60</v>
      </c>
      <c r="B51" s="6"/>
      <c r="C51" s="7" t="s">
        <v>25</v>
      </c>
      <c r="D51" s="7" t="s">
        <v>26</v>
      </c>
      <c r="E51" s="7" t="s">
        <v>27</v>
      </c>
      <c r="F51" s="7" t="s">
        <v>28</v>
      </c>
      <c r="G51" s="7" t="s">
        <v>29</v>
      </c>
      <c r="H51" s="7" t="s">
        <v>30</v>
      </c>
      <c r="I51" s="7" t="s">
        <v>31</v>
      </c>
      <c r="J51" s="7" t="s">
        <v>32</v>
      </c>
      <c r="K51" s="7" t="s">
        <v>33</v>
      </c>
    </row>
    <row r="52" customFormat="false" ht="15" hidden="false" customHeight="true" outlineLevel="0" collapsed="false">
      <c r="A52" s="19" t="s">
        <v>61</v>
      </c>
    </row>
    <row r="53" customFormat="false" ht="15" hidden="false" customHeight="true" outlineLevel="0" collapsed="false">
      <c r="A53" s="8" t="s">
        <v>62</v>
      </c>
      <c r="B53" s="9"/>
      <c r="C53" s="9"/>
      <c r="D53" s="9"/>
      <c r="E53" s="9"/>
      <c r="F53" s="9"/>
      <c r="G53" s="9"/>
      <c r="H53" s="9"/>
      <c r="I53" s="9"/>
      <c r="J53" s="9"/>
      <c r="K53" s="9"/>
    </row>
    <row r="54" customFormat="false" ht="15" hidden="false" customHeight="true" outlineLevel="0" collapsed="false">
      <c r="A54" s="3" t="s">
        <v>63</v>
      </c>
      <c r="C54" s="18" t="n">
        <f aca="false">C$47*C78</f>
        <v>7080.3</v>
      </c>
      <c r="D54" s="18" t="n">
        <f aca="false">D$47*D78</f>
        <v>7030.8</v>
      </c>
      <c r="E54" s="18" t="n">
        <f aca="false">E$47*E78</f>
        <v>8251.2</v>
      </c>
      <c r="F54" s="18" t="n">
        <f aca="false">F$47*F78</f>
        <v>11430.87</v>
      </c>
      <c r="G54" s="12" t="n">
        <f aca="false">G$47*G78</f>
        <v>16821.67</v>
      </c>
      <c r="H54" s="12" t="n">
        <f aca="false">H$47*H78</f>
        <v>24190.999</v>
      </c>
      <c r="I54" s="12" t="n">
        <f aca="false">I$47*I78</f>
        <v>31470.180156</v>
      </c>
      <c r="J54" s="12" t="n">
        <f aca="false">J$47*J78</f>
        <v>37991.0722098</v>
      </c>
      <c r="K54" s="12" t="n">
        <f aca="false">K$47*K78</f>
        <v>43514.3067297264</v>
      </c>
    </row>
    <row r="55" customFormat="false" ht="15" hidden="false" customHeight="true" outlineLevel="0" collapsed="false">
      <c r="A55" s="3" t="s">
        <v>64</v>
      </c>
      <c r="C55" s="18" t="n">
        <f aca="false">C$47*C79</f>
        <v>472.02</v>
      </c>
      <c r="D55" s="18" t="n">
        <f aca="false">D$47*D79</f>
        <v>453.6</v>
      </c>
      <c r="E55" s="18" t="n">
        <f aca="false">E$47*E79</f>
        <v>515.7</v>
      </c>
      <c r="F55" s="18" t="n">
        <f aca="false">F$47*F79</f>
        <v>692.78</v>
      </c>
      <c r="G55" s="12" t="n">
        <f aca="false">G$47*G79</f>
        <v>989.51</v>
      </c>
      <c r="H55" s="12" t="n">
        <f aca="false">H$47*H79</f>
        <v>1382.3428</v>
      </c>
      <c r="I55" s="12" t="n">
        <f aca="false">I$47*I79</f>
        <v>1748.343342</v>
      </c>
      <c r="J55" s="12" t="n">
        <f aca="false">J$47*J79</f>
        <v>2053.5714708</v>
      </c>
      <c r="K55" s="12" t="n">
        <f aca="false">K$47*K79</f>
        <v>2290.2266699856</v>
      </c>
    </row>
    <row r="56" customFormat="false" ht="15" hidden="false" customHeight="true" outlineLevel="0" collapsed="false">
      <c r="A56" s="4" t="s">
        <v>65</v>
      </c>
      <c r="C56" s="15" t="n">
        <f aca="false">C54+C55</f>
        <v>7552.32</v>
      </c>
      <c r="D56" s="15" t="n">
        <f aca="false">D54+D55</f>
        <v>7484.4</v>
      </c>
      <c r="E56" s="15" t="n">
        <f aca="false">E54+E55</f>
        <v>8766.9</v>
      </c>
      <c r="F56" s="15" t="n">
        <f aca="false">F54+F55</f>
        <v>12123.65</v>
      </c>
      <c r="G56" s="15" t="n">
        <f aca="false">G54+G55</f>
        <v>17811.18</v>
      </c>
      <c r="H56" s="15" t="n">
        <f aca="false">H54+H55</f>
        <v>25573.3418</v>
      </c>
      <c r="I56" s="15" t="n">
        <f aca="false">I54+I55</f>
        <v>33218.523498</v>
      </c>
      <c r="J56" s="15" t="n">
        <f aca="false">J54+J55</f>
        <v>40044.6436806</v>
      </c>
      <c r="K56" s="15" t="n">
        <f aca="false">K54+K55</f>
        <v>45804.533399712</v>
      </c>
    </row>
    <row r="57" customFormat="false" ht="15" hidden="false" customHeight="true" outlineLevel="0" collapsed="false">
      <c r="A57" s="3" t="s">
        <v>66</v>
      </c>
      <c r="C57" s="13" t="n">
        <f aca="false">C56/C$47</f>
        <v>0.32</v>
      </c>
      <c r="D57" s="13" t="n">
        <f aca="false">D56/D$47</f>
        <v>0.33</v>
      </c>
      <c r="E57" s="13" t="n">
        <f aca="false">E56/E$47</f>
        <v>0.34</v>
      </c>
      <c r="F57" s="13" t="n">
        <f aca="false">F56/F$47</f>
        <v>0.35</v>
      </c>
      <c r="G57" s="16" t="n">
        <f aca="false">G56/G$47</f>
        <v>0.36</v>
      </c>
      <c r="H57" s="16" t="n">
        <f aca="false">H56/H$47</f>
        <v>0.37</v>
      </c>
      <c r="I57" s="16" t="n">
        <f aca="false">I56/I$47</f>
        <v>0.38</v>
      </c>
      <c r="J57" s="16" t="n">
        <f aca="false">J56/J$47</f>
        <v>0.39</v>
      </c>
      <c r="K57" s="16" t="n">
        <f aca="false">K56/K$47</f>
        <v>0.4</v>
      </c>
    </row>
    <row r="58" customFormat="false" ht="15" hidden="false" customHeight="true" outlineLevel="0" collapsed="false">
      <c r="A58" s="3" t="s">
        <v>42</v>
      </c>
      <c r="D58" s="13" t="n">
        <f aca="false">D56/C56-1</f>
        <v>-0.0089932629973305</v>
      </c>
      <c r="E58" s="13" t="n">
        <f aca="false">E56/D56-1</f>
        <v>0.171356421356421</v>
      </c>
      <c r="F58" s="13" t="n">
        <f aca="false">F56/E56-1</f>
        <v>0.382889048580456</v>
      </c>
      <c r="G58" s="16" t="n">
        <f aca="false">G56/F56-1</f>
        <v>0.469126871857897</v>
      </c>
      <c r="H58" s="16" t="n">
        <f aca="false">H56/G56-1</f>
        <v>0.435802782297411</v>
      </c>
      <c r="I58" s="16" t="n">
        <f aca="false">I56/H56-1</f>
        <v>0.298951218725744</v>
      </c>
      <c r="J58" s="16" t="n">
        <f aca="false">J56/I56-1</f>
        <v>0.205491378417556</v>
      </c>
      <c r="K58" s="16" t="n">
        <f aca="false">K56/J56-1</f>
        <v>0.143836707976564</v>
      </c>
    </row>
    <row r="59" customFormat="false" ht="15" hidden="false" customHeight="true" outlineLevel="0" collapsed="false">
      <c r="A59" s="8" t="s">
        <v>67</v>
      </c>
      <c r="B59" s="9"/>
      <c r="C59" s="9"/>
      <c r="D59" s="9"/>
      <c r="E59" s="9"/>
      <c r="F59" s="9"/>
      <c r="G59" s="9"/>
      <c r="H59" s="9"/>
      <c r="I59" s="9"/>
      <c r="J59" s="9"/>
      <c r="K59" s="9"/>
    </row>
    <row r="60" customFormat="false" ht="15" hidden="false" customHeight="true" outlineLevel="0" collapsed="false">
      <c r="A60" s="3" t="s">
        <v>68</v>
      </c>
      <c r="C60" s="18" t="n">
        <f aca="false">C$47*C80</f>
        <v>5664.24</v>
      </c>
      <c r="D60" s="18" t="n">
        <f aca="false">D$47*D80</f>
        <v>5216.4</v>
      </c>
      <c r="E60" s="18" t="n">
        <f aca="false">E$47*E80</f>
        <v>5672.7</v>
      </c>
      <c r="F60" s="18" t="n">
        <f aca="false">F$47*F80</f>
        <v>6927.8</v>
      </c>
      <c r="G60" s="12" t="n">
        <f aca="false">G$47*G80</f>
        <v>8905.59</v>
      </c>
      <c r="H60" s="12" t="n">
        <f aca="false">H$47*H80</f>
        <v>11749.9138</v>
      </c>
      <c r="I60" s="12" t="n">
        <f aca="false">I$47*I80</f>
        <v>14860.918407</v>
      </c>
      <c r="J60" s="12" t="n">
        <f aca="false">J$47*J80</f>
        <v>16428.5717664</v>
      </c>
      <c r="K60" s="12" t="n">
        <f aca="false">K$47*K80</f>
        <v>18321.8133598848</v>
      </c>
    </row>
    <row r="61" customFormat="false" ht="15" hidden="false" customHeight="true" outlineLevel="0" collapsed="false">
      <c r="A61" s="3" t="s">
        <v>69</v>
      </c>
      <c r="C61" s="18" t="n">
        <f aca="false">C$47*C81</f>
        <v>3776.16</v>
      </c>
      <c r="D61" s="18" t="n">
        <f aca="false">D$47*D81</f>
        <v>3628.8</v>
      </c>
      <c r="E61" s="18" t="n">
        <f aca="false">E$47*E81</f>
        <v>4125.6</v>
      </c>
      <c r="F61" s="18" t="n">
        <f aca="false">F$47*F81</f>
        <v>5542.24</v>
      </c>
      <c r="G61" s="12" t="n">
        <f aca="false">G$47*G81</f>
        <v>8410.835</v>
      </c>
      <c r="H61" s="12" t="n">
        <f aca="false">H$47*H81</f>
        <v>11749.9138</v>
      </c>
      <c r="I61" s="12" t="n">
        <f aca="false">I$47*I81</f>
        <v>14860.918407</v>
      </c>
      <c r="J61" s="12" t="n">
        <f aca="false">J$47*J81</f>
        <v>17455.3575018</v>
      </c>
      <c r="K61" s="12" t="n">
        <f aca="false">K$47*K81</f>
        <v>19466.9266948776</v>
      </c>
    </row>
    <row r="62" customFormat="false" ht="15" hidden="false" customHeight="true" outlineLevel="0" collapsed="false">
      <c r="A62" s="3" t="s">
        <v>70</v>
      </c>
      <c r="C62" s="18" t="n">
        <f aca="false">C$47*C82</f>
        <v>1416.06</v>
      </c>
      <c r="D62" s="18" t="n">
        <f aca="false">D$47*D82</f>
        <v>1360.8</v>
      </c>
      <c r="E62" s="18" t="n">
        <f aca="false">E$47*E82</f>
        <v>1547.1</v>
      </c>
      <c r="F62" s="18" t="n">
        <f aca="false">F$47*F82</f>
        <v>2078.34</v>
      </c>
      <c r="G62" s="12" t="n">
        <f aca="false">G$47*G82</f>
        <v>2968.53</v>
      </c>
      <c r="H62" s="12" t="n">
        <f aca="false">H$47*H82</f>
        <v>4147.0284</v>
      </c>
      <c r="I62" s="12" t="n">
        <f aca="false">I$47*I82</f>
        <v>5245.030026</v>
      </c>
      <c r="J62" s="12" t="n">
        <f aca="false">J$47*J82</f>
        <v>6160.7144124</v>
      </c>
      <c r="K62" s="12" t="n">
        <f aca="false">K$47*K82</f>
        <v>6870.6800099568</v>
      </c>
    </row>
    <row r="63" customFormat="false" ht="15" hidden="false" customHeight="true" outlineLevel="0" collapsed="false">
      <c r="A63" s="3" t="s">
        <v>71</v>
      </c>
      <c r="C63" s="18" t="n">
        <f aca="false">C$47*C83</f>
        <v>2360.1</v>
      </c>
      <c r="D63" s="18" t="n">
        <f aca="false">D$47*D83</f>
        <v>2268</v>
      </c>
      <c r="E63" s="18" t="n">
        <f aca="false">E$47*E83</f>
        <v>2320.65</v>
      </c>
      <c r="F63" s="18" t="n">
        <f aca="false">F$47*F83</f>
        <v>3117.51</v>
      </c>
      <c r="G63" s="12" t="n">
        <f aca="false">G$47*G83</f>
        <v>4452.795</v>
      </c>
      <c r="H63" s="12" t="n">
        <f aca="false">H$47*H83</f>
        <v>6220.5426</v>
      </c>
      <c r="I63" s="12" t="n">
        <f aca="false">I$47*I83</f>
        <v>6993.373368</v>
      </c>
      <c r="J63" s="12" t="n">
        <f aca="false">J$47*J83</f>
        <v>8214.2858832</v>
      </c>
      <c r="K63" s="12" t="n">
        <f aca="false">K$47*K83</f>
        <v>8015.7933449496</v>
      </c>
    </row>
    <row r="64" customFormat="false" ht="15" hidden="false" customHeight="true" outlineLevel="0" collapsed="false">
      <c r="A64" s="3" t="s">
        <v>72</v>
      </c>
      <c r="C64" s="18" t="n">
        <f aca="false">C$47*C84</f>
        <v>944.04</v>
      </c>
      <c r="D64" s="18" t="n">
        <f aca="false">D$47*D84</f>
        <v>907.2</v>
      </c>
      <c r="E64" s="18" t="n">
        <f aca="false">E$47*E84</f>
        <v>1031.4</v>
      </c>
      <c r="F64" s="18" t="n">
        <f aca="false">F$47*F84</f>
        <v>1385.56</v>
      </c>
      <c r="G64" s="12" t="n">
        <f aca="false">G$47*G84</f>
        <v>1979.02</v>
      </c>
      <c r="H64" s="12" t="n">
        <f aca="false">H$47*H84</f>
        <v>2764.6856</v>
      </c>
      <c r="I64" s="12" t="n">
        <f aca="false">I$47*I84</f>
        <v>3496.686684</v>
      </c>
      <c r="J64" s="12" t="n">
        <f aca="false">J$47*J84</f>
        <v>4107.1429416</v>
      </c>
      <c r="K64" s="12" t="n">
        <f aca="false">K$47*K84</f>
        <v>4580.4533399712</v>
      </c>
    </row>
    <row r="65" customFormat="false" ht="15" hidden="false" customHeight="true" outlineLevel="0" collapsed="false">
      <c r="A65" s="4" t="s">
        <v>73</v>
      </c>
      <c r="C65" s="15" t="n">
        <f aca="false">C60+C61+C62+C63+C64</f>
        <v>14160.6</v>
      </c>
      <c r="D65" s="15" t="n">
        <f aca="false">D60+D61+D62+D63+D64</f>
        <v>13381.2</v>
      </c>
      <c r="E65" s="15" t="n">
        <f aca="false">E60+E61+E62+E63+E64</f>
        <v>14697.45</v>
      </c>
      <c r="F65" s="15" t="n">
        <f aca="false">F60+F61+F62+F63+F64</f>
        <v>19051.45</v>
      </c>
      <c r="G65" s="15" t="n">
        <f aca="false">G60+G61+G62+G63+G64</f>
        <v>26716.77</v>
      </c>
      <c r="H65" s="15" t="n">
        <f aca="false">H60+H61+H62+H63+H64</f>
        <v>36632.0842</v>
      </c>
      <c r="I65" s="15" t="n">
        <f aca="false">I60+I61+I62+I63+I64</f>
        <v>45456.926892</v>
      </c>
      <c r="J65" s="15" t="n">
        <f aca="false">J60+J61+J62+J63+J64</f>
        <v>52366.0725054</v>
      </c>
      <c r="K65" s="15" t="n">
        <f aca="false">K60+K61+K62+K63+K64</f>
        <v>57255.66674964</v>
      </c>
    </row>
    <row r="66" customFormat="false" ht="15" hidden="false" customHeight="true" outlineLevel="0" collapsed="false">
      <c r="A66" s="3" t="s">
        <v>66</v>
      </c>
      <c r="C66" s="13" t="n">
        <f aca="false">C65/C$47</f>
        <v>0.6</v>
      </c>
      <c r="D66" s="13" t="n">
        <f aca="false">D65/D$47</f>
        <v>0.59</v>
      </c>
      <c r="E66" s="13" t="n">
        <f aca="false">E65/E$47</f>
        <v>0.57</v>
      </c>
      <c r="F66" s="13" t="n">
        <f aca="false">F65/F$47</f>
        <v>0.55</v>
      </c>
      <c r="G66" s="16" t="n">
        <f aca="false">G65/G$47</f>
        <v>0.54</v>
      </c>
      <c r="H66" s="16" t="n">
        <f aca="false">H65/H$47</f>
        <v>0.53</v>
      </c>
      <c r="I66" s="16" t="n">
        <f aca="false">I65/I$47</f>
        <v>0.52</v>
      </c>
      <c r="J66" s="16" t="n">
        <f aca="false">J65/J$47</f>
        <v>0.51</v>
      </c>
      <c r="K66" s="16" t="n">
        <f aca="false">K65/K$47</f>
        <v>0.5</v>
      </c>
    </row>
    <row r="67" customFormat="false" ht="15" hidden="false" customHeight="true" outlineLevel="0" collapsed="false">
      <c r="A67" s="3" t="s">
        <v>42</v>
      </c>
      <c r="D67" s="13" t="n">
        <f aca="false">D65/C65-1</f>
        <v>-0.0550400406762424</v>
      </c>
      <c r="E67" s="13" t="n">
        <f aca="false">E65/D65-1</f>
        <v>0.098365617433414</v>
      </c>
      <c r="F67" s="13" t="n">
        <f aca="false">F65/E65-1</f>
        <v>0.29624186508544</v>
      </c>
      <c r="G67" s="16" t="n">
        <f aca="false">G65/F65-1</f>
        <v>0.402348377682539</v>
      </c>
      <c r="H67" s="16" t="n">
        <f aca="false">H65/G65-1</f>
        <v>0.371126981293023</v>
      </c>
      <c r="I67" s="16" t="n">
        <f aca="false">I65/H65-1</f>
        <v>0.240904739239489</v>
      </c>
      <c r="J67" s="16" t="n">
        <f aca="false">J65/I65-1</f>
        <v>0.151993240322102</v>
      </c>
      <c r="K67" s="16" t="n">
        <f aca="false">K65/J65-1</f>
        <v>0.0933733238011272</v>
      </c>
    </row>
    <row r="68" customFormat="false" ht="15" hidden="false" customHeight="true" outlineLevel="0" collapsed="false">
      <c r="A68" s="8" t="s">
        <v>74</v>
      </c>
      <c r="B68" s="9"/>
      <c r="C68" s="9"/>
      <c r="D68" s="9"/>
      <c r="E68" s="9"/>
      <c r="F68" s="9"/>
      <c r="G68" s="9"/>
      <c r="H68" s="9"/>
      <c r="I68" s="9"/>
      <c r="J68" s="9"/>
      <c r="K68" s="9"/>
    </row>
    <row r="69" customFormat="false" ht="15" hidden="false" customHeight="true" outlineLevel="0" collapsed="false">
      <c r="A69" s="3" t="s">
        <v>75</v>
      </c>
      <c r="C69" s="18" t="n">
        <f aca="false">C$47*C85</f>
        <v>1416.06</v>
      </c>
      <c r="D69" s="18" t="n">
        <f aca="false">D$47*D85</f>
        <v>1360.8</v>
      </c>
      <c r="E69" s="18" t="n">
        <f aca="false">E$47*E85</f>
        <v>1804.95</v>
      </c>
      <c r="F69" s="18" t="n">
        <f aca="false">F$47*F85</f>
        <v>2771.12</v>
      </c>
      <c r="G69" s="12" t="n">
        <f aca="false">G$47*G85</f>
        <v>3958.04</v>
      </c>
      <c r="H69" s="12" t="n">
        <f aca="false">H$47*H85</f>
        <v>5529.3712</v>
      </c>
      <c r="I69" s="12" t="n">
        <f aca="false">I$47*I85</f>
        <v>6993.373368</v>
      </c>
      <c r="J69" s="12" t="n">
        <f aca="false">J$47*J85</f>
        <v>8214.2858832</v>
      </c>
      <c r="K69" s="12" t="n">
        <f aca="false">K$47*K85</f>
        <v>9160.9066799424</v>
      </c>
    </row>
    <row r="70" customFormat="false" ht="15" hidden="false" customHeight="true" outlineLevel="0" collapsed="false">
      <c r="A70" s="3" t="s">
        <v>76</v>
      </c>
      <c r="C70" s="18" t="n">
        <f aca="false">C$47*C86</f>
        <v>472.02</v>
      </c>
      <c r="D70" s="18" t="n">
        <f aca="false">D$47*D86</f>
        <v>453.6</v>
      </c>
      <c r="E70" s="18" t="n">
        <f aca="false">E$47*E86</f>
        <v>515.7</v>
      </c>
      <c r="F70" s="18" t="n">
        <f aca="false">F$47*F86</f>
        <v>692.78</v>
      </c>
      <c r="G70" s="12" t="n">
        <f aca="false">G$47*G86</f>
        <v>989.51</v>
      </c>
      <c r="H70" s="12" t="n">
        <f aca="false">H$47*H86</f>
        <v>1382.3428</v>
      </c>
      <c r="I70" s="12" t="n">
        <f aca="false">I$47*I86</f>
        <v>1748.343342</v>
      </c>
      <c r="J70" s="12" t="n">
        <f aca="false">J$47*J86</f>
        <v>2053.5714708</v>
      </c>
      <c r="K70" s="12" t="n">
        <f aca="false">K$47*K86</f>
        <v>2290.2266699856</v>
      </c>
    </row>
    <row r="71" customFormat="false" ht="15" hidden="false" customHeight="true" outlineLevel="0" collapsed="false">
      <c r="A71" s="4" t="s">
        <v>77</v>
      </c>
      <c r="C71" s="15" t="n">
        <f aca="false">C69+C70</f>
        <v>1888.08</v>
      </c>
      <c r="D71" s="15" t="n">
        <f aca="false">D69+D70</f>
        <v>1814.4</v>
      </c>
      <c r="E71" s="15" t="n">
        <f aca="false">E69+E70</f>
        <v>2320.65</v>
      </c>
      <c r="F71" s="15" t="n">
        <f aca="false">F69+F70</f>
        <v>3463.9</v>
      </c>
      <c r="G71" s="15" t="n">
        <f aca="false">G69+G70</f>
        <v>4947.55</v>
      </c>
      <c r="H71" s="15" t="n">
        <f aca="false">H69+H70</f>
        <v>6911.714</v>
      </c>
      <c r="I71" s="15" t="n">
        <f aca="false">I69+I70</f>
        <v>8741.71671</v>
      </c>
      <c r="J71" s="15" t="n">
        <f aca="false">J69+J70</f>
        <v>10267.857354</v>
      </c>
      <c r="K71" s="15" t="n">
        <f aca="false">K69+K70</f>
        <v>11451.133349928</v>
      </c>
    </row>
    <row r="72" customFormat="false" ht="15" hidden="false" customHeight="true" outlineLevel="0" collapsed="false">
      <c r="A72" s="3" t="s">
        <v>66</v>
      </c>
      <c r="C72" s="13" t="n">
        <f aca="false">C71/C$47</f>
        <v>0.08</v>
      </c>
      <c r="D72" s="13" t="n">
        <f aca="false">D71/D$47</f>
        <v>0.08</v>
      </c>
      <c r="E72" s="13" t="n">
        <f aca="false">E71/E$47</f>
        <v>0.09</v>
      </c>
      <c r="F72" s="13" t="n">
        <f aca="false">F71/F$47</f>
        <v>0.1</v>
      </c>
      <c r="G72" s="16" t="n">
        <f aca="false">G71/G$47</f>
        <v>0.1</v>
      </c>
      <c r="H72" s="16" t="n">
        <f aca="false">H71/H$47</f>
        <v>0.1</v>
      </c>
      <c r="I72" s="16" t="n">
        <f aca="false">I71/I$47</f>
        <v>0.1</v>
      </c>
      <c r="J72" s="16" t="n">
        <f aca="false">J71/J$47</f>
        <v>0.1</v>
      </c>
      <c r="K72" s="16" t="n">
        <f aca="false">K71/K$47</f>
        <v>0.1</v>
      </c>
    </row>
    <row r="73" customFormat="false" ht="15" hidden="false" customHeight="true" outlineLevel="0" collapsed="false">
      <c r="A73" s="3" t="s">
        <v>42</v>
      </c>
      <c r="D73" s="13" t="n">
        <f aca="false">D71/C71-1</f>
        <v>-0.0390237701792296</v>
      </c>
      <c r="E73" s="13" t="n">
        <f aca="false">E71/D71-1</f>
        <v>0.279017857142857</v>
      </c>
      <c r="F73" s="13" t="n">
        <f aca="false">F71/E71-1</f>
        <v>0.492642147674143</v>
      </c>
      <c r="G73" s="16" t="n">
        <f aca="false">G71/F71-1</f>
        <v>0.428317792084067</v>
      </c>
      <c r="H73" s="16" t="n">
        <f aca="false">H71/G71-1</f>
        <v>0.396997301694778</v>
      </c>
      <c r="I73" s="16" t="n">
        <f aca="false">I71/H71-1</f>
        <v>0.264768291917171</v>
      </c>
      <c r="J73" s="16" t="n">
        <f aca="false">J71/I71-1</f>
        <v>0.174581343073516</v>
      </c>
      <c r="K73" s="16" t="n">
        <f aca="false">K71/J71-1</f>
        <v>0.11524079027715</v>
      </c>
    </row>
    <row r="74" customFormat="false" ht="15" hidden="false" customHeight="true" outlineLevel="0" collapsed="false">
      <c r="A74" s="4" t="s">
        <v>78</v>
      </c>
      <c r="C74" s="15" t="n">
        <f aca="false">C56+C65+C71</f>
        <v>23601</v>
      </c>
      <c r="D74" s="15" t="n">
        <f aca="false">D56+D65+D71</f>
        <v>22680</v>
      </c>
      <c r="E74" s="15" t="n">
        <f aca="false">E56+E65+E71</f>
        <v>25785</v>
      </c>
      <c r="F74" s="15" t="n">
        <f aca="false">F56+F65+F71</f>
        <v>34639</v>
      </c>
      <c r="G74" s="15" t="n">
        <f aca="false">G56+G65+G71</f>
        <v>49475.5</v>
      </c>
      <c r="H74" s="15" t="n">
        <f aca="false">H56+H65+H71</f>
        <v>69117.14</v>
      </c>
      <c r="I74" s="15" t="n">
        <f aca="false">I56+I65+I71</f>
        <v>87417.1671</v>
      </c>
      <c r="J74" s="15" t="n">
        <f aca="false">J56+J65+J71</f>
        <v>102678.57354</v>
      </c>
      <c r="K74" s="15" t="n">
        <f aca="false">K56+K65+K71</f>
        <v>114511.33349928</v>
      </c>
    </row>
    <row r="75" customFormat="false" ht="15" hidden="false" customHeight="true" outlineLevel="0" collapsed="false">
      <c r="A75" s="3" t="s">
        <v>79</v>
      </c>
      <c r="C75" s="18" t="n">
        <f aca="false">C74-C47</f>
        <v>0</v>
      </c>
      <c r="D75" s="18" t="n">
        <f aca="false">D74-D47</f>
        <v>0</v>
      </c>
      <c r="E75" s="18" t="n">
        <f aca="false">E74-E47</f>
        <v>0</v>
      </c>
      <c r="F75" s="18" t="n">
        <f aca="false">F74-F47</f>
        <v>0</v>
      </c>
      <c r="G75" s="12" t="n">
        <f aca="false">G74-G47</f>
        <v>0</v>
      </c>
      <c r="H75" s="12" t="n">
        <f aca="false">H74-H47</f>
        <v>0</v>
      </c>
      <c r="I75" s="12" t="n">
        <f aca="false">I74-I47</f>
        <v>0</v>
      </c>
      <c r="J75" s="12" t="n">
        <f aca="false">J74-J47</f>
        <v>0</v>
      </c>
      <c r="K75" s="12" t="n">
        <f aca="false">K74-K47</f>
        <v>0</v>
      </c>
    </row>
    <row r="77" customFormat="false" ht="15" hidden="false" customHeight="true" outlineLevel="0" collapsed="false">
      <c r="A77" s="8" t="s">
        <v>80</v>
      </c>
      <c r="B77" s="9"/>
      <c r="C77" s="9"/>
      <c r="D77" s="9"/>
      <c r="E77" s="9"/>
      <c r="F77" s="9"/>
      <c r="G77" s="9"/>
      <c r="H77" s="9"/>
      <c r="I77" s="9"/>
      <c r="J77" s="9"/>
      <c r="K77" s="9"/>
    </row>
    <row r="78" customFormat="false" ht="15" hidden="false" customHeight="true" outlineLevel="0" collapsed="false">
      <c r="A78" s="3" t="s">
        <v>81</v>
      </c>
      <c r="C78" s="20" t="n">
        <v>0.3</v>
      </c>
      <c r="D78" s="20" t="n">
        <v>0.31</v>
      </c>
      <c r="E78" s="20" t="n">
        <v>0.32</v>
      </c>
      <c r="F78" s="20" t="n">
        <v>0.33</v>
      </c>
      <c r="G78" s="21" t="n">
        <v>0.34</v>
      </c>
      <c r="H78" s="21" t="n">
        <v>0.35</v>
      </c>
      <c r="I78" s="21" t="n">
        <v>0.36</v>
      </c>
      <c r="J78" s="21" t="n">
        <v>0.37</v>
      </c>
      <c r="K78" s="21" t="n">
        <v>0.38</v>
      </c>
    </row>
    <row r="79" customFormat="false" ht="15" hidden="false" customHeight="true" outlineLevel="0" collapsed="false">
      <c r="A79" s="3" t="s">
        <v>82</v>
      </c>
      <c r="C79" s="20" t="n">
        <v>0.02</v>
      </c>
      <c r="D79" s="20" t="n">
        <v>0.02</v>
      </c>
      <c r="E79" s="20" t="n">
        <v>0.02</v>
      </c>
      <c r="F79" s="20" t="n">
        <v>0.02</v>
      </c>
      <c r="G79" s="21" t="n">
        <v>0.02</v>
      </c>
      <c r="H79" s="21" t="n">
        <v>0.02</v>
      </c>
      <c r="I79" s="21" t="n">
        <v>0.02</v>
      </c>
      <c r="J79" s="21" t="n">
        <v>0.02</v>
      </c>
      <c r="K79" s="21" t="n">
        <v>0.02</v>
      </c>
    </row>
    <row r="80" customFormat="false" ht="15" hidden="false" customHeight="true" outlineLevel="0" collapsed="false">
      <c r="A80" s="3" t="s">
        <v>83</v>
      </c>
      <c r="C80" s="20" t="n">
        <v>0.24</v>
      </c>
      <c r="D80" s="20" t="n">
        <v>0.23</v>
      </c>
      <c r="E80" s="20" t="n">
        <v>0.22</v>
      </c>
      <c r="F80" s="20" t="n">
        <v>0.2</v>
      </c>
      <c r="G80" s="21" t="n">
        <v>0.18</v>
      </c>
      <c r="H80" s="21" t="n">
        <v>0.17</v>
      </c>
      <c r="I80" s="21" t="n">
        <v>0.17</v>
      </c>
      <c r="J80" s="21" t="n">
        <v>0.16</v>
      </c>
      <c r="K80" s="21" t="n">
        <v>0.16</v>
      </c>
    </row>
    <row r="81" customFormat="false" ht="15" hidden="false" customHeight="true" outlineLevel="0" collapsed="false">
      <c r="A81" s="3" t="s">
        <v>84</v>
      </c>
      <c r="C81" s="20" t="n">
        <v>0.16</v>
      </c>
      <c r="D81" s="20" t="n">
        <v>0.16</v>
      </c>
      <c r="E81" s="20" t="n">
        <v>0.16</v>
      </c>
      <c r="F81" s="20" t="n">
        <v>0.16</v>
      </c>
      <c r="G81" s="21" t="n">
        <v>0.17</v>
      </c>
      <c r="H81" s="21" t="n">
        <v>0.17</v>
      </c>
      <c r="I81" s="21" t="n">
        <v>0.17</v>
      </c>
      <c r="J81" s="21" t="n">
        <v>0.17</v>
      </c>
      <c r="K81" s="21" t="n">
        <v>0.17</v>
      </c>
    </row>
    <row r="82" customFormat="false" ht="15" hidden="false" customHeight="true" outlineLevel="0" collapsed="false">
      <c r="A82" s="3" t="s">
        <v>85</v>
      </c>
      <c r="C82" s="20" t="n">
        <v>0.06</v>
      </c>
      <c r="D82" s="20" t="n">
        <v>0.06</v>
      </c>
      <c r="E82" s="20" t="n">
        <v>0.06</v>
      </c>
      <c r="F82" s="20" t="n">
        <v>0.06</v>
      </c>
      <c r="G82" s="21" t="n">
        <v>0.06</v>
      </c>
      <c r="H82" s="21" t="n">
        <v>0.06</v>
      </c>
      <c r="I82" s="21" t="n">
        <v>0.06</v>
      </c>
      <c r="J82" s="21" t="n">
        <v>0.06</v>
      </c>
      <c r="K82" s="21" t="n">
        <v>0.06</v>
      </c>
    </row>
    <row r="83" customFormat="false" ht="15" hidden="false" customHeight="true" outlineLevel="0" collapsed="false">
      <c r="A83" s="3" t="s">
        <v>86</v>
      </c>
      <c r="C83" s="20" t="n">
        <v>0.1</v>
      </c>
      <c r="D83" s="20" t="n">
        <v>0.1</v>
      </c>
      <c r="E83" s="20" t="n">
        <v>0.09</v>
      </c>
      <c r="F83" s="20" t="n">
        <v>0.09</v>
      </c>
      <c r="G83" s="21" t="n">
        <v>0.09</v>
      </c>
      <c r="H83" s="21" t="n">
        <v>0.09</v>
      </c>
      <c r="I83" s="21" t="n">
        <v>0.08</v>
      </c>
      <c r="J83" s="21" t="n">
        <v>0.08</v>
      </c>
      <c r="K83" s="21" t="n">
        <v>0.07</v>
      </c>
    </row>
    <row r="84" customFormat="false" ht="15" hidden="false" customHeight="true" outlineLevel="0" collapsed="false">
      <c r="A84" s="3" t="s">
        <v>87</v>
      </c>
      <c r="C84" s="20" t="n">
        <v>0.04</v>
      </c>
      <c r="D84" s="20" t="n">
        <v>0.04</v>
      </c>
      <c r="E84" s="20" t="n">
        <v>0.04</v>
      </c>
      <c r="F84" s="20" t="n">
        <v>0.04</v>
      </c>
      <c r="G84" s="21" t="n">
        <v>0.04</v>
      </c>
      <c r="H84" s="21" t="n">
        <v>0.04</v>
      </c>
      <c r="I84" s="21" t="n">
        <v>0.04</v>
      </c>
      <c r="J84" s="21" t="n">
        <v>0.04</v>
      </c>
      <c r="K84" s="21" t="n">
        <v>0.04</v>
      </c>
    </row>
    <row r="85" customFormat="false" ht="15" hidden="false" customHeight="true" outlineLevel="0" collapsed="false">
      <c r="A85" s="3" t="s">
        <v>88</v>
      </c>
      <c r="C85" s="20" t="n">
        <v>0.06</v>
      </c>
      <c r="D85" s="20" t="n">
        <v>0.06</v>
      </c>
      <c r="E85" s="20" t="n">
        <v>0.07</v>
      </c>
      <c r="F85" s="20" t="n">
        <v>0.08</v>
      </c>
      <c r="G85" s="21" t="n">
        <v>0.08</v>
      </c>
      <c r="H85" s="21" t="n">
        <v>0.08</v>
      </c>
      <c r="I85" s="21" t="n">
        <v>0.08</v>
      </c>
      <c r="J85" s="21" t="n">
        <v>0.08</v>
      </c>
      <c r="K85" s="21" t="n">
        <v>0.08</v>
      </c>
    </row>
    <row r="86" customFormat="false" ht="15" hidden="false" customHeight="true" outlineLevel="0" collapsed="false">
      <c r="A86" s="3" t="s">
        <v>89</v>
      </c>
      <c r="C86" s="20" t="n">
        <v>0.02</v>
      </c>
      <c r="D86" s="20" t="n">
        <v>0.02</v>
      </c>
      <c r="E86" s="20" t="n">
        <v>0.02</v>
      </c>
      <c r="F86" s="20" t="n">
        <v>0.02</v>
      </c>
      <c r="G86" s="21" t="n">
        <v>0.02</v>
      </c>
      <c r="H86" s="21" t="n">
        <v>0.02</v>
      </c>
      <c r="I86" s="21" t="n">
        <v>0.02</v>
      </c>
      <c r="J86" s="21" t="n">
        <v>0.02</v>
      </c>
      <c r="K86" s="21" t="n">
        <v>0.02</v>
      </c>
    </row>
    <row r="87" customFormat="false" ht="15" hidden="false" customHeight="true" outlineLevel="0" collapsed="false">
      <c r="A87" s="4" t="s">
        <v>90</v>
      </c>
      <c r="C87" s="22" t="n">
        <f aca="false">SUM(C78:C86)</f>
        <v>1</v>
      </c>
      <c r="D87" s="22" t="n">
        <f aca="false">SUM(D78:D86)</f>
        <v>1</v>
      </c>
      <c r="E87" s="22" t="n">
        <f aca="false">SUM(E78:E86)</f>
        <v>1</v>
      </c>
      <c r="F87" s="22" t="n">
        <f aca="false">SUM(F78:F86)</f>
        <v>1</v>
      </c>
      <c r="G87" s="22" t="n">
        <f aca="false">SUM(G78:G86)</f>
        <v>1</v>
      </c>
      <c r="H87" s="22" t="n">
        <f aca="false">SUM(H78:H86)</f>
        <v>1</v>
      </c>
      <c r="I87" s="22" t="n">
        <f aca="false">SUM(I78:I86)</f>
        <v>1</v>
      </c>
      <c r="J87" s="22" t="n">
        <f aca="false">SUM(J78:J86)</f>
        <v>1</v>
      </c>
      <c r="K87" s="22" t="n">
        <f aca="false">SUM(K78:K86)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18"/>
    <col collapsed="false" customWidth="true" hidden="false" outlineLevel="0" max="11" min="3" style="1" width="11"/>
  </cols>
  <sheetData>
    <row r="1" customFormat="false" ht="17.25" hidden="false" customHeight="true" outlineLevel="0" collapsed="false">
      <c r="A1" s="2" t="s">
        <v>91</v>
      </c>
    </row>
    <row r="2" customFormat="false" ht="15" hidden="false" customHeight="true" outlineLevel="0" collapsed="false">
      <c r="A2" s="5" t="s">
        <v>92</v>
      </c>
    </row>
    <row r="4" customFormat="false" ht="15" hidden="false" customHeight="true" outlineLevel="0" collapsed="false">
      <c r="A4" s="6" t="s">
        <v>93</v>
      </c>
      <c r="B4" s="6"/>
      <c r="C4" s="7" t="s">
        <v>25</v>
      </c>
      <c r="D4" s="7" t="s">
        <v>26</v>
      </c>
      <c r="E4" s="7" t="s">
        <v>27</v>
      </c>
      <c r="F4" s="7" t="s">
        <v>28</v>
      </c>
      <c r="G4" s="7" t="s">
        <v>29</v>
      </c>
      <c r="H4" s="7" t="s">
        <v>30</v>
      </c>
      <c r="I4" s="7" t="s">
        <v>31</v>
      </c>
      <c r="J4" s="7" t="s">
        <v>32</v>
      </c>
      <c r="K4" s="7" t="s">
        <v>33</v>
      </c>
    </row>
    <row r="5" customFormat="false" ht="15" hidden="false" customHeight="true" outlineLevel="0" collapsed="false">
      <c r="A5" s="8" t="s">
        <v>94</v>
      </c>
      <c r="B5" s="9"/>
      <c r="C5" s="9"/>
      <c r="D5" s="9"/>
      <c r="E5" s="9"/>
      <c r="F5" s="9"/>
      <c r="G5" s="9"/>
      <c r="H5" s="9"/>
      <c r="I5" s="9"/>
      <c r="J5" s="9"/>
      <c r="K5" s="9"/>
    </row>
    <row r="6" customFormat="false" ht="15" hidden="false" customHeight="true" outlineLevel="0" collapsed="false">
      <c r="A6" s="3" t="s">
        <v>95</v>
      </c>
      <c r="C6" s="23" t="n">
        <f aca="false">'Revenue Model'!C12</f>
        <v>6043</v>
      </c>
      <c r="D6" s="23" t="n">
        <f aca="false">'Revenue Model'!D12</f>
        <v>6496</v>
      </c>
      <c r="E6" s="23" t="n">
        <f aca="false">'Revenue Model'!E12</f>
        <v>12579</v>
      </c>
      <c r="F6" s="23" t="n">
        <f aca="false">'Revenue Model'!F12</f>
        <v>16635</v>
      </c>
      <c r="G6" s="24" t="n">
        <f aca="false">'Revenue Model'!G12</f>
        <v>30229</v>
      </c>
      <c r="H6" s="24" t="n">
        <f aca="false">'Revenue Model'!H12</f>
        <v>48676.25</v>
      </c>
      <c r="I6" s="24" t="n">
        <f aca="false">'Revenue Model'!I12</f>
        <v>65569.6875</v>
      </c>
      <c r="J6" s="24" t="n">
        <f aca="false">'Revenue Model'!J12</f>
        <v>79565.19</v>
      </c>
      <c r="K6" s="24" t="n">
        <f aca="false">'Revenue Model'!K12</f>
        <v>90597.834</v>
      </c>
    </row>
    <row r="7" customFormat="false" ht="15" hidden="false" customHeight="true" outlineLevel="0" collapsed="false">
      <c r="A7" s="3" t="s">
        <v>96</v>
      </c>
      <c r="C7" s="23" t="n">
        <f aca="false">'Revenue Model'!C21</f>
        <v>6201</v>
      </c>
      <c r="D7" s="23" t="n">
        <f aca="false">'Revenue Model'!D21</f>
        <v>4651</v>
      </c>
      <c r="E7" s="23" t="n">
        <f aca="false">'Revenue Model'!E21</f>
        <v>7054</v>
      </c>
      <c r="F7" s="23" t="n">
        <f aca="false">'Revenue Model'!F21</f>
        <v>10640</v>
      </c>
      <c r="G7" s="24" t="n">
        <f aca="false">'Revenue Model'!G21</f>
        <v>12236</v>
      </c>
      <c r="H7" s="24" t="n">
        <f aca="false">'Revenue Model'!H21</f>
        <v>12970.16</v>
      </c>
      <c r="I7" s="24" t="n">
        <f aca="false">'Revenue Model'!I21</f>
        <v>13618.668</v>
      </c>
      <c r="J7" s="24" t="n">
        <f aca="false">'Revenue Model'!J21</f>
        <v>14299.6014</v>
      </c>
      <c r="K7" s="24" t="n">
        <f aca="false">'Revenue Model'!K21</f>
        <v>14871.585456</v>
      </c>
    </row>
    <row r="8" customFormat="false" ht="15" hidden="false" customHeight="true" outlineLevel="0" collapsed="false">
      <c r="A8" s="3" t="s">
        <v>97</v>
      </c>
      <c r="C8" s="23" t="n">
        <f aca="false">'Revenue Model'!C30</f>
        <v>6805</v>
      </c>
      <c r="D8" s="23" t="n">
        <f aca="false">'Revenue Model'!D30</f>
        <v>6212</v>
      </c>
      <c r="E8" s="23" t="n">
        <f aca="false">'Revenue Model'!E30</f>
        <v>2595</v>
      </c>
      <c r="F8" s="23" t="n">
        <f aca="false">'Revenue Model'!F30</f>
        <v>3910</v>
      </c>
      <c r="G8" s="24" t="n">
        <f aca="false">'Revenue Model'!G30</f>
        <v>3038.4</v>
      </c>
      <c r="H8" s="24" t="n">
        <f aca="false">'Revenue Model'!H30</f>
        <v>3101.42</v>
      </c>
      <c r="I8" s="24" t="n">
        <f aca="false">'Revenue Model'!I30</f>
        <v>3509.9568</v>
      </c>
      <c r="J8" s="24" t="n">
        <f aca="false">'Revenue Model'!J30</f>
        <v>3764.607504</v>
      </c>
      <c r="K8" s="24" t="n">
        <f aca="false">'Revenue Model'!K30</f>
        <v>3689.78892912</v>
      </c>
    </row>
    <row r="9" customFormat="false" ht="15" hidden="false" customHeight="true" outlineLevel="0" collapsed="false">
      <c r="A9" s="3" t="s">
        <v>98</v>
      </c>
      <c r="C9" s="23" t="n">
        <f aca="false">'Revenue Model'!C39</f>
        <v>4552</v>
      </c>
      <c r="D9" s="23" t="n">
        <f aca="false">'Revenue Model'!D39</f>
        <v>5321</v>
      </c>
      <c r="E9" s="23" t="n">
        <f aca="false">'Revenue Model'!E39</f>
        <v>3557</v>
      </c>
      <c r="F9" s="23" t="n">
        <f aca="false">'Revenue Model'!F39</f>
        <v>3454</v>
      </c>
      <c r="G9" s="24" t="n">
        <f aca="false">'Revenue Model'!G39</f>
        <v>3972.1</v>
      </c>
      <c r="H9" s="24" t="n">
        <f aca="false">'Revenue Model'!H39</f>
        <v>4369.31</v>
      </c>
      <c r="I9" s="24" t="n">
        <f aca="false">'Revenue Model'!I39</f>
        <v>4718.8548</v>
      </c>
      <c r="J9" s="24" t="n">
        <f aca="false">'Revenue Model'!J39</f>
        <v>5049.174636</v>
      </c>
      <c r="K9" s="24" t="n">
        <f aca="false">'Revenue Model'!K39</f>
        <v>5352.12511416</v>
      </c>
    </row>
    <row r="10" customFormat="false" ht="15" hidden="false" customHeight="true" outlineLevel="0" collapsed="false">
      <c r="A10" s="4" t="s">
        <v>99</v>
      </c>
      <c r="C10" s="15" t="n">
        <f aca="false">C6+C7+C8+C9</f>
        <v>23601</v>
      </c>
      <c r="D10" s="15" t="n">
        <f aca="false">D6+D7+D8+D9</f>
        <v>22680</v>
      </c>
      <c r="E10" s="15" t="n">
        <f aca="false">E6+E7+E8+E9</f>
        <v>25785</v>
      </c>
      <c r="F10" s="15" t="n">
        <f aca="false">F6+F7+F8+F9</f>
        <v>34639</v>
      </c>
      <c r="G10" s="15" t="n">
        <f aca="false">G6+G7+G8+G9</f>
        <v>49475.5</v>
      </c>
      <c r="H10" s="15" t="n">
        <f aca="false">H6+H7+H8+H9</f>
        <v>69117.14</v>
      </c>
      <c r="I10" s="15" t="n">
        <f aca="false">I6+I7+I8+I9</f>
        <v>87417.1671</v>
      </c>
      <c r="J10" s="15" t="n">
        <f aca="false">J6+J7+J8+J9</f>
        <v>102678.57354</v>
      </c>
      <c r="K10" s="15" t="n">
        <f aca="false">K6+K7+K8+K9</f>
        <v>114511.33349928</v>
      </c>
    </row>
    <row r="11" customFormat="false" ht="15" hidden="false" customHeight="true" outlineLevel="0" collapsed="false">
      <c r="A11" s="3" t="s">
        <v>42</v>
      </c>
      <c r="D11" s="13" t="n">
        <f aca="false">D10/C10-1</f>
        <v>-0.0390237701792296</v>
      </c>
      <c r="E11" s="13" t="n">
        <f aca="false">E10/D10-1</f>
        <v>0.136904761904762</v>
      </c>
      <c r="F11" s="13" t="n">
        <f aca="false">F10/E10-1</f>
        <v>0.343377932906729</v>
      </c>
      <c r="G11" s="16" t="n">
        <f aca="false">G10/F10-1</f>
        <v>0.428317792084067</v>
      </c>
      <c r="H11" s="16" t="n">
        <f aca="false">H10/G10-1</f>
        <v>0.396997301694778</v>
      </c>
      <c r="I11" s="16" t="n">
        <f aca="false">I10/H10-1</f>
        <v>0.264768291917171</v>
      </c>
      <c r="J11" s="16" t="n">
        <f aca="false">J10/I10-1</f>
        <v>0.174581343073516</v>
      </c>
      <c r="K11" s="16" t="n">
        <f aca="false">K10/J10-1</f>
        <v>0.11524079027715</v>
      </c>
    </row>
    <row r="13" customFormat="false" ht="15" hidden="false" customHeight="true" outlineLevel="0" collapsed="false">
      <c r="A13" s="8" t="s">
        <v>100</v>
      </c>
      <c r="B13" s="9"/>
      <c r="C13" s="9"/>
      <c r="D13" s="9"/>
      <c r="E13" s="9"/>
      <c r="F13" s="9"/>
      <c r="G13" s="9"/>
      <c r="H13" s="9"/>
      <c r="I13" s="9"/>
      <c r="J13" s="9"/>
      <c r="K13" s="9"/>
    </row>
    <row r="14" customFormat="false" ht="15" hidden="false" customHeight="true" outlineLevel="0" collapsed="false">
      <c r="A14" s="3" t="s">
        <v>101</v>
      </c>
      <c r="C14" s="13" t="n">
        <f aca="false">C15/C10</f>
        <v>0.489386042964281</v>
      </c>
      <c r="D14" s="13" t="n">
        <f aca="false">D15/D10</f>
        <v>0.497266313932981</v>
      </c>
      <c r="E14" s="13" t="n">
        <f aca="false">E15/E10</f>
        <v>0.469808027923211</v>
      </c>
      <c r="F14" s="13" t="n">
        <f aca="false">F15/F10</f>
        <v>0.475071451254366</v>
      </c>
      <c r="G14" s="14" t="n">
        <f aca="false">Scenarios!G63</f>
        <v>0.455</v>
      </c>
      <c r="H14" s="14" t="n">
        <f aca="false">Scenarios!H63</f>
        <v>0.45</v>
      </c>
      <c r="I14" s="14" t="n">
        <f aca="false">Scenarios!I63</f>
        <v>0.445</v>
      </c>
      <c r="J14" s="14" t="n">
        <f aca="false">Scenarios!J63</f>
        <v>0.44</v>
      </c>
      <c r="K14" s="14" t="n">
        <f aca="false">Scenarios!K63</f>
        <v>0.44</v>
      </c>
    </row>
    <row r="15" customFormat="false" ht="15" hidden="false" customHeight="true" outlineLevel="0" collapsed="false">
      <c r="A15" s="3" t="s">
        <v>102</v>
      </c>
      <c r="C15" s="11" t="n">
        <v>11550</v>
      </c>
      <c r="D15" s="11" t="n">
        <v>11278</v>
      </c>
      <c r="E15" s="11" t="n">
        <v>12114</v>
      </c>
      <c r="F15" s="11" t="n">
        <v>16456</v>
      </c>
      <c r="G15" s="12" t="n">
        <f aca="false">G10*G14</f>
        <v>22511.3525</v>
      </c>
      <c r="H15" s="12" t="n">
        <f aca="false">H10*H14</f>
        <v>31102.713</v>
      </c>
      <c r="I15" s="12" t="n">
        <f aca="false">I10*I14</f>
        <v>38900.6393595</v>
      </c>
      <c r="J15" s="12" t="n">
        <f aca="false">J10*J14</f>
        <v>45178.5723576</v>
      </c>
      <c r="K15" s="12" t="n">
        <f aca="false">K10*K14</f>
        <v>50384.9867396832</v>
      </c>
    </row>
    <row r="16" customFormat="false" ht="15" hidden="false" customHeight="true" outlineLevel="0" collapsed="false">
      <c r="A16" s="3" t="s">
        <v>103</v>
      </c>
      <c r="C16" s="11" t="n">
        <v>1448</v>
      </c>
      <c r="D16" s="11" t="n">
        <v>942</v>
      </c>
      <c r="E16" s="11" t="n">
        <v>946</v>
      </c>
      <c r="F16" s="11" t="n">
        <v>1031</v>
      </c>
      <c r="G16" s="12" t="n">
        <f aca="false">G70*G71</f>
        <v>945</v>
      </c>
      <c r="H16" s="12" t="n">
        <f aca="false">H70*H71</f>
        <v>855</v>
      </c>
      <c r="I16" s="12" t="n">
        <f aca="false">I70*I71</f>
        <v>765</v>
      </c>
      <c r="J16" s="12" t="n">
        <f aca="false">J70*J71</f>
        <v>675</v>
      </c>
      <c r="K16" s="12" t="n">
        <f aca="false">K70*K71</f>
        <v>585</v>
      </c>
    </row>
    <row r="17" customFormat="false" ht="15" hidden="false" customHeight="true" outlineLevel="0" collapsed="false">
      <c r="A17" s="4" t="s">
        <v>104</v>
      </c>
      <c r="C17" s="15" t="n">
        <f aca="false">C15+C16</f>
        <v>12998</v>
      </c>
      <c r="D17" s="15" t="n">
        <f aca="false">D15+D16</f>
        <v>12220</v>
      </c>
      <c r="E17" s="15" t="n">
        <f aca="false">E15+E16</f>
        <v>13060</v>
      </c>
      <c r="F17" s="15" t="n">
        <f aca="false">F15+F16</f>
        <v>17487</v>
      </c>
      <c r="G17" s="15" t="n">
        <f aca="false">G15+G16</f>
        <v>23456.3525</v>
      </c>
      <c r="H17" s="15" t="n">
        <f aca="false">H15+H16</f>
        <v>31957.713</v>
      </c>
      <c r="I17" s="15" t="n">
        <f aca="false">I15+I16</f>
        <v>39665.6393595</v>
      </c>
      <c r="J17" s="15" t="n">
        <f aca="false">J15+J16</f>
        <v>45853.5723576</v>
      </c>
      <c r="K17" s="15" t="n">
        <f aca="false">K15+K16</f>
        <v>50969.9867396832</v>
      </c>
    </row>
    <row r="18" customFormat="false" ht="15" hidden="false" customHeight="true" outlineLevel="0" collapsed="false">
      <c r="A18" s="4" t="s">
        <v>105</v>
      </c>
      <c r="C18" s="17" t="n">
        <f aca="false">C10-C17</f>
        <v>10603</v>
      </c>
      <c r="D18" s="17" t="n">
        <f aca="false">D10-D17</f>
        <v>10460</v>
      </c>
      <c r="E18" s="17" t="n">
        <f aca="false">E10-E17</f>
        <v>12725</v>
      </c>
      <c r="F18" s="17" t="n">
        <f aca="false">F10-F17</f>
        <v>17152</v>
      </c>
      <c r="G18" s="17" t="n">
        <f aca="false">G10-G17</f>
        <v>26019.1475</v>
      </c>
      <c r="H18" s="17" t="n">
        <f aca="false">H10-H17</f>
        <v>37159.427</v>
      </c>
      <c r="I18" s="17" t="n">
        <f aca="false">I10-I17</f>
        <v>47751.5277405</v>
      </c>
      <c r="J18" s="17" t="n">
        <f aca="false">J10-J17</f>
        <v>56825.0011824</v>
      </c>
      <c r="K18" s="17" t="n">
        <f aca="false">K10-K17</f>
        <v>63541.3467595968</v>
      </c>
    </row>
    <row r="19" customFormat="false" ht="15" hidden="false" customHeight="true" outlineLevel="0" collapsed="false">
      <c r="A19" s="3" t="s">
        <v>106</v>
      </c>
      <c r="C19" s="13" t="n">
        <f aca="false">C18/C10</f>
        <v>0.449260624549807</v>
      </c>
      <c r="D19" s="13" t="n">
        <f aca="false">D18/D10</f>
        <v>0.461199294532628</v>
      </c>
      <c r="E19" s="13" t="n">
        <f aca="false">E18/E10</f>
        <v>0.493503975179368</v>
      </c>
      <c r="F19" s="13" t="n">
        <f aca="false">F18/F10</f>
        <v>0.495164410058027</v>
      </c>
      <c r="G19" s="16" t="n">
        <f aca="false">G18/G10</f>
        <v>0.525899637194167</v>
      </c>
      <c r="H19" s="16" t="n">
        <f aca="false">H18/H10</f>
        <v>0.53762969648339</v>
      </c>
      <c r="I19" s="16" t="n">
        <f aca="false">I18/I10</f>
        <v>0.546248858486516</v>
      </c>
      <c r="J19" s="16" t="n">
        <f aca="false">J18/J10</f>
        <v>0.553426087091704</v>
      </c>
      <c r="K19" s="16" t="n">
        <f aca="false">K18/K10</f>
        <v>0.554891335362856</v>
      </c>
    </row>
    <row r="20" customFormat="false" ht="15" hidden="false" customHeight="true" outlineLevel="0" collapsed="false">
      <c r="A20" s="3" t="s">
        <v>107</v>
      </c>
      <c r="C20" s="13" t="n">
        <f aca="false">1-C15/C10</f>
        <v>0.510613957035719</v>
      </c>
      <c r="D20" s="13" t="n">
        <f aca="false">1-D15/D10</f>
        <v>0.502733686067019</v>
      </c>
      <c r="E20" s="13" t="n">
        <f aca="false">1-E15/E10</f>
        <v>0.530191972076789</v>
      </c>
      <c r="F20" s="13" t="n">
        <f aca="false">1-F15/F10</f>
        <v>0.524928548745634</v>
      </c>
      <c r="G20" s="16" t="n">
        <f aca="false">1-G15/G10</f>
        <v>0.545</v>
      </c>
      <c r="H20" s="16" t="n">
        <f aca="false">1-H15/H10</f>
        <v>0.55</v>
      </c>
      <c r="I20" s="16" t="n">
        <f aca="false">1-I15/I10</f>
        <v>0.555</v>
      </c>
      <c r="J20" s="16" t="n">
        <f aca="false">1-J15/J10</f>
        <v>0.56</v>
      </c>
      <c r="K20" s="16" t="n">
        <f aca="false">1-K15/K10</f>
        <v>0.56</v>
      </c>
    </row>
    <row r="22" customFormat="false" ht="15" hidden="false" customHeight="true" outlineLevel="0" collapsed="false">
      <c r="A22" s="8" t="s">
        <v>108</v>
      </c>
      <c r="B22" s="9"/>
      <c r="C22" s="9"/>
      <c r="D22" s="9"/>
      <c r="E22" s="9"/>
      <c r="F22" s="9"/>
      <c r="G22" s="9"/>
      <c r="H22" s="9"/>
      <c r="I22" s="9"/>
      <c r="J22" s="9"/>
      <c r="K22" s="9"/>
    </row>
    <row r="23" customFormat="false" ht="15" hidden="false" customHeight="true" outlineLevel="0" collapsed="false">
      <c r="A23" s="3" t="s">
        <v>109</v>
      </c>
      <c r="C23" s="13" t="n">
        <f aca="false">C24/C10</f>
        <v>0.212067285284522</v>
      </c>
      <c r="D23" s="13" t="n">
        <f aca="false">D24/D10</f>
        <v>0.258906525573192</v>
      </c>
      <c r="E23" s="13" t="n">
        <f aca="false">E24/E10</f>
        <v>0.250378126817917</v>
      </c>
      <c r="F23" s="13" t="n">
        <f aca="false">F24/F10</f>
        <v>0.233580646092555</v>
      </c>
      <c r="G23" s="14" t="n">
        <f aca="false">Scenarios!G69</f>
        <v>0.215</v>
      </c>
      <c r="H23" s="14" t="n">
        <f aca="false">Scenarios!H69</f>
        <v>0.185</v>
      </c>
      <c r="I23" s="14" t="n">
        <f aca="false">Scenarios!I69</f>
        <v>0.17</v>
      </c>
      <c r="J23" s="14" t="n">
        <f aca="false">Scenarios!J69</f>
        <v>0.16</v>
      </c>
      <c r="K23" s="14" t="n">
        <f aca="false">Scenarios!K69</f>
        <v>0.155</v>
      </c>
    </row>
    <row r="24" customFormat="false" ht="15" hidden="false" customHeight="true" outlineLevel="0" collapsed="false">
      <c r="A24" s="3" t="s">
        <v>110</v>
      </c>
      <c r="C24" s="11" t="n">
        <v>5005</v>
      </c>
      <c r="D24" s="11" t="n">
        <v>5872</v>
      </c>
      <c r="E24" s="11" t="n">
        <v>6456</v>
      </c>
      <c r="F24" s="11" t="n">
        <v>8091</v>
      </c>
      <c r="G24" s="12" t="n">
        <f aca="false">G10*G23</f>
        <v>10637.2325</v>
      </c>
      <c r="H24" s="12" t="n">
        <f aca="false">H10*H23</f>
        <v>12786.6709</v>
      </c>
      <c r="I24" s="12" t="n">
        <f aca="false">I10*I23</f>
        <v>14860.918407</v>
      </c>
      <c r="J24" s="12" t="n">
        <f aca="false">J10*J23</f>
        <v>16428.5717664</v>
      </c>
      <c r="K24" s="12" t="n">
        <f aca="false">K10*K23</f>
        <v>17749.2566923884</v>
      </c>
    </row>
    <row r="25" customFormat="false" ht="15" hidden="false" customHeight="true" outlineLevel="0" collapsed="false">
      <c r="A25" s="3" t="s">
        <v>111</v>
      </c>
      <c r="C25" s="13" t="n">
        <f aca="false">C26/C10</f>
        <v>0.0946570060590653</v>
      </c>
      <c r="D25" s="13" t="n">
        <f aca="false">D26/D10</f>
        <v>0.102204585537919</v>
      </c>
      <c r="E25" s="13" t="n">
        <f aca="false">E26/E10</f>
        <v>0.106069420205546</v>
      </c>
      <c r="F25" s="13" t="n">
        <f aca="false">F26/F10</f>
        <v>0.119633938624094</v>
      </c>
      <c r="G25" s="14" t="n">
        <f aca="false">Scenarios!G75</f>
        <v>0.115</v>
      </c>
      <c r="H25" s="14" t="n">
        <f aca="false">Scenarios!H75</f>
        <v>0.1</v>
      </c>
      <c r="I25" s="14" t="n">
        <f aca="false">Scenarios!I75</f>
        <v>0.09</v>
      </c>
      <c r="J25" s="14" t="n">
        <f aca="false">Scenarios!J75</f>
        <v>0.085</v>
      </c>
      <c r="K25" s="14" t="n">
        <f aca="false">Scenarios!K75</f>
        <v>0.08</v>
      </c>
    </row>
    <row r="26" customFormat="false" ht="15" hidden="false" customHeight="true" outlineLevel="0" collapsed="false">
      <c r="A26" s="3" t="s">
        <v>112</v>
      </c>
      <c r="B26" s="10" t="s">
        <v>113</v>
      </c>
      <c r="C26" s="11" t="n">
        <v>2234</v>
      </c>
      <c r="D26" s="11" t="n">
        <v>2318</v>
      </c>
      <c r="E26" s="11" t="n">
        <v>2735</v>
      </c>
      <c r="F26" s="11" t="n">
        <v>4144</v>
      </c>
      <c r="G26" s="12" t="n">
        <f aca="false">G10*G25</f>
        <v>5689.6825</v>
      </c>
      <c r="H26" s="12" t="n">
        <f aca="false">H10*H25</f>
        <v>6911.714</v>
      </c>
      <c r="I26" s="12" t="n">
        <f aca="false">I10*I25</f>
        <v>7867.545039</v>
      </c>
      <c r="J26" s="12" t="n">
        <f aca="false">J10*J25</f>
        <v>8727.6787509</v>
      </c>
      <c r="K26" s="12" t="n">
        <f aca="false">K10*K25</f>
        <v>9160.9066799424</v>
      </c>
    </row>
    <row r="27" customFormat="false" ht="15" hidden="false" customHeight="true" outlineLevel="0" collapsed="false">
      <c r="A27" s="3" t="s">
        <v>114</v>
      </c>
      <c r="C27" s="11" t="n">
        <v>2100</v>
      </c>
      <c r="D27" s="11" t="n">
        <v>1869</v>
      </c>
      <c r="E27" s="11" t="n">
        <v>1448</v>
      </c>
      <c r="F27" s="11" t="n">
        <v>1223</v>
      </c>
      <c r="G27" s="12" t="n">
        <f aca="false">G70-G16</f>
        <v>1155</v>
      </c>
      <c r="H27" s="12" t="n">
        <f aca="false">H70-H16</f>
        <v>1045</v>
      </c>
      <c r="I27" s="12" t="n">
        <f aca="false">I70-I16</f>
        <v>935</v>
      </c>
      <c r="J27" s="12" t="n">
        <f aca="false">J70-J16</f>
        <v>825</v>
      </c>
      <c r="K27" s="12" t="n">
        <f aca="false">K70-K16</f>
        <v>715</v>
      </c>
    </row>
    <row r="28" customFormat="false" ht="15" hidden="false" customHeight="true" outlineLevel="0" collapsed="false">
      <c r="A28" s="3" t="s">
        <v>115</v>
      </c>
      <c r="C28" s="11" t="n">
        <v>0</v>
      </c>
      <c r="D28" s="11" t="n">
        <v>0</v>
      </c>
      <c r="E28" s="11" t="n">
        <v>186</v>
      </c>
      <c r="F28" s="11" t="n">
        <v>0</v>
      </c>
      <c r="G28" s="25" t="n">
        <v>0</v>
      </c>
      <c r="H28" s="25" t="n">
        <v>0</v>
      </c>
      <c r="I28" s="25" t="n">
        <v>0</v>
      </c>
      <c r="J28" s="25" t="n">
        <v>0</v>
      </c>
      <c r="K28" s="25" t="n">
        <v>0</v>
      </c>
    </row>
    <row r="29" customFormat="false" ht="15" hidden="false" customHeight="true" outlineLevel="0" collapsed="false">
      <c r="A29" s="4" t="s">
        <v>116</v>
      </c>
      <c r="C29" s="15" t="n">
        <f aca="false">C24+C26+C27+C28</f>
        <v>9339</v>
      </c>
      <c r="D29" s="15" t="n">
        <f aca="false">D24+D26+D27+D28</f>
        <v>10059</v>
      </c>
      <c r="E29" s="15" t="n">
        <f aca="false">E24+E26+E27+E28</f>
        <v>10825</v>
      </c>
      <c r="F29" s="15" t="n">
        <f aca="false">F24+F26+F27+F28</f>
        <v>13458</v>
      </c>
      <c r="G29" s="15" t="n">
        <f aca="false">G24+G26+G27+G28</f>
        <v>17481.915</v>
      </c>
      <c r="H29" s="15" t="n">
        <f aca="false">H24+H26+H27+H28</f>
        <v>20743.3849</v>
      </c>
      <c r="I29" s="15" t="n">
        <f aca="false">I24+I26+I27+I28</f>
        <v>23663.463446</v>
      </c>
      <c r="J29" s="15" t="n">
        <f aca="false">J24+J26+J27+J28</f>
        <v>25981.2505173</v>
      </c>
      <c r="K29" s="15" t="n">
        <f aca="false">K24+K26+K27+K28</f>
        <v>27625.1633723308</v>
      </c>
    </row>
    <row r="30" customFormat="false" ht="15" hidden="false" customHeight="true" outlineLevel="0" collapsed="false">
      <c r="A30" s="3" t="s">
        <v>117</v>
      </c>
      <c r="C30" s="13" t="n">
        <f aca="false">C29/C10</f>
        <v>0.395703571882547</v>
      </c>
      <c r="D30" s="13" t="n">
        <f aca="false">D29/D10</f>
        <v>0.443518518518519</v>
      </c>
      <c r="E30" s="13" t="n">
        <f aca="false">E29/E10</f>
        <v>0.419817723482645</v>
      </c>
      <c r="F30" s="13" t="n">
        <f aca="false">F29/F10</f>
        <v>0.388521608591472</v>
      </c>
      <c r="G30" s="16" t="n">
        <f aca="false">G29/G10</f>
        <v>0.353344887873796</v>
      </c>
      <c r="H30" s="16" t="n">
        <f aca="false">H29/H10</f>
        <v>0.300119259853634</v>
      </c>
      <c r="I30" s="16" t="n">
        <f aca="false">I29/I10</f>
        <v>0.270695839627592</v>
      </c>
      <c r="J30" s="16" t="n">
        <f aca="false">J29/J10</f>
        <v>0.253034782443473</v>
      </c>
      <c r="K30" s="16" t="n">
        <f aca="false">K29/K10</f>
        <v>0.241243923445399</v>
      </c>
    </row>
    <row r="32" customFormat="false" ht="15" hidden="false" customHeight="true" outlineLevel="0" collapsed="false">
      <c r="A32" s="4" t="s">
        <v>118</v>
      </c>
      <c r="C32" s="15" t="n">
        <f aca="false">C18-C29</f>
        <v>1264</v>
      </c>
      <c r="D32" s="15" t="n">
        <f aca="false">D18-D29</f>
        <v>401</v>
      </c>
      <c r="E32" s="15" t="n">
        <f aca="false">E18-E29</f>
        <v>1900</v>
      </c>
      <c r="F32" s="15" t="n">
        <f aca="false">F18-F29</f>
        <v>3694</v>
      </c>
      <c r="G32" s="15" t="n">
        <f aca="false">G18-G29</f>
        <v>8537.2325</v>
      </c>
      <c r="H32" s="15" t="n">
        <f aca="false">H18-H29</f>
        <v>16416.0421</v>
      </c>
      <c r="I32" s="15" t="n">
        <f aca="false">I18-I29</f>
        <v>24088.0642945</v>
      </c>
      <c r="J32" s="15" t="n">
        <f aca="false">J18-J29</f>
        <v>30843.7506651</v>
      </c>
      <c r="K32" s="15" t="n">
        <f aca="false">K18-K29</f>
        <v>35916.183387266</v>
      </c>
    </row>
    <row r="33" customFormat="false" ht="15" hidden="false" customHeight="true" outlineLevel="0" collapsed="false">
      <c r="A33" s="3" t="s">
        <v>119</v>
      </c>
      <c r="C33" s="13" t="n">
        <f aca="false">C32/C10</f>
        <v>0.0535570526672599</v>
      </c>
      <c r="D33" s="13" t="n">
        <f aca="false">D32/D10</f>
        <v>0.0176807760141093</v>
      </c>
      <c r="E33" s="13" t="n">
        <f aca="false">E32/E10</f>
        <v>0.0736862516967229</v>
      </c>
      <c r="F33" s="13" t="n">
        <f aca="false">F32/F10</f>
        <v>0.106642801466555</v>
      </c>
      <c r="G33" s="16" t="n">
        <f aca="false">G32/G10</f>
        <v>0.172554749320371</v>
      </c>
      <c r="H33" s="16" t="n">
        <f aca="false">H32/H10</f>
        <v>0.237510436629756</v>
      </c>
      <c r="I33" s="16" t="n">
        <f aca="false">I32/I10</f>
        <v>0.275553018858924</v>
      </c>
      <c r="J33" s="16" t="n">
        <f aca="false">J32/J10</f>
        <v>0.300391304648232</v>
      </c>
      <c r="K33" s="16" t="n">
        <f aca="false">K32/K10</f>
        <v>0.313647411917457</v>
      </c>
    </row>
    <row r="34" customFormat="false" ht="15" hidden="false" customHeight="true" outlineLevel="0" collapsed="false">
      <c r="A34" s="3" t="s">
        <v>120</v>
      </c>
      <c r="C34" s="13" t="n">
        <f aca="false">C35/C10</f>
        <v>0.0265242998178043</v>
      </c>
      <c r="D34" s="13" t="n">
        <f aca="false">D35/D10</f>
        <v>0.0283068783068783</v>
      </c>
      <c r="E34" s="13" t="n">
        <f aca="false">E35/E10</f>
        <v>0.0260228815202637</v>
      </c>
      <c r="F34" s="13" t="n">
        <f aca="false">F35/F10</f>
        <v>0.0216518952625653</v>
      </c>
      <c r="G34" s="21" t="n">
        <v>0.02</v>
      </c>
      <c r="H34" s="21" t="n">
        <v>0.02</v>
      </c>
      <c r="I34" s="21" t="n">
        <v>0.02</v>
      </c>
      <c r="J34" s="21" t="n">
        <v>0.02</v>
      </c>
      <c r="K34" s="21" t="n">
        <v>0.02</v>
      </c>
    </row>
    <row r="35" customFormat="false" ht="15" hidden="false" customHeight="true" outlineLevel="0" collapsed="false">
      <c r="A35" s="3" t="s">
        <v>121</v>
      </c>
      <c r="B35" s="10" t="s">
        <v>122</v>
      </c>
      <c r="C35" s="11" t="n">
        <v>626</v>
      </c>
      <c r="D35" s="11" t="n">
        <v>642</v>
      </c>
      <c r="E35" s="11" t="n">
        <v>671</v>
      </c>
      <c r="F35" s="11" t="n">
        <v>750</v>
      </c>
      <c r="G35" s="12" t="n">
        <f aca="false">G10*G34</f>
        <v>989.51</v>
      </c>
      <c r="H35" s="12" t="n">
        <f aca="false">H10*H34</f>
        <v>1382.3428</v>
      </c>
      <c r="I35" s="12" t="n">
        <f aca="false">I10*I34</f>
        <v>1748.343342</v>
      </c>
      <c r="J35" s="12" t="n">
        <f aca="false">J10*J34</f>
        <v>2053.5714708</v>
      </c>
      <c r="K35" s="12" t="n">
        <f aca="false">K10*K34</f>
        <v>2290.2266699856</v>
      </c>
    </row>
    <row r="36" customFormat="false" ht="15" hidden="false" customHeight="true" outlineLevel="0" collapsed="false">
      <c r="A36" s="3" t="s">
        <v>123</v>
      </c>
      <c r="C36" s="18" t="n">
        <f aca="false">C16+C27</f>
        <v>3548</v>
      </c>
      <c r="D36" s="18" t="n">
        <f aca="false">D16+D27</f>
        <v>2811</v>
      </c>
      <c r="E36" s="18" t="n">
        <f aca="false">E16+E27</f>
        <v>2394</v>
      </c>
      <c r="F36" s="18" t="n">
        <f aca="false">F16+F27</f>
        <v>2254</v>
      </c>
      <c r="G36" s="12" t="n">
        <f aca="false">G16+G27</f>
        <v>2100</v>
      </c>
      <c r="H36" s="12" t="n">
        <f aca="false">H16+H27</f>
        <v>1900</v>
      </c>
      <c r="I36" s="12" t="n">
        <f aca="false">I16+I27</f>
        <v>1700</v>
      </c>
      <c r="J36" s="12" t="n">
        <f aca="false">J16+J27</f>
        <v>1500</v>
      </c>
      <c r="K36" s="12" t="n">
        <f aca="false">K16+K27</f>
        <v>1300</v>
      </c>
    </row>
    <row r="37" customFormat="false" ht="15" hidden="false" customHeight="true" outlineLevel="0" collapsed="false">
      <c r="A37" s="4" t="s">
        <v>124</v>
      </c>
      <c r="C37" s="17" t="n">
        <f aca="false">C32+C35+C36</f>
        <v>5438</v>
      </c>
      <c r="D37" s="17" t="n">
        <f aca="false">D32+D35+D36</f>
        <v>3854</v>
      </c>
      <c r="E37" s="17" t="n">
        <f aca="false">E32+E35+E36</f>
        <v>4965</v>
      </c>
      <c r="F37" s="17" t="n">
        <f aca="false">F32+F35+F36</f>
        <v>6698</v>
      </c>
      <c r="G37" s="17" t="n">
        <f aca="false">G32+G35+G36</f>
        <v>11626.7425</v>
      </c>
      <c r="H37" s="17" t="n">
        <f aca="false">H32+H35+H36</f>
        <v>19698.3849</v>
      </c>
      <c r="I37" s="17" t="n">
        <f aca="false">I32+I35+I36</f>
        <v>27536.4076365</v>
      </c>
      <c r="J37" s="17" t="n">
        <f aca="false">J32+J35+J36</f>
        <v>34397.3221359</v>
      </c>
      <c r="K37" s="17" t="n">
        <f aca="false">K32+K35+K36</f>
        <v>39506.4100572516</v>
      </c>
    </row>
    <row r="38" customFormat="false" ht="15" hidden="false" customHeight="true" outlineLevel="0" collapsed="false">
      <c r="A38" s="3" t="s">
        <v>125</v>
      </c>
      <c r="C38" s="13" t="n">
        <f aca="false">C37/C10</f>
        <v>0.230413965509936</v>
      </c>
      <c r="D38" s="13" t="n">
        <f aca="false">D37/D10</f>
        <v>0.169929453262787</v>
      </c>
      <c r="E38" s="13" t="n">
        <f aca="false">E37/E10</f>
        <v>0.192553810354857</v>
      </c>
      <c r="F38" s="13" t="n">
        <f aca="false">F37/F10</f>
        <v>0.19336585929155</v>
      </c>
      <c r="G38" s="16" t="n">
        <f aca="false">G37/G10</f>
        <v>0.235</v>
      </c>
      <c r="H38" s="16" t="n">
        <f aca="false">H37/H10</f>
        <v>0.285</v>
      </c>
      <c r="I38" s="16" t="n">
        <f aca="false">I37/I10</f>
        <v>0.315</v>
      </c>
      <c r="J38" s="16" t="n">
        <f aca="false">J37/J10</f>
        <v>0.335</v>
      </c>
      <c r="K38" s="16" t="n">
        <f aca="false">K37/K10</f>
        <v>0.345</v>
      </c>
    </row>
    <row r="39" customFormat="false" ht="15" hidden="false" customHeight="true" outlineLevel="0" collapsed="false">
      <c r="A39" s="3" t="s">
        <v>126</v>
      </c>
      <c r="C39" s="13" t="n">
        <f aca="false">C40/C10</f>
        <v>0.045803143934579</v>
      </c>
      <c r="D39" s="13" t="n">
        <f aca="false">D40/D10</f>
        <v>0.0610229276895944</v>
      </c>
      <c r="E39" s="13" t="n">
        <f aca="false">E40/E10</f>
        <v>0.0545666084933101</v>
      </c>
      <c r="F39" s="13" t="n">
        <f aca="false">F40/F10</f>
        <v>0.0472877392534427</v>
      </c>
      <c r="G39" s="21" t="n">
        <v>0.04</v>
      </c>
      <c r="H39" s="21" t="n">
        <v>0.035</v>
      </c>
      <c r="I39" s="21" t="n">
        <v>0.032</v>
      </c>
      <c r="J39" s="21" t="n">
        <v>0.03</v>
      </c>
      <c r="K39" s="21" t="n">
        <v>0.03</v>
      </c>
    </row>
    <row r="40" customFormat="false" ht="15" hidden="false" customHeight="true" outlineLevel="0" collapsed="false">
      <c r="A40" s="3" t="s">
        <v>127</v>
      </c>
      <c r="C40" s="11" t="n">
        <v>1081</v>
      </c>
      <c r="D40" s="11" t="n">
        <v>1384</v>
      </c>
      <c r="E40" s="11" t="n">
        <v>1407</v>
      </c>
      <c r="F40" s="11" t="n">
        <v>1638</v>
      </c>
      <c r="G40" s="12" t="n">
        <f aca="false">G10*G39</f>
        <v>1979.02</v>
      </c>
      <c r="H40" s="12" t="n">
        <f aca="false">H10*H39</f>
        <v>2419.0999</v>
      </c>
      <c r="I40" s="12" t="n">
        <f aca="false">I10*I39</f>
        <v>2797.3493472</v>
      </c>
      <c r="J40" s="12" t="n">
        <f aca="false">J10*J39</f>
        <v>3080.3572062</v>
      </c>
      <c r="K40" s="12" t="n">
        <f aca="false">K10*K39</f>
        <v>3435.3400049784</v>
      </c>
    </row>
    <row r="41" customFormat="false" ht="15" hidden="false" customHeight="true" outlineLevel="0" collapsed="false">
      <c r="A41" s="3" t="s">
        <v>128</v>
      </c>
      <c r="C41" s="18" t="n">
        <f aca="false">C37+C40+C28</f>
        <v>6519</v>
      </c>
      <c r="D41" s="18" t="n">
        <f aca="false">D37+D40+D28</f>
        <v>5238</v>
      </c>
      <c r="E41" s="18" t="n">
        <f aca="false">E37+E40+E28</f>
        <v>6558</v>
      </c>
      <c r="F41" s="18" t="n">
        <f aca="false">F37+F40+F28</f>
        <v>8336</v>
      </c>
      <c r="G41" s="12" t="n">
        <f aca="false">G37+G40+G28</f>
        <v>13605.7625</v>
      </c>
      <c r="H41" s="12" t="n">
        <f aca="false">H37+H40+H28</f>
        <v>22117.4848</v>
      </c>
      <c r="I41" s="12" t="n">
        <f aca="false">I37+I40+I28</f>
        <v>30333.7569837</v>
      </c>
      <c r="J41" s="12" t="n">
        <f aca="false">J37+J40+J28</f>
        <v>37477.6793421</v>
      </c>
      <c r="K41" s="12" t="n">
        <f aca="false">K37+K40+K28</f>
        <v>42941.75006223</v>
      </c>
    </row>
    <row r="42" customFormat="false" ht="15" hidden="false" customHeight="true" outlineLevel="0" collapsed="false">
      <c r="A42" s="3" t="s">
        <v>129</v>
      </c>
      <c r="B42" s="10" t="s">
        <v>130</v>
      </c>
      <c r="C42" s="18" t="n">
        <f aca="false">C32+C36+C40+C28</f>
        <v>5893</v>
      </c>
      <c r="D42" s="18" t="n">
        <f aca="false">D32+D36+D40+D28</f>
        <v>4596</v>
      </c>
      <c r="E42" s="18" t="n">
        <f aca="false">E32+E36+E40+E28</f>
        <v>5887</v>
      </c>
      <c r="F42" s="18" t="n">
        <f aca="false">F32+F36+F40+F28</f>
        <v>7586</v>
      </c>
      <c r="G42" s="12" t="n">
        <f aca="false">G32+G36+G40+G28</f>
        <v>12616.2525</v>
      </c>
      <c r="H42" s="12" t="n">
        <f aca="false">H32+H36+H40+H28</f>
        <v>20735.142</v>
      </c>
      <c r="I42" s="12" t="n">
        <f aca="false">I32+I36+I40+I28</f>
        <v>28585.4136417</v>
      </c>
      <c r="J42" s="12" t="n">
        <f aca="false">J32+J36+J40+J28</f>
        <v>35424.1078713</v>
      </c>
      <c r="K42" s="12" t="n">
        <f aca="false">K32+K36+K40+K28</f>
        <v>40651.5233922444</v>
      </c>
    </row>
    <row r="43" customFormat="false" ht="15" hidden="false" customHeight="true" outlineLevel="0" collapsed="false">
      <c r="A43" s="3" t="s">
        <v>131</v>
      </c>
      <c r="C43" s="13" t="n">
        <f aca="false">C42/C10</f>
        <v>0.249692809626711</v>
      </c>
      <c r="D43" s="13" t="n">
        <f aca="false">D42/D10</f>
        <v>0.202645502645503</v>
      </c>
      <c r="E43" s="13" t="n">
        <f aca="false">E42/E10</f>
        <v>0.228311033546636</v>
      </c>
      <c r="F43" s="13" t="n">
        <f aca="false">F42/F10</f>
        <v>0.219001703282427</v>
      </c>
      <c r="G43" s="16" t="n">
        <f aca="false">G42/G10</f>
        <v>0.255</v>
      </c>
      <c r="H43" s="16" t="n">
        <f aca="false">H42/H10</f>
        <v>0.3</v>
      </c>
      <c r="I43" s="16" t="n">
        <f aca="false">I42/I10</f>
        <v>0.327</v>
      </c>
      <c r="J43" s="16" t="n">
        <f aca="false">J42/J10</f>
        <v>0.345</v>
      </c>
      <c r="K43" s="16" t="n">
        <f aca="false">K42/K10</f>
        <v>0.355</v>
      </c>
    </row>
    <row r="45" customFormat="false" ht="15" hidden="false" customHeight="true" outlineLevel="0" collapsed="false">
      <c r="A45" s="8" t="s">
        <v>132</v>
      </c>
      <c r="B45" s="9"/>
      <c r="C45" s="9"/>
      <c r="D45" s="9"/>
      <c r="E45" s="9"/>
      <c r="F45" s="9"/>
      <c r="G45" s="9"/>
      <c r="H45" s="9"/>
      <c r="I45" s="9"/>
      <c r="J45" s="9"/>
      <c r="K45" s="9"/>
    </row>
    <row r="46" customFormat="false" ht="15" hidden="false" customHeight="true" outlineLevel="0" collapsed="false">
      <c r="A46" s="3" t="s">
        <v>133</v>
      </c>
      <c r="D46" s="26" t="n">
        <f aca="false">D47/AVERAGE('Balance Sheet'!C52,'Balance Sheet'!D52)</f>
        <v>0.0429584599797366</v>
      </c>
      <c r="E46" s="26" t="n">
        <f aca="false">E47/AVERAGE('Balance Sheet'!D52,'Balance Sheet'!E52)</f>
        <v>0.0439245643351635</v>
      </c>
      <c r="F46" s="26" t="n">
        <f aca="false">F47/AVERAGE('Balance Sheet'!E52,'Balance Sheet'!F52)</f>
        <v>0.0530042484321262</v>
      </c>
      <c r="G46" s="21" t="n">
        <v>0.04</v>
      </c>
      <c r="H46" s="21" t="n">
        <v>0.04</v>
      </c>
      <c r="I46" s="21" t="n">
        <v>0.04</v>
      </c>
      <c r="J46" s="21" t="n">
        <v>0.04</v>
      </c>
      <c r="K46" s="21" t="n">
        <v>0.04</v>
      </c>
    </row>
    <row r="47" customFormat="false" ht="15" hidden="false" customHeight="true" outlineLevel="0" collapsed="false">
      <c r="A47" s="3" t="s">
        <v>134</v>
      </c>
      <c r="C47" s="11" t="n">
        <v>88</v>
      </c>
      <c r="D47" s="11" t="n">
        <v>106</v>
      </c>
      <c r="E47" s="11" t="n">
        <v>92</v>
      </c>
      <c r="F47" s="11" t="n">
        <v>131</v>
      </c>
      <c r="G47" s="24" t="n">
        <f aca="false">G46*AVERAGE('Balance Sheet'!F52,'Balance Sheet'!G52)</f>
        <v>128.88</v>
      </c>
      <c r="H47" s="24" t="n">
        <f aca="false">H46*AVERAGE('Balance Sheet'!G52,'Balance Sheet'!H52)</f>
        <v>128.88</v>
      </c>
      <c r="I47" s="24" t="n">
        <f aca="false">I46*AVERAGE('Balance Sheet'!H52,'Balance Sheet'!I52)</f>
        <v>128.88</v>
      </c>
      <c r="J47" s="24" t="n">
        <f aca="false">J46*AVERAGE('Balance Sheet'!I52,'Balance Sheet'!J52)</f>
        <v>128.88</v>
      </c>
      <c r="K47" s="24" t="n">
        <f aca="false">K46*AVERAGE('Balance Sheet'!J52,'Balance Sheet'!K52)</f>
        <v>128.88</v>
      </c>
    </row>
    <row r="48" customFormat="false" ht="15" hidden="false" customHeight="true" outlineLevel="0" collapsed="false">
      <c r="A48" s="3" t="s">
        <v>135</v>
      </c>
      <c r="D48" s="26" t="n">
        <f aca="false">D49/('Balance Sheet'!C14+'Balance Sheet'!C15)</f>
        <v>0.0336464560204953</v>
      </c>
      <c r="E48" s="26" t="n">
        <f aca="false">E49/('Balance Sheet'!D14+'Balance Sheet'!D15)</f>
        <v>0.0313528494716785</v>
      </c>
      <c r="F48" s="26" t="n">
        <f aca="false">F49/('Balance Sheet'!E14+'Balance Sheet'!E15)</f>
        <v>0.112431800467654</v>
      </c>
      <c r="G48" s="21" t="n">
        <v>0.035</v>
      </c>
      <c r="H48" s="21" t="n">
        <v>0.035</v>
      </c>
      <c r="I48" s="21" t="n">
        <v>0.035</v>
      </c>
      <c r="J48" s="21" t="n">
        <v>0.035</v>
      </c>
      <c r="K48" s="21" t="n">
        <v>0.035</v>
      </c>
    </row>
    <row r="49" customFormat="false" ht="15" hidden="false" customHeight="true" outlineLevel="0" collapsed="false">
      <c r="A49" s="3" t="s">
        <v>136</v>
      </c>
      <c r="B49" s="10" t="s">
        <v>137</v>
      </c>
      <c r="C49" s="11" t="n">
        <v>8</v>
      </c>
      <c r="D49" s="11" t="n">
        <v>197</v>
      </c>
      <c r="E49" s="11" t="n">
        <v>181</v>
      </c>
      <c r="F49" s="11" t="n">
        <v>577</v>
      </c>
      <c r="G49" s="24" t="n">
        <f aca="false">G48*('Balance Sheet'!F14+'Balance Sheet'!F15)</f>
        <v>369.32</v>
      </c>
      <c r="H49" s="24" t="n">
        <f aca="false">H48*('Balance Sheet'!G14+'Balance Sheet'!G15)</f>
        <v>423.286123264555</v>
      </c>
      <c r="I49" s="24" t="n">
        <f aca="false">I48*('Balance Sheet'!H14+'Balance Sheet'!H15)</f>
        <v>619.06330053356</v>
      </c>
      <c r="J49" s="24" t="n">
        <f aca="false">J48*('Balance Sheet'!I14+'Balance Sheet'!I15)</f>
        <v>958.663410948106</v>
      </c>
      <c r="K49" s="24" t="n">
        <f aca="false">K48*('Balance Sheet'!J14+'Balance Sheet'!J15)</f>
        <v>1412.43652414121</v>
      </c>
    </row>
    <row r="50" customFormat="false" ht="15" hidden="false" customHeight="true" outlineLevel="0" collapsed="false">
      <c r="A50" s="4" t="s">
        <v>138</v>
      </c>
      <c r="C50" s="15" t="n">
        <f aca="false">C32-C47+C49</f>
        <v>1184</v>
      </c>
      <c r="D50" s="15" t="n">
        <f aca="false">D32-D47+D49</f>
        <v>492</v>
      </c>
      <c r="E50" s="15" t="n">
        <f aca="false">E32-E47+E49</f>
        <v>1989</v>
      </c>
      <c r="F50" s="15" t="n">
        <f aca="false">F32-F47+F49</f>
        <v>4140</v>
      </c>
      <c r="G50" s="15" t="n">
        <f aca="false">G32-G47+G49</f>
        <v>8777.6725</v>
      </c>
      <c r="H50" s="15" t="n">
        <f aca="false">H32-H47+H49</f>
        <v>16710.4482232646</v>
      </c>
      <c r="I50" s="15" t="n">
        <f aca="false">I32-I47+I49</f>
        <v>24578.2475950336</v>
      </c>
      <c r="J50" s="15" t="n">
        <f aca="false">J32-J47+J49</f>
        <v>31673.5340760481</v>
      </c>
      <c r="K50" s="15" t="n">
        <f aca="false">K32-K47+K49</f>
        <v>37199.7399114072</v>
      </c>
    </row>
    <row r="51" customFormat="false" ht="15" hidden="false" customHeight="true" outlineLevel="0" collapsed="false">
      <c r="A51" s="3" t="s">
        <v>139</v>
      </c>
      <c r="C51" s="13" t="n">
        <f aca="false">C52/C50</f>
        <v>-0.103040540540541</v>
      </c>
      <c r="D51" s="13" t="n">
        <f aca="false">D52/D50</f>
        <v>-0.703252032520325</v>
      </c>
      <c r="E51" s="13" t="n">
        <f aca="false">E52/E50</f>
        <v>0.191553544494721</v>
      </c>
      <c r="F51" s="13" t="n">
        <f aca="false">F52/F50</f>
        <v>-0.0248792270531401</v>
      </c>
      <c r="G51" s="21" t="n">
        <v>0.13</v>
      </c>
      <c r="H51" s="21" t="n">
        <v>0.15</v>
      </c>
      <c r="I51" s="21" t="n">
        <v>0.15</v>
      </c>
      <c r="J51" s="21" t="n">
        <v>0.15</v>
      </c>
      <c r="K51" s="21" t="n">
        <v>0.15</v>
      </c>
    </row>
    <row r="52" customFormat="false" ht="15" hidden="false" customHeight="true" outlineLevel="0" collapsed="false">
      <c r="A52" s="3" t="s">
        <v>140</v>
      </c>
      <c r="C52" s="11" t="n">
        <v>-122</v>
      </c>
      <c r="D52" s="11" t="n">
        <v>-346</v>
      </c>
      <c r="E52" s="11" t="n">
        <v>381</v>
      </c>
      <c r="F52" s="11" t="n">
        <v>-103</v>
      </c>
      <c r="G52" s="12" t="n">
        <f aca="false">G50*G51</f>
        <v>1141.097425</v>
      </c>
      <c r="H52" s="12" t="n">
        <f aca="false">H50*H51</f>
        <v>2506.56723348968</v>
      </c>
      <c r="I52" s="12" t="n">
        <f aca="false">I50*I51</f>
        <v>3686.73713925503</v>
      </c>
      <c r="J52" s="12" t="n">
        <f aca="false">J50*J51</f>
        <v>4751.03011140721</v>
      </c>
      <c r="K52" s="12" t="n">
        <f aca="false">K50*K51</f>
        <v>5579.96098671108</v>
      </c>
    </row>
    <row r="53" customFormat="false" ht="15" hidden="false" customHeight="true" outlineLevel="0" collapsed="false">
      <c r="A53" s="3" t="s">
        <v>141</v>
      </c>
      <c r="C53" s="11" t="n">
        <v>14</v>
      </c>
      <c r="D53" s="11" t="n">
        <v>16</v>
      </c>
      <c r="E53" s="11" t="n">
        <v>33</v>
      </c>
      <c r="F53" s="11" t="n">
        <v>26</v>
      </c>
      <c r="G53" s="25" t="n">
        <v>30</v>
      </c>
      <c r="H53" s="25" t="n">
        <v>30</v>
      </c>
      <c r="I53" s="25" t="n">
        <v>30</v>
      </c>
      <c r="J53" s="25" t="n">
        <v>30</v>
      </c>
      <c r="K53" s="25" t="n">
        <v>30</v>
      </c>
    </row>
    <row r="54" customFormat="false" ht="15" hidden="false" customHeight="true" outlineLevel="0" collapsed="false">
      <c r="A54" s="4" t="s">
        <v>142</v>
      </c>
      <c r="C54" s="17" t="n">
        <f aca="false">C50-C52+C53</f>
        <v>1320</v>
      </c>
      <c r="D54" s="17" t="n">
        <f aca="false">D50-D52+D53</f>
        <v>854</v>
      </c>
      <c r="E54" s="17" t="n">
        <f aca="false">E50-E52+E53</f>
        <v>1641</v>
      </c>
      <c r="F54" s="17" t="n">
        <f aca="false">F50-F52+F53</f>
        <v>4269</v>
      </c>
      <c r="G54" s="17" t="n">
        <f aca="false">G50-G52+G53</f>
        <v>7666.575075</v>
      </c>
      <c r="H54" s="17" t="n">
        <f aca="false">H50-H52+H53</f>
        <v>14233.8809897749</v>
      </c>
      <c r="I54" s="17" t="n">
        <f aca="false">I50-I52+I53</f>
        <v>20921.5104557785</v>
      </c>
      <c r="J54" s="17" t="n">
        <f aca="false">J50-J52+J53</f>
        <v>26952.5039646409</v>
      </c>
      <c r="K54" s="17" t="n">
        <f aca="false">K50-K52+K53</f>
        <v>31649.7789246961</v>
      </c>
    </row>
    <row r="55" customFormat="false" ht="15" hidden="false" customHeight="true" outlineLevel="0" collapsed="false">
      <c r="A55" s="3" t="s">
        <v>143</v>
      </c>
      <c r="B55" s="10" t="s">
        <v>144</v>
      </c>
      <c r="C55" s="11" t="n">
        <v>0</v>
      </c>
      <c r="D55" s="11" t="n">
        <v>0</v>
      </c>
      <c r="E55" s="11" t="n">
        <v>0</v>
      </c>
      <c r="F55" s="11" t="n">
        <v>66</v>
      </c>
      <c r="G55" s="25" t="n">
        <v>0</v>
      </c>
      <c r="H55" s="25" t="n">
        <v>0</v>
      </c>
      <c r="I55" s="25" t="n">
        <v>0</v>
      </c>
      <c r="J55" s="25" t="n">
        <v>0</v>
      </c>
      <c r="K55" s="25" t="n">
        <v>0</v>
      </c>
    </row>
    <row r="56" customFormat="false" ht="15" hidden="false" customHeight="true" outlineLevel="0" collapsed="false">
      <c r="A56" s="4" t="s">
        <v>145</v>
      </c>
      <c r="C56" s="15" t="n">
        <f aca="false">C54+C55</f>
        <v>1320</v>
      </c>
      <c r="D56" s="15" t="n">
        <f aca="false">D54+D55</f>
        <v>854</v>
      </c>
      <c r="E56" s="15" t="n">
        <f aca="false">E54+E55</f>
        <v>1641</v>
      </c>
      <c r="F56" s="15" t="n">
        <f aca="false">F54+F55</f>
        <v>4335</v>
      </c>
      <c r="G56" s="15" t="n">
        <f aca="false">G54+G55</f>
        <v>7666.575075</v>
      </c>
      <c r="H56" s="15" t="n">
        <f aca="false">H54+H55</f>
        <v>14233.8809897749</v>
      </c>
      <c r="I56" s="15" t="n">
        <f aca="false">I54+I55</f>
        <v>20921.5104557785</v>
      </c>
      <c r="J56" s="15" t="n">
        <f aca="false">J54+J55</f>
        <v>26952.5039646409</v>
      </c>
      <c r="K56" s="15" t="n">
        <f aca="false">K54+K55</f>
        <v>31649.7789246961</v>
      </c>
    </row>
    <row r="57" customFormat="false" ht="15" hidden="false" customHeight="true" outlineLevel="0" collapsed="false">
      <c r="A57" s="3" t="s">
        <v>146</v>
      </c>
      <c r="C57" s="13" t="n">
        <f aca="false">C56/C10</f>
        <v>0.0559298334816321</v>
      </c>
      <c r="D57" s="13" t="n">
        <f aca="false">D56/D10</f>
        <v>0.0376543209876543</v>
      </c>
      <c r="E57" s="13" t="n">
        <f aca="false">E56/E10</f>
        <v>0.0636416521233275</v>
      </c>
      <c r="F57" s="13" t="n">
        <f aca="false">F56/F10</f>
        <v>0.125147954617628</v>
      </c>
      <c r="G57" s="16" t="n">
        <f aca="false">G56/G10</f>
        <v>0.154957000434558</v>
      </c>
      <c r="H57" s="16" t="n">
        <f aca="false">H56/H10</f>
        <v>0.20593851235417</v>
      </c>
      <c r="I57" s="16" t="n">
        <f aca="false">I56/I10</f>
        <v>0.239329540750795</v>
      </c>
      <c r="J57" s="16" t="n">
        <f aca="false">J56/J10</f>
        <v>0.262493946257844</v>
      </c>
      <c r="K57" s="16" t="n">
        <f aca="false">K56/K10</f>
        <v>0.276389925412013</v>
      </c>
    </row>
    <row r="58" customFormat="false" ht="15" hidden="false" customHeight="true" outlineLevel="0" collapsed="false">
      <c r="A58" s="3" t="s">
        <v>147</v>
      </c>
      <c r="D58" s="13" t="n">
        <f aca="false">D56/C56-1</f>
        <v>-0.353030303030303</v>
      </c>
      <c r="E58" s="13" t="n">
        <f aca="false">E56/D56-1</f>
        <v>0.921545667447307</v>
      </c>
      <c r="F58" s="13" t="n">
        <f aca="false">F56/E56-1</f>
        <v>1.64168190127971</v>
      </c>
      <c r="G58" s="16" t="n">
        <f aca="false">G56/F56-1</f>
        <v>0.768529429065744</v>
      </c>
      <c r="H58" s="16" t="n">
        <f aca="false">H56/G56-1</f>
        <v>0.85661535307862</v>
      </c>
      <c r="I58" s="16" t="n">
        <f aca="false">I56/H56-1</f>
        <v>0.469838793144879</v>
      </c>
      <c r="J58" s="16" t="n">
        <f aca="false">J56/I56-1</f>
        <v>0.288267595287156</v>
      </c>
      <c r="K58" s="16" t="n">
        <f aca="false">K56/J56-1</f>
        <v>0.1742797242964</v>
      </c>
    </row>
    <row r="60" customFormat="false" ht="15" hidden="false" customHeight="true" outlineLevel="0" collapsed="false">
      <c r="A60" s="8" t="s">
        <v>148</v>
      </c>
      <c r="B60" s="9"/>
      <c r="C60" s="9"/>
      <c r="D60" s="9"/>
      <c r="E60" s="9"/>
      <c r="F60" s="9"/>
      <c r="G60" s="9"/>
      <c r="H60" s="9"/>
      <c r="I60" s="9"/>
      <c r="J60" s="9"/>
      <c r="K60" s="9"/>
    </row>
    <row r="61" customFormat="false" ht="15" hidden="false" customHeight="true" outlineLevel="0" collapsed="false">
      <c r="A61" s="3" t="s">
        <v>149</v>
      </c>
      <c r="D61" s="13" t="n">
        <f aca="false">D63/C63-1</f>
        <v>0.0343730108211331</v>
      </c>
      <c r="E61" s="13" t="n">
        <f aca="false">E63/D63-1</f>
        <v>0.00738461538461532</v>
      </c>
      <c r="F61" s="13" t="n">
        <f aca="false">F63/E63-1</f>
        <v>-0.000610873549175328</v>
      </c>
      <c r="H61" s="21" t="n">
        <v>0.005</v>
      </c>
      <c r="I61" s="21" t="n">
        <v>0.005</v>
      </c>
      <c r="J61" s="21" t="n">
        <v>0.005</v>
      </c>
      <c r="K61" s="21" t="n">
        <v>0.005</v>
      </c>
    </row>
    <row r="62" customFormat="false" ht="15" hidden="false" customHeight="true" outlineLevel="0" collapsed="false">
      <c r="A62" s="3" t="s">
        <v>150</v>
      </c>
      <c r="B62" s="10" t="s">
        <v>151</v>
      </c>
      <c r="C62" s="11" t="n">
        <v>1561</v>
      </c>
      <c r="D62" s="11" t="n">
        <v>1614</v>
      </c>
      <c r="E62" s="11" t="n">
        <v>1620</v>
      </c>
      <c r="F62" s="11" t="n">
        <v>1624</v>
      </c>
      <c r="G62" s="12" t="n">
        <f aca="false">G63*0.99</f>
        <v>1643.4</v>
      </c>
      <c r="H62" s="12" t="n">
        <f aca="false">H63*0.99</f>
        <v>1651.617</v>
      </c>
      <c r="I62" s="12" t="n">
        <f aca="false">I63*0.99</f>
        <v>1659.875085</v>
      </c>
      <c r="J62" s="12" t="n">
        <f aca="false">J63*0.99</f>
        <v>1668.174460425</v>
      </c>
      <c r="K62" s="12" t="n">
        <f aca="false">K63*0.99</f>
        <v>1676.51533272712</v>
      </c>
    </row>
    <row r="63" customFormat="false" ht="15" hidden="false" customHeight="true" outlineLevel="0" collapsed="false">
      <c r="A63" s="3" t="s">
        <v>152</v>
      </c>
      <c r="B63" s="10" t="s">
        <v>153</v>
      </c>
      <c r="C63" s="11" t="n">
        <v>1571</v>
      </c>
      <c r="D63" s="11" t="n">
        <v>1625</v>
      </c>
      <c r="E63" s="11" t="n">
        <v>1637</v>
      </c>
      <c r="F63" s="11" t="n">
        <v>1636</v>
      </c>
      <c r="G63" s="25" t="n">
        <v>1660</v>
      </c>
      <c r="H63" s="12" t="n">
        <f aca="false">G63*(1+H61)</f>
        <v>1668.3</v>
      </c>
      <c r="I63" s="12" t="n">
        <f aca="false">H63*(1+I61)</f>
        <v>1676.6415</v>
      </c>
      <c r="J63" s="12" t="n">
        <f aca="false">I63*(1+J61)</f>
        <v>1685.0247075</v>
      </c>
      <c r="K63" s="12" t="n">
        <f aca="false">J63*(1+K61)</f>
        <v>1693.4498310375</v>
      </c>
    </row>
    <row r="64" customFormat="false" ht="15" hidden="false" customHeight="true" outlineLevel="0" collapsed="false">
      <c r="A64" s="3" t="s">
        <v>154</v>
      </c>
      <c r="C64" s="27" t="n">
        <f aca="false">C56/C62</f>
        <v>0.845611787315823</v>
      </c>
      <c r="D64" s="27" t="n">
        <f aca="false">D56/D62</f>
        <v>0.52912019826518</v>
      </c>
      <c r="E64" s="27" t="n">
        <f aca="false">E56/E62</f>
        <v>1.01296296296296</v>
      </c>
      <c r="F64" s="27" t="n">
        <f aca="false">F56/F62</f>
        <v>2.66933497536946</v>
      </c>
      <c r="G64" s="28" t="n">
        <f aca="false">G56/G62</f>
        <v>4.66506941401971</v>
      </c>
      <c r="H64" s="28" t="n">
        <f aca="false">H56/H62</f>
        <v>8.61814875347909</v>
      </c>
      <c r="I64" s="28" t="n">
        <f aca="false">I56/I62</f>
        <v>12.6042680228425</v>
      </c>
      <c r="J64" s="28" t="n">
        <f aca="false">J56/J62</f>
        <v>16.1568856280021</v>
      </c>
      <c r="K64" s="28" t="n">
        <f aca="false">K56/K62</f>
        <v>18.8783116425262</v>
      </c>
    </row>
    <row r="65" customFormat="false" ht="15" hidden="false" customHeight="true" outlineLevel="0" collapsed="false">
      <c r="A65" s="4" t="s">
        <v>155</v>
      </c>
      <c r="C65" s="29" t="n">
        <f aca="false">C56/C63</f>
        <v>0.840229153405474</v>
      </c>
      <c r="D65" s="29" t="n">
        <f aca="false">D56/D63</f>
        <v>0.525538461538462</v>
      </c>
      <c r="E65" s="29" t="n">
        <f aca="false">E56/E63</f>
        <v>1.0024434941967</v>
      </c>
      <c r="F65" s="29" t="n">
        <f aca="false">F56/F63</f>
        <v>2.64975550122249</v>
      </c>
      <c r="G65" s="29" t="n">
        <f aca="false">G56/G63</f>
        <v>4.61841871987952</v>
      </c>
      <c r="H65" s="29" t="n">
        <f aca="false">H56/H63</f>
        <v>8.5319672659443</v>
      </c>
      <c r="I65" s="29" t="n">
        <f aca="false">I56/I63</f>
        <v>12.4782253426141</v>
      </c>
      <c r="J65" s="29" t="n">
        <f aca="false">J56/J63</f>
        <v>15.9953167717221</v>
      </c>
      <c r="K65" s="29" t="n">
        <f aca="false">K56/K63</f>
        <v>18.6895285261009</v>
      </c>
    </row>
    <row r="66" customFormat="false" ht="15" hidden="false" customHeight="true" outlineLevel="0" collapsed="false">
      <c r="A66" s="3" t="s">
        <v>156</v>
      </c>
      <c r="D66" s="13" t="n">
        <f aca="false">D65/C65-1</f>
        <v>-0.374529603729604</v>
      </c>
      <c r="E66" s="13" t="n">
        <f aca="false">E65/D65-1</f>
        <v>0.907459810385995</v>
      </c>
      <c r="F66" s="13" t="n">
        <f aca="false">F65/E65-1</f>
        <v>1.64329662126826</v>
      </c>
      <c r="G66" s="16" t="n">
        <f aca="false">G65/F65-1</f>
        <v>0.74296032888648</v>
      </c>
      <c r="H66" s="16" t="n">
        <f aca="false">H65/G65-1</f>
        <v>0.847378460774747</v>
      </c>
      <c r="I66" s="16" t="n">
        <f aca="false">I65/H65-1</f>
        <v>0.462526162333213</v>
      </c>
      <c r="J66" s="16" t="n">
        <f aca="false">J65/I65-1</f>
        <v>0.281858303768314</v>
      </c>
      <c r="K66" s="16" t="n">
        <f aca="false">K65/J65-1</f>
        <v>0.168437536613334</v>
      </c>
    </row>
    <row r="67" customFormat="false" ht="15" hidden="false" customHeight="true" outlineLevel="0" collapsed="false">
      <c r="A67" s="3" t="s">
        <v>157</v>
      </c>
      <c r="B67" s="10" t="s">
        <v>158</v>
      </c>
      <c r="C67" s="27" t="n">
        <f aca="false">(C42-C47+C49+C53)*(1-0.13)/C63</f>
        <v>3.22691915977085</v>
      </c>
      <c r="D67" s="27" t="n">
        <f aca="false">(D42-D47+D49+D53)*(1-0.13)/D63</f>
        <v>2.51791384615385</v>
      </c>
      <c r="E67" s="27" t="n">
        <f aca="false">(E42-E47+E49+E53)*(1-0.13)/E63</f>
        <v>3.19354306658522</v>
      </c>
      <c r="F67" s="27" t="n">
        <f aca="false">(F42-F47+F49+F53)*(1-0.13)/F63</f>
        <v>4.28512224938875</v>
      </c>
      <c r="G67" s="28" t="n">
        <f aca="false">(G42-G47+G49+G53)*(1-0.13)/G63</f>
        <v>6.75386896084337</v>
      </c>
      <c r="H67" s="28" t="n">
        <f aca="false">(H42-H47+H49+H53)*(1-0.13)/H63</f>
        <v>10.9823214453277</v>
      </c>
      <c r="I67" s="28" t="n">
        <f aca="false">(I42-I47+I49+I53)*(1-0.13)/I63</f>
        <v>15.1027332555846</v>
      </c>
      <c r="J67" s="28" t="n">
        <f aca="false">(J42-J47+J49+J53)*(1-0.13)/J63</f>
        <v>18.7338412754733</v>
      </c>
      <c r="K67" s="28" t="n">
        <f aca="false">(K42-K47+K49+K53)*(1-0.13)/K63</f>
        <v>21.5593156987047</v>
      </c>
    </row>
    <row r="69" customFormat="false" ht="15" hidden="false" customHeight="true" outlineLevel="0" collapsed="false">
      <c r="A69" s="8" t="s">
        <v>159</v>
      </c>
      <c r="B69" s="9"/>
      <c r="C69" s="9"/>
      <c r="D69" s="9"/>
      <c r="E69" s="9"/>
      <c r="F69" s="9"/>
      <c r="G69" s="9"/>
      <c r="H69" s="9"/>
      <c r="I69" s="9"/>
      <c r="J69" s="9"/>
      <c r="K69" s="9"/>
    </row>
    <row r="70" customFormat="false" ht="15" hidden="false" customHeight="true" outlineLevel="0" collapsed="false">
      <c r="A70" s="3" t="s">
        <v>160</v>
      </c>
      <c r="C70" s="11" t="n">
        <v>3548</v>
      </c>
      <c r="D70" s="11" t="n">
        <v>2811</v>
      </c>
      <c r="E70" s="11" t="n">
        <v>2394</v>
      </c>
      <c r="F70" s="11" t="n">
        <v>2254</v>
      </c>
      <c r="G70" s="25" t="n">
        <v>2100</v>
      </c>
      <c r="H70" s="25" t="n">
        <v>1900</v>
      </c>
      <c r="I70" s="25" t="n">
        <v>1700</v>
      </c>
      <c r="J70" s="25" t="n">
        <v>1500</v>
      </c>
      <c r="K70" s="25" t="n">
        <v>1300</v>
      </c>
    </row>
    <row r="71" customFormat="false" ht="15" hidden="false" customHeight="true" outlineLevel="0" collapsed="false">
      <c r="A71" s="3" t="s">
        <v>161</v>
      </c>
      <c r="C71" s="13" t="n">
        <f aca="false">C16/C36</f>
        <v>0.408117249154453</v>
      </c>
      <c r="D71" s="13" t="n">
        <f aca="false">D16/D36</f>
        <v>0.335112059765208</v>
      </c>
      <c r="E71" s="13" t="n">
        <f aca="false">E16/E36</f>
        <v>0.39515455304929</v>
      </c>
      <c r="F71" s="13" t="n">
        <f aca="false">F16/F36</f>
        <v>0.457409050576752</v>
      </c>
      <c r="G71" s="21" t="n">
        <v>0.45</v>
      </c>
      <c r="H71" s="21" t="n">
        <v>0.45</v>
      </c>
      <c r="I71" s="21" t="n">
        <v>0.45</v>
      </c>
      <c r="J71" s="21" t="n">
        <v>0.45</v>
      </c>
      <c r="K71" s="21" t="n">
        <v>0.45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6"/>
    <col collapsed="false" customWidth="true" hidden="false" outlineLevel="0" max="2" min="2" style="1" width="18"/>
    <col collapsed="false" customWidth="true" hidden="false" outlineLevel="0" max="11" min="3" style="1" width="11"/>
  </cols>
  <sheetData>
    <row r="1" customFormat="false" ht="17.25" hidden="false" customHeight="true" outlineLevel="0" collapsed="false">
      <c r="A1" s="2" t="s">
        <v>162</v>
      </c>
    </row>
    <row r="2" customFormat="false" ht="15" hidden="false" customHeight="true" outlineLevel="0" collapsed="false">
      <c r="A2" s="5" t="s">
        <v>163</v>
      </c>
    </row>
    <row r="4" customFormat="false" ht="15" hidden="false" customHeight="true" outlineLevel="0" collapsed="false">
      <c r="A4" s="6" t="s">
        <v>93</v>
      </c>
      <c r="B4" s="6"/>
      <c r="C4" s="7" t="s">
        <v>25</v>
      </c>
      <c r="D4" s="7" t="s">
        <v>26</v>
      </c>
      <c r="E4" s="7" t="s">
        <v>27</v>
      </c>
      <c r="F4" s="7" t="s">
        <v>28</v>
      </c>
      <c r="G4" s="7" t="s">
        <v>29</v>
      </c>
      <c r="H4" s="7" t="s">
        <v>30</v>
      </c>
      <c r="I4" s="7" t="s">
        <v>31</v>
      </c>
      <c r="J4" s="7" t="s">
        <v>32</v>
      </c>
      <c r="K4" s="7" t="s">
        <v>33</v>
      </c>
    </row>
    <row r="5" customFormat="false" ht="15" hidden="false" customHeight="true" outlineLevel="0" collapsed="false">
      <c r="A5" s="8" t="s">
        <v>164</v>
      </c>
      <c r="B5" s="9"/>
      <c r="C5" s="9"/>
      <c r="D5" s="9"/>
      <c r="E5" s="9"/>
      <c r="F5" s="9"/>
      <c r="G5" s="9"/>
      <c r="H5" s="9"/>
      <c r="I5" s="9"/>
      <c r="J5" s="9"/>
      <c r="K5" s="9"/>
    </row>
    <row r="6" customFormat="false" ht="15" hidden="false" customHeight="true" outlineLevel="0" collapsed="false">
      <c r="A6" s="3" t="s">
        <v>165</v>
      </c>
      <c r="C6" s="23" t="n">
        <f aca="false">'Income Statement'!C56</f>
        <v>1320</v>
      </c>
      <c r="D6" s="23" t="n">
        <f aca="false">'Income Statement'!D56</f>
        <v>854</v>
      </c>
      <c r="E6" s="23" t="n">
        <f aca="false">'Income Statement'!E56</f>
        <v>1641</v>
      </c>
      <c r="F6" s="23" t="n">
        <f aca="false">'Income Statement'!F56</f>
        <v>4335</v>
      </c>
      <c r="G6" s="24" t="n">
        <f aca="false">'Income Statement'!G56</f>
        <v>7666.575075</v>
      </c>
      <c r="H6" s="24" t="n">
        <f aca="false">'Income Statement'!H56</f>
        <v>14233.8809897749</v>
      </c>
      <c r="I6" s="24" t="n">
        <f aca="false">'Income Statement'!I56</f>
        <v>20921.5104557785</v>
      </c>
      <c r="J6" s="24" t="n">
        <f aca="false">'Income Statement'!J56</f>
        <v>26952.5039646409</v>
      </c>
      <c r="K6" s="24" t="n">
        <f aca="false">'Income Statement'!K56</f>
        <v>31649.7789246961</v>
      </c>
    </row>
    <row r="7" customFormat="false" ht="15" hidden="false" customHeight="true" outlineLevel="0" collapsed="false">
      <c r="A7" s="3" t="s">
        <v>166</v>
      </c>
      <c r="C7" s="23" t="n">
        <f aca="false">-'Income Statement'!C55</f>
        <v>-0</v>
      </c>
      <c r="D7" s="23" t="n">
        <f aca="false">-'Income Statement'!D55</f>
        <v>-0</v>
      </c>
      <c r="E7" s="23" t="n">
        <f aca="false">-'Income Statement'!E55</f>
        <v>-0</v>
      </c>
      <c r="F7" s="23" t="n">
        <f aca="false">-'Income Statement'!F55</f>
        <v>-66</v>
      </c>
      <c r="G7" s="24" t="n">
        <f aca="false">-'Income Statement'!G55</f>
        <v>-0</v>
      </c>
      <c r="H7" s="24" t="n">
        <f aca="false">-'Income Statement'!H55</f>
        <v>-0</v>
      </c>
      <c r="I7" s="24" t="n">
        <f aca="false">-'Income Statement'!I55</f>
        <v>-0</v>
      </c>
      <c r="J7" s="24" t="n">
        <f aca="false">-'Income Statement'!J55</f>
        <v>-0</v>
      </c>
      <c r="K7" s="24" t="n">
        <f aca="false">-'Income Statement'!K55</f>
        <v>-0</v>
      </c>
    </row>
    <row r="8" customFormat="false" ht="15" hidden="false" customHeight="true" outlineLevel="0" collapsed="false">
      <c r="A8" s="3" t="s">
        <v>167</v>
      </c>
      <c r="C8" s="23" t="n">
        <f aca="false">'Income Statement'!C35</f>
        <v>626</v>
      </c>
      <c r="D8" s="23" t="n">
        <f aca="false">'Income Statement'!D35</f>
        <v>642</v>
      </c>
      <c r="E8" s="23" t="n">
        <f aca="false">'Income Statement'!E35</f>
        <v>671</v>
      </c>
      <c r="F8" s="23" t="n">
        <f aca="false">'Income Statement'!F35</f>
        <v>750</v>
      </c>
      <c r="G8" s="24" t="n">
        <f aca="false">'Income Statement'!G35</f>
        <v>989.51</v>
      </c>
      <c r="H8" s="24" t="n">
        <f aca="false">'Income Statement'!H35</f>
        <v>1382.3428</v>
      </c>
      <c r="I8" s="24" t="n">
        <f aca="false">'Income Statement'!I35</f>
        <v>1748.343342</v>
      </c>
      <c r="J8" s="24" t="n">
        <f aca="false">'Income Statement'!J35</f>
        <v>2053.5714708</v>
      </c>
      <c r="K8" s="24" t="n">
        <f aca="false">'Income Statement'!K35</f>
        <v>2290.2266699856</v>
      </c>
    </row>
    <row r="9" customFormat="false" ht="15" hidden="false" customHeight="true" outlineLevel="0" collapsed="false">
      <c r="A9" s="3" t="s">
        <v>168</v>
      </c>
      <c r="B9" s="10" t="s">
        <v>169</v>
      </c>
      <c r="C9" s="11" t="n">
        <v>3548</v>
      </c>
      <c r="D9" s="11" t="n">
        <v>2811</v>
      </c>
      <c r="E9" s="11" t="n">
        <v>2393</v>
      </c>
      <c r="F9" s="11" t="n">
        <v>2254</v>
      </c>
      <c r="G9" s="24" t="n">
        <f aca="false">'Income Statement'!G36</f>
        <v>2100</v>
      </c>
      <c r="H9" s="24" t="n">
        <f aca="false">'Income Statement'!H36</f>
        <v>1900</v>
      </c>
      <c r="I9" s="24" t="n">
        <f aca="false">'Income Statement'!I36</f>
        <v>1700</v>
      </c>
      <c r="J9" s="24" t="n">
        <f aca="false">'Income Statement'!J36</f>
        <v>1500</v>
      </c>
      <c r="K9" s="24" t="n">
        <f aca="false">'Income Statement'!K36</f>
        <v>1300</v>
      </c>
    </row>
    <row r="10" customFormat="false" ht="15" hidden="false" customHeight="true" outlineLevel="0" collapsed="false">
      <c r="A10" s="3" t="s">
        <v>170</v>
      </c>
      <c r="C10" s="23" t="n">
        <f aca="false">'Income Statement'!C40</f>
        <v>1081</v>
      </c>
      <c r="D10" s="23" t="n">
        <f aca="false">'Income Statement'!D40</f>
        <v>1384</v>
      </c>
      <c r="E10" s="23" t="n">
        <f aca="false">'Income Statement'!E40</f>
        <v>1407</v>
      </c>
      <c r="F10" s="23" t="n">
        <f aca="false">'Income Statement'!F40</f>
        <v>1638</v>
      </c>
      <c r="G10" s="24" t="n">
        <f aca="false">'Income Statement'!G40</f>
        <v>1979.02</v>
      </c>
      <c r="H10" s="24" t="n">
        <f aca="false">'Income Statement'!H40</f>
        <v>2419.0999</v>
      </c>
      <c r="I10" s="24" t="n">
        <f aca="false">'Income Statement'!I40</f>
        <v>2797.3493472</v>
      </c>
      <c r="J10" s="24" t="n">
        <f aca="false">'Income Statement'!J40</f>
        <v>3080.3572062</v>
      </c>
      <c r="K10" s="24" t="n">
        <f aca="false">'Income Statement'!K40</f>
        <v>3435.3400049784</v>
      </c>
    </row>
    <row r="11" customFormat="false" ht="15" hidden="false" customHeight="true" outlineLevel="0" collapsed="false">
      <c r="A11" s="3" t="s">
        <v>171</v>
      </c>
      <c r="C11" s="11" t="n">
        <v>-1505</v>
      </c>
      <c r="D11" s="11" t="n">
        <v>-1019</v>
      </c>
      <c r="E11" s="11" t="n">
        <v>-1163</v>
      </c>
      <c r="F11" s="11" t="n">
        <v>248</v>
      </c>
      <c r="G11" s="25" t="n">
        <v>0</v>
      </c>
      <c r="H11" s="25" t="n">
        <v>0</v>
      </c>
      <c r="I11" s="25" t="n">
        <v>0</v>
      </c>
      <c r="J11" s="25" t="n">
        <v>0</v>
      </c>
      <c r="K11" s="25" t="n">
        <v>0</v>
      </c>
    </row>
    <row r="12" customFormat="false" ht="15" hidden="false" customHeight="true" outlineLevel="0" collapsed="false">
      <c r="A12" s="3" t="s">
        <v>172</v>
      </c>
      <c r="C12" s="11" t="n">
        <v>341</v>
      </c>
      <c r="D12" s="11" t="n">
        <v>44</v>
      </c>
      <c r="E12" s="11" t="n">
        <v>190</v>
      </c>
      <c r="F12" s="11" t="n">
        <v>-288</v>
      </c>
      <c r="G12" s="25" t="n">
        <v>0</v>
      </c>
      <c r="H12" s="25" t="n">
        <v>0</v>
      </c>
      <c r="I12" s="25" t="n">
        <v>0</v>
      </c>
      <c r="J12" s="25" t="n">
        <v>0</v>
      </c>
      <c r="K12" s="25" t="n">
        <v>0</v>
      </c>
    </row>
    <row r="13" customFormat="false" ht="15" hidden="false" customHeight="true" outlineLevel="0" collapsed="false">
      <c r="A13" s="8" t="s">
        <v>173</v>
      </c>
      <c r="B13" s="9"/>
      <c r="C13" s="9"/>
      <c r="D13" s="9"/>
      <c r="E13" s="9"/>
      <c r="F13" s="9"/>
      <c r="G13" s="9"/>
      <c r="H13" s="9"/>
      <c r="I13" s="9"/>
      <c r="J13" s="9"/>
      <c r="K13" s="9"/>
    </row>
    <row r="14" customFormat="false" ht="15" hidden="false" customHeight="true" outlineLevel="0" collapsed="false">
      <c r="A14" s="3" t="s">
        <v>174</v>
      </c>
      <c r="C14" s="11" t="n">
        <v>-1091</v>
      </c>
      <c r="D14" s="11" t="n">
        <v>-1339</v>
      </c>
      <c r="E14" s="11" t="n">
        <v>-1865</v>
      </c>
      <c r="F14" s="11" t="n">
        <v>-121</v>
      </c>
      <c r="G14" s="24" t="n">
        <f aca="false">-('Balance Sheet'!G16-'Balance Sheet'!F16)</f>
        <v>-2089.05753424657</v>
      </c>
      <c r="H14" s="24" t="n">
        <f aca="false">-('Balance Sheet'!H16-'Balance Sheet'!G16)</f>
        <v>-3336.38816438356</v>
      </c>
      <c r="I14" s="24" t="n">
        <f aca="false">-('Balance Sheet'!I16-'Balance Sheet'!H16)</f>
        <v>-3108.4977539726</v>
      </c>
      <c r="J14" s="24" t="n">
        <f aca="false">-('Balance Sheet'!J16-'Balance Sheet'!I16)</f>
        <v>-2592.34849117808</v>
      </c>
      <c r="K14" s="24" t="n">
        <f aca="false">-('Balance Sheet'!K16-'Balance Sheet'!J16)</f>
        <v>-2009.94826705578</v>
      </c>
    </row>
    <row r="15" customFormat="false" ht="15" hidden="false" customHeight="true" outlineLevel="0" collapsed="false">
      <c r="A15" s="3" t="s">
        <v>175</v>
      </c>
      <c r="C15" s="11" t="n">
        <v>-1401</v>
      </c>
      <c r="D15" s="11" t="n">
        <v>-580</v>
      </c>
      <c r="E15" s="11" t="n">
        <v>-1458</v>
      </c>
      <c r="F15" s="11" t="n">
        <v>-2189</v>
      </c>
      <c r="G15" s="24" t="n">
        <f aca="false">-('Balance Sheet'!G17-'Balance Sheet'!F17)</f>
        <v>-1331.24075342466</v>
      </c>
      <c r="H15" s="24" t="n">
        <f aca="false">-('Balance Sheet'!H17-'Balance Sheet'!G17)</f>
        <v>-2252.5024109589</v>
      </c>
      <c r="I15" s="24" t="n">
        <f aca="false">-('Balance Sheet'!I17-'Balance Sheet'!H17)</f>
        <v>-1818.3936025685</v>
      </c>
      <c r="J15" s="24" t="n">
        <f aca="false">-('Balance Sheet'!J17-'Balance Sheet'!I17)</f>
        <v>-1531.0925013</v>
      </c>
      <c r="K15" s="24" t="n">
        <f aca="false">-('Balance Sheet'!K17-'Balance Sheet'!J17)</f>
        <v>-1021.49258123717</v>
      </c>
    </row>
    <row r="16" customFormat="false" ht="15" hidden="false" customHeight="true" outlineLevel="0" collapsed="false">
      <c r="A16" s="3" t="s">
        <v>176</v>
      </c>
      <c r="C16" s="11" t="n">
        <v>-1210</v>
      </c>
      <c r="D16" s="11" t="n">
        <v>-383</v>
      </c>
      <c r="E16" s="11" t="n">
        <v>339</v>
      </c>
      <c r="F16" s="11" t="n">
        <v>-11</v>
      </c>
      <c r="G16" s="24" t="n">
        <f aca="false">-('Balance Sheet'!G18-'Balance Sheet'!F18)</f>
        <v>-561.1525</v>
      </c>
      <c r="H16" s="24" t="n">
        <f aca="false">-('Balance Sheet'!H18-'Balance Sheet'!G18)</f>
        <v>-1080.2902</v>
      </c>
      <c r="I16" s="24" t="n">
        <f aca="false">-('Balance Sheet'!I18-'Balance Sheet'!H18)</f>
        <v>-1006.5014905</v>
      </c>
      <c r="J16" s="24" t="n">
        <f aca="false">-('Balance Sheet'!J18-'Balance Sheet'!I18)</f>
        <v>-839.3773542</v>
      </c>
      <c r="K16" s="24" t="n">
        <f aca="false">-('Balance Sheet'!K18-'Balance Sheet'!J18)</f>
        <v>-650.8017977604</v>
      </c>
    </row>
    <row r="17" customFormat="false" ht="15" hidden="false" customHeight="true" outlineLevel="0" collapsed="false">
      <c r="A17" s="3" t="s">
        <v>177</v>
      </c>
      <c r="C17" s="11" t="n">
        <v>1310</v>
      </c>
      <c r="D17" s="11" t="n">
        <v>-526</v>
      </c>
      <c r="E17" s="11" t="n">
        <v>3</v>
      </c>
      <c r="F17" s="11" t="n">
        <v>410</v>
      </c>
      <c r="G17" s="24" t="n">
        <f aca="false">'Balance Sheet'!G29-'Balance Sheet'!F29</f>
        <v>1388.24568493151</v>
      </c>
      <c r="H17" s="24" t="n">
        <f aca="false">'Balance Sheet'!H29-'Balance Sheet'!G29</f>
        <v>1647.65817808219</v>
      </c>
      <c r="I17" s="24" t="n">
        <f aca="false">'Balance Sheet'!I29-'Balance Sheet'!H29</f>
        <v>1495.49272647945</v>
      </c>
      <c r="J17" s="24" t="n">
        <f aca="false">'Balance Sheet'!J29-'Balance Sheet'!I29</f>
        <v>1203.98715032055</v>
      </c>
      <c r="K17" s="24" t="n">
        <f aca="false">'Balance Sheet'!K29-'Balance Sheet'!J29</f>
        <v>998.490429440615</v>
      </c>
    </row>
    <row r="18" customFormat="false" ht="15" hidden="false" customHeight="true" outlineLevel="0" collapsed="false">
      <c r="A18" s="3" t="s">
        <v>178</v>
      </c>
      <c r="C18" s="11" t="n">
        <v>546</v>
      </c>
      <c r="D18" s="11" t="n">
        <v>-221</v>
      </c>
      <c r="E18" s="11" t="n">
        <v>883</v>
      </c>
      <c r="F18" s="11" t="n">
        <v>-467</v>
      </c>
      <c r="G18" s="24" t="n">
        <f aca="false">'Balance Sheet'!G30-'Balance Sheet'!F30+'Balance Sheet'!G32-'Balance Sheet'!F32</f>
        <v>2115.6535</v>
      </c>
      <c r="H18" s="24" t="n">
        <f aca="false">'Balance Sheet'!H30-'Balance Sheet'!G30+'Balance Sheet'!H32-'Balance Sheet'!G32</f>
        <v>3083.73748</v>
      </c>
      <c r="I18" s="24" t="n">
        <f aca="false">'Balance Sheet'!I30-'Balance Sheet'!H30+'Balance Sheet'!I32-'Balance Sheet'!H32</f>
        <v>2873.1042547</v>
      </c>
      <c r="J18" s="24" t="n">
        <f aca="false">'Balance Sheet'!J30-'Balance Sheet'!I30+'Balance Sheet'!J32-'Balance Sheet'!I32</f>
        <v>2396.04081108</v>
      </c>
      <c r="K18" s="24" t="n">
        <f aca="false">'Balance Sheet'!K30-'Balance Sheet'!J30+'Balance Sheet'!K32-'Balance Sheet'!J32</f>
        <v>1857.74331360696</v>
      </c>
    </row>
    <row r="19" customFormat="false" ht="15" hidden="false" customHeight="true" outlineLevel="0" collapsed="false">
      <c r="A19" s="4" t="s">
        <v>179</v>
      </c>
      <c r="C19" s="15" t="n">
        <f aca="false">SUM(C6:C12)+SUM(C14:C18)</f>
        <v>3565</v>
      </c>
      <c r="D19" s="15" t="n">
        <f aca="false">SUM(D6:D12)+SUM(D14:D18)</f>
        <v>1667</v>
      </c>
      <c r="E19" s="15" t="n">
        <f aca="false">SUM(E6:E12)+SUM(E14:E18)</f>
        <v>3041</v>
      </c>
      <c r="F19" s="15" t="n">
        <f aca="false">SUM(F6:F12)+SUM(F14:F18)</f>
        <v>6493</v>
      </c>
      <c r="G19" s="15" t="n">
        <f aca="false">SUM(G6:G12)+SUM(G14:G18)</f>
        <v>12257.5534722603</v>
      </c>
      <c r="H19" s="15" t="n">
        <f aca="false">SUM(H6:H12)+SUM(H14:H18)</f>
        <v>17997.5385725146</v>
      </c>
      <c r="I19" s="15" t="n">
        <f aca="false">SUM(I6:I12)+SUM(I14:I18)</f>
        <v>25602.4072791169</v>
      </c>
      <c r="J19" s="15" t="n">
        <f aca="false">SUM(J6:J12)+SUM(J14:J18)</f>
        <v>32223.6422563634</v>
      </c>
      <c r="K19" s="15" t="n">
        <f aca="false">SUM(K6:K12)+SUM(K14:K18)</f>
        <v>37849.3366966544</v>
      </c>
    </row>
    <row r="20" customFormat="false" ht="15" hidden="false" customHeight="true" outlineLevel="0" collapsed="false">
      <c r="A20" s="3" t="s">
        <v>180</v>
      </c>
      <c r="C20" s="11" t="n">
        <v>0</v>
      </c>
      <c r="D20" s="11" t="n">
        <v>0</v>
      </c>
      <c r="E20" s="11" t="n">
        <v>0</v>
      </c>
      <c r="F20" s="11" t="n">
        <v>1216</v>
      </c>
      <c r="G20" s="25" t="n">
        <v>0</v>
      </c>
      <c r="H20" s="25" t="n">
        <v>0</v>
      </c>
      <c r="I20" s="25" t="n">
        <v>0</v>
      </c>
      <c r="J20" s="25" t="n">
        <v>0</v>
      </c>
      <c r="K20" s="25" t="n">
        <v>0</v>
      </c>
    </row>
    <row r="21" customFormat="false" ht="15" hidden="false" customHeight="true" outlineLevel="0" collapsed="false">
      <c r="A21" s="4" t="s">
        <v>181</v>
      </c>
      <c r="C21" s="17" t="n">
        <f aca="false">C19+C20</f>
        <v>3565</v>
      </c>
      <c r="D21" s="17" t="n">
        <f aca="false">D19+D20</f>
        <v>1667</v>
      </c>
      <c r="E21" s="17" t="n">
        <f aca="false">E19+E20</f>
        <v>3041</v>
      </c>
      <c r="F21" s="17" t="n">
        <f aca="false">F19+F20</f>
        <v>7709</v>
      </c>
      <c r="G21" s="17" t="n">
        <f aca="false">G19+G20</f>
        <v>12257.5534722603</v>
      </c>
      <c r="H21" s="17" t="n">
        <f aca="false">H19+H20</f>
        <v>17997.5385725146</v>
      </c>
      <c r="I21" s="17" t="n">
        <f aca="false">I19+I20</f>
        <v>25602.4072791169</v>
      </c>
      <c r="J21" s="17" t="n">
        <f aca="false">J19+J20</f>
        <v>32223.6422563634</v>
      </c>
      <c r="K21" s="17" t="n">
        <f aca="false">K19+K20</f>
        <v>37849.3366966544</v>
      </c>
    </row>
    <row r="23" customFormat="false" ht="15" hidden="false" customHeight="true" outlineLevel="0" collapsed="false">
      <c r="A23" s="8" t="s">
        <v>182</v>
      </c>
      <c r="B23" s="9"/>
      <c r="C23" s="9"/>
      <c r="D23" s="9"/>
      <c r="E23" s="9"/>
      <c r="F23" s="9"/>
      <c r="G23" s="9"/>
      <c r="H23" s="9"/>
      <c r="I23" s="9"/>
      <c r="J23" s="9"/>
      <c r="K23" s="9"/>
    </row>
    <row r="24" customFormat="false" ht="15" hidden="false" customHeight="true" outlineLevel="0" collapsed="false">
      <c r="A24" s="3" t="s">
        <v>183</v>
      </c>
      <c r="C24" s="11" t="n">
        <v>-450</v>
      </c>
      <c r="D24" s="11" t="n">
        <v>-546</v>
      </c>
      <c r="E24" s="11" t="n">
        <v>-636</v>
      </c>
      <c r="F24" s="11" t="n">
        <v>-974</v>
      </c>
      <c r="G24" s="24" t="n">
        <f aca="false">-'Income Statement'!G10*Scenarios!G81</f>
        <v>-2473.775</v>
      </c>
      <c r="H24" s="24" t="n">
        <f aca="false">-'Income Statement'!H10*Scenarios!H81</f>
        <v>-3110.2713</v>
      </c>
      <c r="I24" s="24" t="n">
        <f aca="false">-'Income Statement'!I10*Scenarios!I81</f>
        <v>-3496.686684</v>
      </c>
      <c r="J24" s="24" t="n">
        <f aca="false">-'Income Statement'!J10*Scenarios!J81</f>
        <v>-3593.7500739</v>
      </c>
      <c r="K24" s="24" t="n">
        <f aca="false">-'Income Statement'!K10*Scenarios!K81</f>
        <v>-4007.8966724748</v>
      </c>
    </row>
    <row r="25" customFormat="false" ht="15" hidden="false" customHeight="true" outlineLevel="0" collapsed="false">
      <c r="A25" s="3" t="s">
        <v>184</v>
      </c>
      <c r="C25" s="11" t="n">
        <v>1643</v>
      </c>
      <c r="D25" s="11" t="n">
        <v>-735</v>
      </c>
      <c r="E25" s="11" t="n">
        <v>539</v>
      </c>
      <c r="F25" s="11" t="n">
        <v>-3625</v>
      </c>
      <c r="G25" s="24" t="n">
        <f aca="false">-('Balance Sheet'!G15-'Balance Sheet'!F15)</f>
        <v>-0</v>
      </c>
      <c r="H25" s="24" t="n">
        <f aca="false">-('Balance Sheet'!H15-'Balance Sheet'!G15)</f>
        <v>-0</v>
      </c>
      <c r="I25" s="24" t="n">
        <f aca="false">-('Balance Sheet'!I15-'Balance Sheet'!H15)</f>
        <v>-0</v>
      </c>
      <c r="J25" s="24" t="n">
        <f aca="false">-('Balance Sheet'!J15-'Balance Sheet'!I15)</f>
        <v>-0</v>
      </c>
      <c r="K25" s="24" t="n">
        <f aca="false">-('Balance Sheet'!K15-'Balance Sheet'!J15)</f>
        <v>-0</v>
      </c>
    </row>
    <row r="26" customFormat="false" ht="15" hidden="false" customHeight="true" outlineLevel="0" collapsed="false">
      <c r="A26" s="3" t="s">
        <v>185</v>
      </c>
      <c r="C26" s="11" t="n">
        <v>822</v>
      </c>
      <c r="D26" s="11" t="n">
        <v>-131</v>
      </c>
      <c r="E26" s="11" t="n">
        <v>-548</v>
      </c>
      <c r="F26" s="11" t="n">
        <v>-1760</v>
      </c>
      <c r="G26" s="25" t="n">
        <v>0</v>
      </c>
      <c r="H26" s="25" t="n">
        <v>0</v>
      </c>
      <c r="I26" s="25" t="n">
        <v>0</v>
      </c>
      <c r="J26" s="25" t="n">
        <v>0</v>
      </c>
      <c r="K26" s="25" t="n">
        <v>0</v>
      </c>
    </row>
    <row r="27" customFormat="false" ht="15" hidden="false" customHeight="true" outlineLevel="0" collapsed="false">
      <c r="A27" s="3" t="s">
        <v>186</v>
      </c>
      <c r="B27" s="10" t="s">
        <v>187</v>
      </c>
      <c r="C27" s="11" t="n">
        <v>-16</v>
      </c>
      <c r="D27" s="11" t="n">
        <v>-11</v>
      </c>
      <c r="E27" s="11" t="n">
        <v>-456</v>
      </c>
      <c r="F27" s="11" t="n">
        <v>-492</v>
      </c>
      <c r="G27" s="25" t="n">
        <v>-3000</v>
      </c>
      <c r="H27" s="25" t="n">
        <v>-1500</v>
      </c>
      <c r="I27" s="25" t="n">
        <v>-1000</v>
      </c>
      <c r="J27" s="25" t="n">
        <v>-1000</v>
      </c>
      <c r="K27" s="25" t="n">
        <v>-1000</v>
      </c>
    </row>
    <row r="28" customFormat="false" ht="15" hidden="false" customHeight="true" outlineLevel="0" collapsed="false">
      <c r="A28" s="3" t="s">
        <v>188</v>
      </c>
      <c r="C28" s="11" t="n">
        <v>0</v>
      </c>
      <c r="D28" s="11" t="n">
        <v>0</v>
      </c>
      <c r="E28" s="11" t="n">
        <v>0</v>
      </c>
      <c r="F28" s="11" t="n">
        <v>1318</v>
      </c>
      <c r="G28" s="25" t="n">
        <v>0</v>
      </c>
      <c r="H28" s="25" t="n">
        <v>0</v>
      </c>
      <c r="I28" s="25" t="n">
        <v>0</v>
      </c>
      <c r="J28" s="25" t="n">
        <v>0</v>
      </c>
      <c r="K28" s="25" t="n">
        <v>0</v>
      </c>
    </row>
    <row r="29" customFormat="false" ht="15" hidden="false" customHeight="true" outlineLevel="0" collapsed="false">
      <c r="A29" s="4" t="s">
        <v>189</v>
      </c>
      <c r="C29" s="15" t="n">
        <f aca="false">SUM(C24:C28)</f>
        <v>1999</v>
      </c>
      <c r="D29" s="15" t="n">
        <f aca="false">SUM(D24:D28)</f>
        <v>-1423</v>
      </c>
      <c r="E29" s="15" t="n">
        <f aca="false">SUM(E24:E28)</f>
        <v>-1101</v>
      </c>
      <c r="F29" s="15" t="n">
        <f aca="false">SUM(F24:F28)</f>
        <v>-5533</v>
      </c>
      <c r="G29" s="15" t="n">
        <f aca="false">SUM(G24:G28)</f>
        <v>-5473.775</v>
      </c>
      <c r="H29" s="15" t="n">
        <f aca="false">SUM(H24:H28)</f>
        <v>-4610.2713</v>
      </c>
      <c r="I29" s="15" t="n">
        <f aca="false">SUM(I24:I28)</f>
        <v>-4496.686684</v>
      </c>
      <c r="J29" s="15" t="n">
        <f aca="false">SUM(J24:J28)</f>
        <v>-4593.7500739</v>
      </c>
      <c r="K29" s="15" t="n">
        <f aca="false">SUM(K24:K28)</f>
        <v>-5007.8966724748</v>
      </c>
    </row>
    <row r="31" customFormat="false" ht="15" hidden="false" customHeight="true" outlineLevel="0" collapsed="false">
      <c r="A31" s="4" t="s">
        <v>190</v>
      </c>
      <c r="B31" s="10" t="s">
        <v>191</v>
      </c>
      <c r="C31" s="17" t="n">
        <f aca="false">C19+C24</f>
        <v>3115</v>
      </c>
      <c r="D31" s="17" t="n">
        <f aca="false">D19+D24</f>
        <v>1121</v>
      </c>
      <c r="E31" s="17" t="n">
        <f aca="false">E19+E24</f>
        <v>2405</v>
      </c>
      <c r="F31" s="17" t="n">
        <f aca="false">F19+F24</f>
        <v>5519</v>
      </c>
      <c r="G31" s="17" t="n">
        <f aca="false">G19+G24</f>
        <v>9783.77847226027</v>
      </c>
      <c r="H31" s="17" t="n">
        <f aca="false">H19+H24</f>
        <v>14887.2672725146</v>
      </c>
      <c r="I31" s="17" t="n">
        <f aca="false">I19+I24</f>
        <v>22105.7205951169</v>
      </c>
      <c r="J31" s="17" t="n">
        <f aca="false">J19+J24</f>
        <v>28629.8921824634</v>
      </c>
      <c r="K31" s="17" t="n">
        <f aca="false">K19+K24</f>
        <v>33841.4400241796</v>
      </c>
    </row>
    <row r="32" customFormat="false" ht="15" hidden="false" customHeight="true" outlineLevel="0" collapsed="false">
      <c r="A32" s="3" t="s">
        <v>192</v>
      </c>
      <c r="C32" s="26" t="n">
        <f aca="false">C31/'Income Statement'!C10</f>
        <v>0.131985932799458</v>
      </c>
      <c r="D32" s="26" t="n">
        <f aca="false">D31/'Income Statement'!D10</f>
        <v>0.0494268077601411</v>
      </c>
      <c r="E32" s="26" t="n">
        <f aca="false">E31/'Income Statement'!E10</f>
        <v>0.0932712817529572</v>
      </c>
      <c r="F32" s="26" t="n">
        <f aca="false">F31/'Income Statement'!F10</f>
        <v>0.159329079938797</v>
      </c>
      <c r="G32" s="14" t="n">
        <f aca="false">G31/'Income Statement'!G10</f>
        <v>0.197749966594785</v>
      </c>
      <c r="H32" s="14" t="n">
        <f aca="false">H31/'Income Statement'!H10</f>
        <v>0.215391830051339</v>
      </c>
      <c r="I32" s="14" t="n">
        <f aca="false">I31/'Income Statement'!I10</f>
        <v>0.252876195013609</v>
      </c>
      <c r="J32" s="14" t="n">
        <f aca="false">J31/'Income Statement'!J10</f>
        <v>0.278830248565054</v>
      </c>
      <c r="K32" s="14" t="n">
        <f aca="false">K31/'Income Statement'!K10</f>
        <v>0.295529175934296</v>
      </c>
    </row>
    <row r="34" customFormat="false" ht="15" hidden="false" customHeight="true" outlineLevel="0" collapsed="false">
      <c r="A34" s="8" t="s">
        <v>193</v>
      </c>
      <c r="B34" s="9"/>
      <c r="C34" s="9"/>
      <c r="D34" s="9"/>
      <c r="E34" s="9"/>
      <c r="F34" s="9"/>
      <c r="G34" s="9"/>
      <c r="H34" s="9"/>
      <c r="I34" s="9"/>
      <c r="J34" s="9"/>
      <c r="K34" s="9"/>
    </row>
    <row r="35" customFormat="false" ht="15" hidden="false" customHeight="true" outlineLevel="0" collapsed="false">
      <c r="A35" s="3" t="s">
        <v>194</v>
      </c>
      <c r="C35" s="11" t="n">
        <v>991</v>
      </c>
      <c r="D35" s="11" t="n">
        <v>0</v>
      </c>
      <c r="E35" s="11" t="n">
        <v>0</v>
      </c>
      <c r="F35" s="11" t="n">
        <v>2441</v>
      </c>
      <c r="G35" s="25" t="n">
        <v>0</v>
      </c>
      <c r="H35" s="25" t="n">
        <v>0</v>
      </c>
      <c r="I35" s="25" t="n">
        <v>0</v>
      </c>
      <c r="J35" s="25" t="n">
        <v>0</v>
      </c>
      <c r="K35" s="25" t="n">
        <v>0</v>
      </c>
    </row>
    <row r="36" customFormat="false" ht="15" hidden="false" customHeight="true" outlineLevel="0" collapsed="false">
      <c r="A36" s="3" t="s">
        <v>195</v>
      </c>
      <c r="C36" s="11" t="n">
        <v>-312</v>
      </c>
      <c r="D36" s="11" t="n">
        <v>0</v>
      </c>
      <c r="E36" s="11" t="n">
        <v>-750</v>
      </c>
      <c r="F36" s="11" t="n">
        <v>-950</v>
      </c>
      <c r="G36" s="25" t="n">
        <v>0</v>
      </c>
      <c r="H36" s="25" t="n">
        <v>0</v>
      </c>
      <c r="I36" s="25" t="n">
        <v>0</v>
      </c>
      <c r="J36" s="25" t="n">
        <v>0</v>
      </c>
      <c r="K36" s="25" t="n">
        <v>0</v>
      </c>
    </row>
    <row r="37" customFormat="false" ht="15" hidden="false" customHeight="true" outlineLevel="0" collapsed="false">
      <c r="A37" s="3" t="s">
        <v>196</v>
      </c>
      <c r="C37" s="11" t="n">
        <v>167</v>
      </c>
      <c r="D37" s="11" t="n">
        <v>268</v>
      </c>
      <c r="E37" s="11" t="n">
        <v>279</v>
      </c>
      <c r="F37" s="11" t="n">
        <v>285</v>
      </c>
      <c r="G37" s="25" t="n">
        <v>300</v>
      </c>
      <c r="H37" s="25" t="n">
        <v>300</v>
      </c>
      <c r="I37" s="25" t="n">
        <v>300</v>
      </c>
      <c r="J37" s="25" t="n">
        <v>300</v>
      </c>
      <c r="K37" s="25" t="n">
        <v>300</v>
      </c>
    </row>
    <row r="38" customFormat="false" ht="15" hidden="false" customHeight="true" outlineLevel="0" collapsed="false">
      <c r="A38" s="3" t="s">
        <v>197</v>
      </c>
      <c r="C38" s="11" t="n">
        <v>-3702</v>
      </c>
      <c r="D38" s="11" t="n">
        <v>-985</v>
      </c>
      <c r="E38" s="11" t="n">
        <v>-862</v>
      </c>
      <c r="F38" s="11" t="n">
        <v>-1316</v>
      </c>
      <c r="G38" s="12" t="n">
        <f aca="false">-MAX(0,G31)*G49</f>
        <v>-4891.88923613014</v>
      </c>
      <c r="H38" s="12" t="n">
        <f aca="false">-MAX(0,H31)*H49</f>
        <v>-7443.6336362573</v>
      </c>
      <c r="I38" s="12" t="n">
        <f aca="false">-MAX(0,I31)*I49</f>
        <v>-11052.8602975584</v>
      </c>
      <c r="J38" s="12" t="n">
        <f aca="false">-MAX(0,J31)*J49</f>
        <v>-14314.9460912317</v>
      </c>
      <c r="K38" s="12" t="n">
        <f aca="false">-MAX(0,K31)*K49</f>
        <v>-16920.7200120898</v>
      </c>
    </row>
    <row r="39" customFormat="false" ht="15" hidden="false" customHeight="true" outlineLevel="0" collapsed="false">
      <c r="A39" s="3" t="s">
        <v>198</v>
      </c>
      <c r="C39" s="11" t="n">
        <v>-406</v>
      </c>
      <c r="D39" s="11" t="n">
        <v>-427</v>
      </c>
      <c r="E39" s="11" t="n">
        <v>-728</v>
      </c>
      <c r="F39" s="11" t="n">
        <v>-607</v>
      </c>
      <c r="G39" s="25" t="n">
        <v>-650</v>
      </c>
      <c r="H39" s="25" t="n">
        <v>-650</v>
      </c>
      <c r="I39" s="25" t="n">
        <v>-650</v>
      </c>
      <c r="J39" s="25" t="n">
        <v>-650</v>
      </c>
      <c r="K39" s="25" t="n">
        <v>-650</v>
      </c>
    </row>
    <row r="40" customFormat="false" ht="15" hidden="false" customHeight="true" outlineLevel="0" collapsed="false">
      <c r="A40" s="3" t="s">
        <v>199</v>
      </c>
      <c r="C40" s="11" t="n">
        <v>-2</v>
      </c>
      <c r="D40" s="11" t="n">
        <v>-2</v>
      </c>
      <c r="E40" s="11" t="n">
        <v>-1</v>
      </c>
      <c r="F40" s="11" t="n">
        <v>-284</v>
      </c>
      <c r="G40" s="25" t="n">
        <v>0</v>
      </c>
      <c r="H40" s="25" t="n">
        <v>0</v>
      </c>
      <c r="I40" s="25" t="n">
        <v>0</v>
      </c>
      <c r="J40" s="25" t="n">
        <v>0</v>
      </c>
      <c r="K40" s="25" t="n">
        <v>0</v>
      </c>
    </row>
    <row r="41" customFormat="false" ht="15" hidden="false" customHeight="true" outlineLevel="0" collapsed="false">
      <c r="A41" s="4" t="s">
        <v>200</v>
      </c>
      <c r="C41" s="15" t="n">
        <f aca="false">SUM(C35:C40)</f>
        <v>-3264</v>
      </c>
      <c r="D41" s="15" t="n">
        <f aca="false">SUM(D35:D40)</f>
        <v>-1146</v>
      </c>
      <c r="E41" s="15" t="n">
        <f aca="false">SUM(E35:E40)</f>
        <v>-2062</v>
      </c>
      <c r="F41" s="15" t="n">
        <f aca="false">SUM(F35:F40)</f>
        <v>-431</v>
      </c>
      <c r="G41" s="15" t="n">
        <f aca="false">SUM(G35:G40)</f>
        <v>-5241.88923613014</v>
      </c>
      <c r="H41" s="15" t="n">
        <f aca="false">SUM(H35:H40)</f>
        <v>-7793.6336362573</v>
      </c>
      <c r="I41" s="15" t="n">
        <f aca="false">SUM(I35:I40)</f>
        <v>-11402.8602975584</v>
      </c>
      <c r="J41" s="15" t="n">
        <f aca="false">SUM(J35:J40)</f>
        <v>-14664.9460912317</v>
      </c>
      <c r="K41" s="15" t="n">
        <f aca="false">SUM(K35:K40)</f>
        <v>-17270.7200120898</v>
      </c>
    </row>
    <row r="43" customFormat="false" ht="15" hidden="false" customHeight="true" outlineLevel="0" collapsed="false">
      <c r="A43" s="4" t="s">
        <v>201</v>
      </c>
      <c r="C43" s="17" t="n">
        <f aca="false">C21+C29+C41</f>
        <v>2300</v>
      </c>
      <c r="D43" s="17" t="n">
        <f aca="false">D21+D29+D41</f>
        <v>-902</v>
      </c>
      <c r="E43" s="17" t="n">
        <f aca="false">E21+E29+E41</f>
        <v>-122</v>
      </c>
      <c r="F43" s="17" t="n">
        <f aca="false">F21+F29+F41</f>
        <v>1745</v>
      </c>
      <c r="G43" s="17" t="n">
        <f aca="false">G21+G29+G41</f>
        <v>1541.88923613014</v>
      </c>
      <c r="H43" s="17" t="n">
        <f aca="false">H21+H29+H41</f>
        <v>5593.6336362573</v>
      </c>
      <c r="I43" s="17" t="n">
        <f aca="false">I21+I29+I41</f>
        <v>9702.86029755844</v>
      </c>
      <c r="J43" s="17" t="n">
        <f aca="false">J21+J29+J41</f>
        <v>12964.9460912317</v>
      </c>
      <c r="K43" s="17" t="n">
        <f aca="false">K21+K29+K41</f>
        <v>15570.7200120898</v>
      </c>
    </row>
    <row r="44" customFormat="false" ht="15" hidden="false" customHeight="true" outlineLevel="0" collapsed="false">
      <c r="A44" s="3" t="s">
        <v>202</v>
      </c>
      <c r="B44" s="10" t="s">
        <v>203</v>
      </c>
      <c r="C44" s="11" t="n">
        <v>2535</v>
      </c>
      <c r="D44" s="18" t="n">
        <f aca="false">C45</f>
        <v>4835</v>
      </c>
      <c r="E44" s="18" t="n">
        <f aca="false">D45</f>
        <v>3933</v>
      </c>
      <c r="F44" s="18" t="n">
        <f aca="false">E45</f>
        <v>3811</v>
      </c>
      <c r="G44" s="24" t="n">
        <f aca="false">'Balance Sheet'!F14</f>
        <v>5539</v>
      </c>
      <c r="H44" s="12" t="n">
        <f aca="false">G45</f>
        <v>7080.88923613014</v>
      </c>
      <c r="I44" s="12" t="n">
        <f aca="false">H45</f>
        <v>12674.5228723874</v>
      </c>
      <c r="J44" s="12" t="n">
        <f aca="false">I45</f>
        <v>22377.3831699459</v>
      </c>
      <c r="K44" s="12" t="n">
        <f aca="false">J45</f>
        <v>35342.3292611776</v>
      </c>
    </row>
    <row r="45" customFormat="false" ht="15" hidden="false" customHeight="true" outlineLevel="0" collapsed="false">
      <c r="A45" s="4" t="s">
        <v>204</v>
      </c>
      <c r="C45" s="15" t="n">
        <f aca="false">C44+C43</f>
        <v>4835</v>
      </c>
      <c r="D45" s="15" t="n">
        <f aca="false">D44+D43</f>
        <v>3933</v>
      </c>
      <c r="E45" s="15" t="n">
        <f aca="false">E44+E43</f>
        <v>3811</v>
      </c>
      <c r="F45" s="15" t="n">
        <f aca="false">F44+F43</f>
        <v>5556</v>
      </c>
      <c r="G45" s="15" t="n">
        <f aca="false">G44+G43</f>
        <v>7080.88923613014</v>
      </c>
      <c r="H45" s="15" t="n">
        <f aca="false">H44+H43</f>
        <v>12674.5228723874</v>
      </c>
      <c r="I45" s="15" t="n">
        <f aca="false">I44+I43</f>
        <v>22377.3831699459</v>
      </c>
      <c r="J45" s="15" t="n">
        <f aca="false">J44+J43</f>
        <v>35342.3292611776</v>
      </c>
      <c r="K45" s="15" t="n">
        <f aca="false">K44+K43</f>
        <v>50913.0492732673</v>
      </c>
    </row>
    <row r="46" customFormat="false" ht="15" hidden="false" customHeight="true" outlineLevel="0" collapsed="false">
      <c r="A46" s="3" t="s">
        <v>205</v>
      </c>
      <c r="C46" s="23" t="n">
        <f aca="false">C45-'Balance Sheet'!C14</f>
        <v>0</v>
      </c>
      <c r="D46" s="23" t="n">
        <f aca="false">D45-'Balance Sheet'!D14</f>
        <v>0</v>
      </c>
      <c r="E46" s="23" t="n">
        <f aca="false">E45-'Balance Sheet'!E14</f>
        <v>24</v>
      </c>
      <c r="F46" s="23" t="n">
        <f aca="false">F45-'Balance Sheet'!F14</f>
        <v>17</v>
      </c>
      <c r="G46" s="24" t="n">
        <f aca="false">G45-'Balance Sheet'!G14</f>
        <v>0</v>
      </c>
      <c r="H46" s="24" t="n">
        <f aca="false">H45-'Balance Sheet'!H14</f>
        <v>0</v>
      </c>
      <c r="I46" s="24" t="n">
        <f aca="false">I45-'Balance Sheet'!I14</f>
        <v>0</v>
      </c>
      <c r="J46" s="24" t="n">
        <f aca="false">J45-'Balance Sheet'!J14</f>
        <v>0</v>
      </c>
      <c r="K46" s="24" t="n">
        <f aca="false">K45-'Balance Sheet'!K14</f>
        <v>0</v>
      </c>
    </row>
    <row r="48" customFormat="false" ht="15" hidden="false" customHeight="true" outlineLevel="0" collapsed="false">
      <c r="A48" s="8" t="s">
        <v>206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customFormat="false" ht="15" hidden="false" customHeight="true" outlineLevel="0" collapsed="false">
      <c r="A49" s="3" t="s">
        <v>207</v>
      </c>
      <c r="G49" s="21" t="n">
        <v>0.5</v>
      </c>
      <c r="H49" s="21" t="n">
        <v>0.5</v>
      </c>
      <c r="I49" s="21" t="n">
        <v>0.5</v>
      </c>
      <c r="J49" s="21" t="n">
        <v>0.5</v>
      </c>
      <c r="K49" s="21" t="n">
        <v>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0"/>
    <col collapsed="false" customWidth="true" hidden="false" outlineLevel="0" max="2" min="2" style="1" width="18"/>
    <col collapsed="false" customWidth="true" hidden="false" outlineLevel="0" max="11" min="3" style="1" width="11"/>
  </cols>
  <sheetData>
    <row r="1" customFormat="false" ht="17.25" hidden="false" customHeight="true" outlineLevel="0" collapsed="false">
      <c r="A1" s="2" t="s">
        <v>208</v>
      </c>
    </row>
    <row r="2" customFormat="false" ht="15" hidden="false" customHeight="true" outlineLevel="0" collapsed="false">
      <c r="A2" s="5" t="s">
        <v>209</v>
      </c>
    </row>
    <row r="4" customFormat="false" ht="15" hidden="false" customHeight="true" outlineLevel="0" collapsed="false">
      <c r="A4" s="6" t="s">
        <v>93</v>
      </c>
      <c r="B4" s="6"/>
      <c r="C4" s="7" t="s">
        <v>25</v>
      </c>
      <c r="D4" s="7" t="s">
        <v>26</v>
      </c>
      <c r="E4" s="7" t="s">
        <v>27</v>
      </c>
      <c r="F4" s="7" t="s">
        <v>28</v>
      </c>
      <c r="G4" s="7" t="s">
        <v>29</v>
      </c>
      <c r="H4" s="7" t="s">
        <v>30</v>
      </c>
      <c r="I4" s="7" t="s">
        <v>31</v>
      </c>
      <c r="J4" s="7" t="s">
        <v>32</v>
      </c>
      <c r="K4" s="7" t="s">
        <v>33</v>
      </c>
    </row>
    <row r="5" customFormat="false" ht="15" hidden="false" customHeight="true" outlineLevel="0" collapsed="false">
      <c r="A5" s="8" t="s">
        <v>210</v>
      </c>
      <c r="B5" s="9"/>
      <c r="C5" s="9"/>
      <c r="D5" s="9"/>
      <c r="E5" s="9"/>
      <c r="F5" s="9"/>
      <c r="G5" s="9"/>
      <c r="H5" s="9"/>
      <c r="I5" s="9"/>
      <c r="J5" s="9"/>
      <c r="K5" s="9"/>
    </row>
    <row r="6" customFormat="false" ht="15" hidden="false" customHeight="true" outlineLevel="0" collapsed="false">
      <c r="A6" s="3" t="s">
        <v>211</v>
      </c>
      <c r="C6" s="30" t="n">
        <f aca="false">C16/'Income Statement'!C10*365</f>
        <v>63.810431761366</v>
      </c>
      <c r="D6" s="30" t="n">
        <f aca="false">D16/'Income Statement'!D10*365</f>
        <v>69.57208994709</v>
      </c>
      <c r="E6" s="30" t="n">
        <f aca="false">E16/'Income Statement'!E10*365</f>
        <v>87.6509598603839</v>
      </c>
      <c r="F6" s="30" t="n">
        <f aca="false">F16/'Income Statement'!F10*365</f>
        <v>66.542769710442</v>
      </c>
      <c r="G6" s="31" t="n">
        <v>62</v>
      </c>
      <c r="H6" s="31" t="n">
        <v>62</v>
      </c>
      <c r="I6" s="31" t="n">
        <v>62</v>
      </c>
      <c r="J6" s="31" t="n">
        <v>62</v>
      </c>
      <c r="K6" s="31" t="n">
        <v>62</v>
      </c>
    </row>
    <row r="7" customFormat="false" ht="15" hidden="false" customHeight="true" outlineLevel="0" collapsed="false">
      <c r="A7" s="3" t="s">
        <v>212</v>
      </c>
      <c r="C7" s="30" t="n">
        <f aca="false">C17/'Income Statement'!C15*365</f>
        <v>119.17012987013</v>
      </c>
      <c r="D7" s="30" t="n">
        <f aca="false">D17/'Income Statement'!D15*365</f>
        <v>140.815304131938</v>
      </c>
      <c r="E7" s="30" t="n">
        <f aca="false">E17/'Income Statement'!E15*365</f>
        <v>172.767871883771</v>
      </c>
      <c r="F7" s="30" t="n">
        <f aca="false">F17/'Income Statement'!F15*365</f>
        <v>175.668449197861</v>
      </c>
      <c r="G7" s="31" t="n">
        <v>150</v>
      </c>
      <c r="H7" s="31" t="n">
        <v>135</v>
      </c>
      <c r="I7" s="31" t="n">
        <v>125</v>
      </c>
      <c r="J7" s="31" t="n">
        <v>120</v>
      </c>
      <c r="K7" s="31" t="n">
        <v>115</v>
      </c>
    </row>
    <row r="8" customFormat="false" ht="15" hidden="false" customHeight="true" outlineLevel="0" collapsed="false">
      <c r="A8" s="3" t="s">
        <v>213</v>
      </c>
      <c r="C8" s="30" t="n">
        <f aca="false">C29/'Income Statement'!C15*365</f>
        <v>78.7831168831169</v>
      </c>
      <c r="D8" s="30" t="n">
        <f aca="false">D29/'Income Statement'!D15*365</f>
        <v>66.5078028019152</v>
      </c>
      <c r="E8" s="30" t="n">
        <f aca="false">E29/'Income Statement'!E15*365</f>
        <v>74.3016344725111</v>
      </c>
      <c r="F8" s="30" t="n">
        <f aca="false">F29/'Income Statement'!F15*365</f>
        <v>64.9662736995625</v>
      </c>
      <c r="G8" s="31" t="n">
        <v>70</v>
      </c>
      <c r="H8" s="31" t="n">
        <v>70</v>
      </c>
      <c r="I8" s="31" t="n">
        <v>70</v>
      </c>
      <c r="J8" s="31" t="n">
        <v>70</v>
      </c>
      <c r="K8" s="31" t="n">
        <v>70</v>
      </c>
    </row>
    <row r="9" customFormat="false" ht="15" hidden="false" customHeight="true" outlineLevel="0" collapsed="false">
      <c r="A9" s="3" t="s">
        <v>214</v>
      </c>
      <c r="C9" s="26" t="n">
        <f aca="false">C18/'Income Statement'!C10</f>
        <v>0.0536841659251727</v>
      </c>
      <c r="D9" s="26" t="n">
        <f aca="false">D18/'Income Statement'!D10</f>
        <v>0.102336860670194</v>
      </c>
      <c r="E9" s="26" t="n">
        <f aca="false">E18/'Income Statement'!E10</f>
        <v>0.0772154353306186</v>
      </c>
      <c r="F9" s="26" t="n">
        <f aca="false">F18/'Income Statement'!F10</f>
        <v>0.0623574583561881</v>
      </c>
      <c r="G9" s="21" t="n">
        <v>0.055</v>
      </c>
      <c r="H9" s="21" t="n">
        <v>0.055</v>
      </c>
      <c r="I9" s="21" t="n">
        <v>0.055</v>
      </c>
      <c r="J9" s="21" t="n">
        <v>0.055</v>
      </c>
      <c r="K9" s="21" t="n">
        <v>0.055</v>
      </c>
    </row>
    <row r="10" customFormat="false" ht="15" hidden="false" customHeight="true" outlineLevel="0" collapsed="false">
      <c r="A10" s="3" t="s">
        <v>215</v>
      </c>
      <c r="C10" s="26" t="n">
        <f aca="false">C30/'Income Statement'!C10</f>
        <v>0.149993644337104</v>
      </c>
      <c r="D10" s="26" t="n">
        <f aca="false">D30/'Income Statement'!D10</f>
        <v>0.15189594356261</v>
      </c>
      <c r="E10" s="26" t="n">
        <f aca="false">E30/'Income Statement'!E10</f>
        <v>0.1652123327516</v>
      </c>
      <c r="F10" s="26" t="n">
        <f aca="false">F30/'Income Statement'!F10</f>
        <v>0.151563266837957</v>
      </c>
      <c r="G10" s="21" t="n">
        <v>0.145</v>
      </c>
      <c r="H10" s="21" t="n">
        <v>0.145</v>
      </c>
      <c r="I10" s="21" t="n">
        <v>0.145</v>
      </c>
      <c r="J10" s="21" t="n">
        <v>0.145</v>
      </c>
      <c r="K10" s="21" t="n">
        <v>0.145</v>
      </c>
    </row>
    <row r="11" customFormat="false" ht="15" hidden="false" customHeight="true" outlineLevel="0" collapsed="false">
      <c r="A11" s="3" t="s">
        <v>216</v>
      </c>
      <c r="C11" s="26" t="n">
        <f aca="false">C32/'Income Statement'!C10</f>
        <v>0.0142366848862336</v>
      </c>
      <c r="D11" s="26" t="n">
        <f aca="false">D32/'Income Statement'!D10</f>
        <v>0.0193121693121693</v>
      </c>
      <c r="E11" s="26" t="n">
        <f aca="false">E32/'Income Statement'!E10</f>
        <v>0.0215241419429901</v>
      </c>
      <c r="F11" s="26" t="n">
        <f aca="false">F32/'Income Statement'!F10</f>
        <v>0.011605415860735</v>
      </c>
      <c r="G11" s="21" t="n">
        <v>0.012</v>
      </c>
      <c r="H11" s="21" t="n">
        <v>0.012</v>
      </c>
      <c r="I11" s="21" t="n">
        <v>0.012</v>
      </c>
      <c r="J11" s="21" t="n">
        <v>0.012</v>
      </c>
      <c r="K11" s="21" t="n">
        <v>0.012</v>
      </c>
    </row>
    <row r="13" customFormat="false" ht="15" hidden="false" customHeight="true" outlineLevel="0" collapsed="false">
      <c r="A13" s="8" t="s">
        <v>217</v>
      </c>
      <c r="B13" s="9"/>
      <c r="C13" s="9"/>
      <c r="D13" s="9"/>
      <c r="E13" s="9"/>
      <c r="F13" s="9"/>
      <c r="G13" s="9"/>
      <c r="H13" s="9"/>
      <c r="I13" s="9"/>
      <c r="J13" s="9"/>
      <c r="K13" s="9"/>
    </row>
    <row r="14" customFormat="false" ht="15" hidden="false" customHeight="true" outlineLevel="0" collapsed="false">
      <c r="A14" s="3" t="s">
        <v>218</v>
      </c>
      <c r="C14" s="11" t="n">
        <v>4835</v>
      </c>
      <c r="D14" s="11" t="n">
        <v>3933</v>
      </c>
      <c r="E14" s="11" t="n">
        <v>3787</v>
      </c>
      <c r="F14" s="11" t="n">
        <v>5539</v>
      </c>
      <c r="G14" s="24" t="n">
        <f aca="false">'Cash Flow'!G45</f>
        <v>7080.88923613014</v>
      </c>
      <c r="H14" s="24" t="n">
        <f aca="false">'Cash Flow'!H45</f>
        <v>12674.5228723874</v>
      </c>
      <c r="I14" s="24" t="n">
        <f aca="false">'Cash Flow'!I45</f>
        <v>22377.3831699459</v>
      </c>
      <c r="J14" s="24" t="n">
        <f aca="false">'Cash Flow'!J45</f>
        <v>35342.3292611776</v>
      </c>
      <c r="K14" s="24" t="n">
        <f aca="false">'Cash Flow'!K45</f>
        <v>50913.0492732673</v>
      </c>
    </row>
    <row r="15" customFormat="false" ht="15" hidden="false" customHeight="true" outlineLevel="0" collapsed="false">
      <c r="A15" s="3" t="s">
        <v>219</v>
      </c>
      <c r="C15" s="11" t="n">
        <v>1020</v>
      </c>
      <c r="D15" s="11" t="n">
        <v>1840</v>
      </c>
      <c r="E15" s="11" t="n">
        <v>1345</v>
      </c>
      <c r="F15" s="11" t="n">
        <v>5013</v>
      </c>
      <c r="G15" s="12" t="n">
        <f aca="false">F15</f>
        <v>5013</v>
      </c>
      <c r="H15" s="12" t="n">
        <f aca="false">G15</f>
        <v>5013</v>
      </c>
      <c r="I15" s="12" t="n">
        <f aca="false">H15</f>
        <v>5013</v>
      </c>
      <c r="J15" s="12" t="n">
        <f aca="false">I15</f>
        <v>5013</v>
      </c>
      <c r="K15" s="12" t="n">
        <f aca="false">J15</f>
        <v>5013</v>
      </c>
    </row>
    <row r="16" customFormat="false" ht="15" hidden="false" customHeight="true" outlineLevel="0" collapsed="false">
      <c r="A16" s="3" t="s">
        <v>220</v>
      </c>
      <c r="B16" s="10" t="s">
        <v>221</v>
      </c>
      <c r="C16" s="11" t="n">
        <v>4126</v>
      </c>
      <c r="D16" s="11" t="n">
        <v>4323</v>
      </c>
      <c r="E16" s="11" t="n">
        <v>6192</v>
      </c>
      <c r="F16" s="11" t="n">
        <v>6315</v>
      </c>
      <c r="G16" s="24" t="n">
        <f aca="false">'Income Statement'!G10*G6/365</f>
        <v>8404.05753424658</v>
      </c>
      <c r="H16" s="24" t="n">
        <f aca="false">'Income Statement'!H10*H6/365</f>
        <v>11740.4456986301</v>
      </c>
      <c r="I16" s="24" t="n">
        <f aca="false">'Income Statement'!I10*I6/365</f>
        <v>14848.9434526027</v>
      </c>
      <c r="J16" s="24" t="n">
        <f aca="false">'Income Statement'!J10*J6/365</f>
        <v>17441.2919437808</v>
      </c>
      <c r="K16" s="24" t="n">
        <f aca="false">'Income Statement'!K10*K6/365</f>
        <v>19451.2402108366</v>
      </c>
    </row>
    <row r="17" customFormat="false" ht="15" hidden="false" customHeight="true" outlineLevel="0" collapsed="false">
      <c r="A17" s="3" t="s">
        <v>222</v>
      </c>
      <c r="C17" s="11" t="n">
        <v>3771</v>
      </c>
      <c r="D17" s="11" t="n">
        <v>4351</v>
      </c>
      <c r="E17" s="11" t="n">
        <v>5734</v>
      </c>
      <c r="F17" s="11" t="n">
        <v>7920</v>
      </c>
      <c r="G17" s="24" t="n">
        <f aca="false">'Income Statement'!G15*G7/365</f>
        <v>9251.24075342466</v>
      </c>
      <c r="H17" s="24" t="n">
        <f aca="false">'Income Statement'!H15*H7/365</f>
        <v>11503.7431643836</v>
      </c>
      <c r="I17" s="24" t="n">
        <f aca="false">'Income Statement'!I15*I7/365</f>
        <v>13322.1367669521</v>
      </c>
      <c r="J17" s="24" t="n">
        <f aca="false">'Income Statement'!J15*J7/365</f>
        <v>14853.2292682521</v>
      </c>
      <c r="K17" s="24" t="n">
        <f aca="false">'Income Statement'!K15*K7/365</f>
        <v>15874.7218494892</v>
      </c>
    </row>
    <row r="18" customFormat="false" ht="15" hidden="false" customHeight="true" outlineLevel="0" collapsed="false">
      <c r="A18" s="3" t="s">
        <v>223</v>
      </c>
      <c r="C18" s="11" t="n">
        <v>1267</v>
      </c>
      <c r="D18" s="11" t="n">
        <v>2321</v>
      </c>
      <c r="E18" s="11" t="n">
        <v>1991</v>
      </c>
      <c r="F18" s="11" t="n">
        <v>2160</v>
      </c>
      <c r="G18" s="24" t="n">
        <f aca="false">'Income Statement'!G10*G9</f>
        <v>2721.1525</v>
      </c>
      <c r="H18" s="24" t="n">
        <f aca="false">'Income Statement'!H10*H9</f>
        <v>3801.4427</v>
      </c>
      <c r="I18" s="24" t="n">
        <f aca="false">'Income Statement'!I10*I9</f>
        <v>4807.9441905</v>
      </c>
      <c r="J18" s="24" t="n">
        <f aca="false">'Income Statement'!J10*J9</f>
        <v>5647.3215447</v>
      </c>
      <c r="K18" s="24" t="n">
        <f aca="false">'Income Statement'!K10*K9</f>
        <v>6298.1233424604</v>
      </c>
    </row>
    <row r="19" customFormat="false" ht="15" hidden="false" customHeight="true" outlineLevel="0" collapsed="false">
      <c r="A19" s="4" t="s">
        <v>224</v>
      </c>
      <c r="C19" s="15" t="n">
        <f aca="false">SUM(C14:C18)</f>
        <v>15019</v>
      </c>
      <c r="D19" s="15" t="n">
        <f aca="false">SUM(D14:D18)</f>
        <v>16768</v>
      </c>
      <c r="E19" s="15" t="n">
        <f aca="false">SUM(E14:E18)</f>
        <v>19049</v>
      </c>
      <c r="F19" s="15" t="n">
        <f aca="false">SUM(F14:F18)</f>
        <v>26947</v>
      </c>
      <c r="G19" s="15" t="n">
        <f aca="false">SUM(G14:G18)</f>
        <v>32470.3400238014</v>
      </c>
      <c r="H19" s="15" t="n">
        <f aca="false">SUM(H14:H18)</f>
        <v>44733.1544354011</v>
      </c>
      <c r="I19" s="15" t="n">
        <f aca="false">SUM(I14:I18)</f>
        <v>60369.4075800007</v>
      </c>
      <c r="J19" s="15" t="n">
        <f aca="false">SUM(J14:J18)</f>
        <v>78297.1720179104</v>
      </c>
      <c r="K19" s="15" t="n">
        <f aca="false">SUM(K14:K18)</f>
        <v>97550.1346760536</v>
      </c>
    </row>
    <row r="20" customFormat="false" ht="15" hidden="false" customHeight="true" outlineLevel="0" collapsed="false">
      <c r="A20" s="3" t="s">
        <v>225</v>
      </c>
      <c r="C20" s="11" t="n">
        <v>1513</v>
      </c>
      <c r="D20" s="11" t="n">
        <v>1589</v>
      </c>
      <c r="E20" s="11" t="n">
        <v>1802</v>
      </c>
      <c r="F20" s="11" t="n">
        <v>2312</v>
      </c>
      <c r="G20" s="24" t="n">
        <f aca="false">F20-'Cash Flow'!G24-'Income Statement'!G35</f>
        <v>3796.265</v>
      </c>
      <c r="H20" s="24" t="n">
        <f aca="false">G20-'Cash Flow'!H24-'Income Statement'!H35</f>
        <v>5524.1935</v>
      </c>
      <c r="I20" s="24" t="n">
        <f aca="false">H20-'Cash Flow'!I24-'Income Statement'!I35</f>
        <v>7272.536842</v>
      </c>
      <c r="J20" s="24" t="n">
        <f aca="false">I20-'Cash Flow'!J24-'Income Statement'!J35</f>
        <v>8812.7154451</v>
      </c>
      <c r="K20" s="24" t="n">
        <f aca="false">J20-'Cash Flow'!K24-'Income Statement'!K35</f>
        <v>10530.3854475892</v>
      </c>
    </row>
    <row r="21" customFormat="false" ht="15" hidden="false" customHeight="true" outlineLevel="0" collapsed="false">
      <c r="A21" s="3" t="s">
        <v>226</v>
      </c>
      <c r="C21" s="11" t="n">
        <v>24177</v>
      </c>
      <c r="D21" s="11" t="n">
        <v>24262</v>
      </c>
      <c r="E21" s="11" t="n">
        <v>24839</v>
      </c>
      <c r="F21" s="11" t="n">
        <v>25126</v>
      </c>
      <c r="G21" s="12" t="n">
        <f aca="false">F21</f>
        <v>25126</v>
      </c>
      <c r="H21" s="12" t="n">
        <f aca="false">G21</f>
        <v>25126</v>
      </c>
      <c r="I21" s="12" t="n">
        <f aca="false">H21</f>
        <v>25126</v>
      </c>
      <c r="J21" s="12" t="n">
        <f aca="false">I21</f>
        <v>25126</v>
      </c>
      <c r="K21" s="12" t="n">
        <f aca="false">J21</f>
        <v>25126</v>
      </c>
    </row>
    <row r="22" customFormat="false" ht="15" hidden="false" customHeight="true" outlineLevel="0" collapsed="false">
      <c r="A22" s="3" t="s">
        <v>227</v>
      </c>
      <c r="C22" s="11" t="n">
        <v>24118</v>
      </c>
      <c r="D22" s="11" t="n">
        <v>21363</v>
      </c>
      <c r="E22" s="11" t="n">
        <v>18930</v>
      </c>
      <c r="F22" s="11" t="n">
        <v>16705</v>
      </c>
      <c r="G22" s="24" t="n">
        <f aca="false">F22-'Income Statement'!G36</f>
        <v>14605</v>
      </c>
      <c r="H22" s="24" t="n">
        <f aca="false">G22-'Income Statement'!H36</f>
        <v>12705</v>
      </c>
      <c r="I22" s="24" t="n">
        <f aca="false">H22-'Income Statement'!I36</f>
        <v>11005</v>
      </c>
      <c r="J22" s="24" t="n">
        <f aca="false">I22-'Income Statement'!J36</f>
        <v>9505</v>
      </c>
      <c r="K22" s="24" t="n">
        <f aca="false">J22-'Income Statement'!K36</f>
        <v>8205</v>
      </c>
    </row>
    <row r="23" customFormat="false" ht="15" hidden="false" customHeight="true" outlineLevel="0" collapsed="false">
      <c r="A23" s="3" t="s">
        <v>228</v>
      </c>
      <c r="C23" s="11" t="n">
        <v>58</v>
      </c>
      <c r="D23" s="11" t="n">
        <v>366</v>
      </c>
      <c r="E23" s="11" t="n">
        <v>688</v>
      </c>
      <c r="F23" s="11" t="n">
        <v>384</v>
      </c>
      <c r="G23" s="12" t="n">
        <f aca="false">F23</f>
        <v>384</v>
      </c>
      <c r="H23" s="12" t="n">
        <f aca="false">G23</f>
        <v>384</v>
      </c>
      <c r="I23" s="12" t="n">
        <f aca="false">H23</f>
        <v>384</v>
      </c>
      <c r="J23" s="12" t="n">
        <f aca="false">I23</f>
        <v>384</v>
      </c>
      <c r="K23" s="12" t="n">
        <f aca="false">J23</f>
        <v>384</v>
      </c>
    </row>
    <row r="24" customFormat="false" ht="15" hidden="false" customHeight="true" outlineLevel="0" collapsed="false">
      <c r="A24" s="3" t="s">
        <v>229</v>
      </c>
      <c r="C24" s="11" t="n">
        <v>2695</v>
      </c>
      <c r="D24" s="11" t="n">
        <v>3537</v>
      </c>
      <c r="E24" s="11" t="n">
        <v>3918</v>
      </c>
      <c r="F24" s="11" t="n">
        <v>5452</v>
      </c>
      <c r="G24" s="24" t="n">
        <f aca="false">F24-'Cash Flow'!G27</f>
        <v>8452</v>
      </c>
      <c r="H24" s="24" t="n">
        <f aca="false">G24-'Cash Flow'!H27</f>
        <v>9952</v>
      </c>
      <c r="I24" s="24" t="n">
        <f aca="false">H24-'Cash Flow'!I27</f>
        <v>10952</v>
      </c>
      <c r="J24" s="24" t="n">
        <f aca="false">I24-'Cash Flow'!J27</f>
        <v>11952</v>
      </c>
      <c r="K24" s="24" t="n">
        <f aca="false">J24-'Cash Flow'!K27</f>
        <v>12952</v>
      </c>
    </row>
    <row r="25" customFormat="false" ht="15" hidden="false" customHeight="true" outlineLevel="0" collapsed="false">
      <c r="A25" s="4" t="s">
        <v>230</v>
      </c>
      <c r="C25" s="15" t="n">
        <f aca="false">SUM(C20:C24)</f>
        <v>52561</v>
      </c>
      <c r="D25" s="15" t="n">
        <f aca="false">SUM(D20:D24)</f>
        <v>51117</v>
      </c>
      <c r="E25" s="15" t="n">
        <f aca="false">SUM(E20:E24)</f>
        <v>50177</v>
      </c>
      <c r="F25" s="15" t="n">
        <f aca="false">SUM(F20:F24)</f>
        <v>49979</v>
      </c>
      <c r="G25" s="15" t="n">
        <f aca="false">SUM(G20:G24)</f>
        <v>52363.265</v>
      </c>
      <c r="H25" s="15" t="n">
        <f aca="false">SUM(H20:H24)</f>
        <v>53691.1935</v>
      </c>
      <c r="I25" s="15" t="n">
        <f aca="false">SUM(I20:I24)</f>
        <v>54739.536842</v>
      </c>
      <c r="J25" s="15" t="n">
        <f aca="false">SUM(J20:J24)</f>
        <v>55779.7154451</v>
      </c>
      <c r="K25" s="15" t="n">
        <f aca="false">SUM(K20:K24)</f>
        <v>57197.3854475892</v>
      </c>
    </row>
    <row r="26" customFormat="false" ht="15" hidden="false" customHeight="true" outlineLevel="0" collapsed="false">
      <c r="A26" s="4" t="s">
        <v>231</v>
      </c>
      <c r="C26" s="15" t="n">
        <f aca="false">C19+C25</f>
        <v>67580</v>
      </c>
      <c r="D26" s="15" t="n">
        <f aca="false">D19+D25</f>
        <v>67885</v>
      </c>
      <c r="E26" s="15" t="n">
        <f aca="false">E19+E25</f>
        <v>69226</v>
      </c>
      <c r="F26" s="15" t="n">
        <f aca="false">F19+F25</f>
        <v>76926</v>
      </c>
      <c r="G26" s="15" t="n">
        <f aca="false">G19+G25</f>
        <v>84833.6050238014</v>
      </c>
      <c r="H26" s="15" t="n">
        <f aca="false">H19+H25</f>
        <v>98424.3479354011</v>
      </c>
      <c r="I26" s="15" t="n">
        <f aca="false">I19+I25</f>
        <v>115108.944422001</v>
      </c>
      <c r="J26" s="15" t="n">
        <f aca="false">J19+J25</f>
        <v>134076.88746301</v>
      </c>
      <c r="K26" s="15" t="n">
        <f aca="false">K19+K25</f>
        <v>154747.520123643</v>
      </c>
    </row>
    <row r="28" customFormat="false" ht="15" hidden="false" customHeight="true" outlineLevel="0" collapsed="false">
      <c r="A28" s="8" t="s">
        <v>232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customFormat="false" ht="15" hidden="false" customHeight="true" outlineLevel="0" collapsed="false">
      <c r="A29" s="3" t="s">
        <v>233</v>
      </c>
      <c r="C29" s="11" t="n">
        <v>2493</v>
      </c>
      <c r="D29" s="11" t="n">
        <v>2055</v>
      </c>
      <c r="E29" s="11" t="n">
        <v>2466</v>
      </c>
      <c r="F29" s="11" t="n">
        <v>2929</v>
      </c>
      <c r="G29" s="24" t="n">
        <f aca="false">'Income Statement'!G15*G8/365</f>
        <v>4317.24568493151</v>
      </c>
      <c r="H29" s="24" t="n">
        <f aca="false">'Income Statement'!H15*H8/365</f>
        <v>5964.9038630137</v>
      </c>
      <c r="I29" s="24" t="n">
        <f aca="false">'Income Statement'!I15*I8/365</f>
        <v>7460.39658949315</v>
      </c>
      <c r="J29" s="24" t="n">
        <f aca="false">'Income Statement'!J15*J8/365</f>
        <v>8664.3837398137</v>
      </c>
      <c r="K29" s="24" t="n">
        <f aca="false">'Income Statement'!K15*K8/365</f>
        <v>9662.87416925431</v>
      </c>
    </row>
    <row r="30" customFormat="false" ht="15" hidden="false" customHeight="true" outlineLevel="0" collapsed="false">
      <c r="A30" s="3" t="s">
        <v>234</v>
      </c>
      <c r="C30" s="11" t="n">
        <v>3540</v>
      </c>
      <c r="D30" s="11" t="n">
        <v>3445</v>
      </c>
      <c r="E30" s="11" t="n">
        <v>4260</v>
      </c>
      <c r="F30" s="11" t="n">
        <v>5250</v>
      </c>
      <c r="G30" s="24" t="n">
        <f aca="false">'Income Statement'!G10*G10</f>
        <v>7173.9475</v>
      </c>
      <c r="H30" s="24" t="n">
        <f aca="false">'Income Statement'!H10*H10</f>
        <v>10021.9853</v>
      </c>
      <c r="I30" s="24" t="n">
        <f aca="false">'Income Statement'!I10*I10</f>
        <v>12675.4892295</v>
      </c>
      <c r="J30" s="24" t="n">
        <f aca="false">'Income Statement'!J10*J10</f>
        <v>14888.3931633</v>
      </c>
      <c r="K30" s="24" t="n">
        <f aca="false">'Income Statement'!K10*K10</f>
        <v>16604.1433573956</v>
      </c>
    </row>
    <row r="31" customFormat="false" ht="15" hidden="false" customHeight="true" outlineLevel="0" collapsed="false">
      <c r="A31" s="3" t="s">
        <v>235</v>
      </c>
      <c r="C31" s="11" t="n">
        <v>0</v>
      </c>
      <c r="D31" s="11" t="n">
        <v>751</v>
      </c>
      <c r="E31" s="11" t="n">
        <v>0</v>
      </c>
      <c r="F31" s="11" t="n">
        <v>874</v>
      </c>
      <c r="G31" s="12" t="n">
        <f aca="false">F31</f>
        <v>874</v>
      </c>
      <c r="H31" s="12" t="n">
        <f aca="false">G31</f>
        <v>874</v>
      </c>
      <c r="I31" s="12" t="n">
        <f aca="false">H31</f>
        <v>874</v>
      </c>
      <c r="J31" s="12" t="n">
        <f aca="false">I31</f>
        <v>874</v>
      </c>
      <c r="K31" s="12" t="n">
        <f aca="false">J31</f>
        <v>874</v>
      </c>
    </row>
    <row r="32" customFormat="false" ht="15" hidden="false" customHeight="true" outlineLevel="0" collapsed="false">
      <c r="A32" s="3" t="s">
        <v>236</v>
      </c>
      <c r="C32" s="11" t="n">
        <v>336</v>
      </c>
      <c r="D32" s="11" t="n">
        <v>438</v>
      </c>
      <c r="E32" s="11" t="n">
        <v>555</v>
      </c>
      <c r="F32" s="11" t="n">
        <v>402</v>
      </c>
      <c r="G32" s="24" t="n">
        <f aca="false">'Income Statement'!G10*G11</f>
        <v>593.706</v>
      </c>
      <c r="H32" s="24" t="n">
        <f aca="false">'Income Statement'!H10*H11</f>
        <v>829.40568</v>
      </c>
      <c r="I32" s="24" t="n">
        <f aca="false">'Income Statement'!I10*I11</f>
        <v>1049.0060052</v>
      </c>
      <c r="J32" s="24" t="n">
        <f aca="false">'Income Statement'!J10*J11</f>
        <v>1232.14288248</v>
      </c>
      <c r="K32" s="24" t="n">
        <f aca="false">'Income Statement'!K10*K11</f>
        <v>1374.13600199136</v>
      </c>
    </row>
    <row r="33" customFormat="false" ht="15" hidden="false" customHeight="true" outlineLevel="0" collapsed="false">
      <c r="A33" s="4" t="s">
        <v>237</v>
      </c>
      <c r="C33" s="15" t="n">
        <f aca="false">SUM(C29:C32)</f>
        <v>6369</v>
      </c>
      <c r="D33" s="15" t="n">
        <f aca="false">SUM(D29:D32)</f>
        <v>6689</v>
      </c>
      <c r="E33" s="15" t="n">
        <f aca="false">SUM(E29:E32)</f>
        <v>7281</v>
      </c>
      <c r="F33" s="15" t="n">
        <f aca="false">SUM(F29:F32)</f>
        <v>9455</v>
      </c>
      <c r="G33" s="15" t="n">
        <f aca="false">SUM(G29:G32)</f>
        <v>12958.8991849315</v>
      </c>
      <c r="H33" s="15" t="n">
        <f aca="false">SUM(H29:H32)</f>
        <v>17690.2948430137</v>
      </c>
      <c r="I33" s="15" t="n">
        <f aca="false">SUM(I29:I32)</f>
        <v>22058.8918241932</v>
      </c>
      <c r="J33" s="15" t="n">
        <f aca="false">SUM(J29:J32)</f>
        <v>25658.9197855937</v>
      </c>
      <c r="K33" s="15" t="n">
        <f aca="false">SUM(K29:K32)</f>
        <v>28515.1535286413</v>
      </c>
    </row>
    <row r="34" customFormat="false" ht="15" hidden="false" customHeight="true" outlineLevel="0" collapsed="false">
      <c r="A34" s="3" t="s">
        <v>238</v>
      </c>
      <c r="C34" s="11" t="n">
        <v>2467</v>
      </c>
      <c r="D34" s="11" t="n">
        <v>1717</v>
      </c>
      <c r="E34" s="11" t="n">
        <v>1721</v>
      </c>
      <c r="F34" s="11" t="n">
        <v>2348</v>
      </c>
      <c r="G34" s="24" t="n">
        <f aca="false">F34+'Cash Flow'!G35+'Cash Flow'!G36</f>
        <v>2348</v>
      </c>
      <c r="H34" s="24" t="n">
        <f aca="false">G34+'Cash Flow'!H35+'Cash Flow'!H36</f>
        <v>2348</v>
      </c>
      <c r="I34" s="24" t="n">
        <f aca="false">H34+'Cash Flow'!I35+'Cash Flow'!I36</f>
        <v>2348</v>
      </c>
      <c r="J34" s="24" t="n">
        <f aca="false">I34+'Cash Flow'!J35+'Cash Flow'!J36</f>
        <v>2348</v>
      </c>
      <c r="K34" s="24" t="n">
        <f aca="false">J34+'Cash Flow'!K35+'Cash Flow'!K36</f>
        <v>2348</v>
      </c>
    </row>
    <row r="35" customFormat="false" ht="15" hidden="false" customHeight="true" outlineLevel="0" collapsed="false">
      <c r="A35" s="3" t="s">
        <v>239</v>
      </c>
      <c r="C35" s="11" t="n">
        <v>396</v>
      </c>
      <c r="D35" s="11" t="n">
        <v>535</v>
      </c>
      <c r="E35" s="11" t="n">
        <v>491</v>
      </c>
      <c r="F35" s="11" t="n">
        <v>625</v>
      </c>
      <c r="G35" s="12" t="n">
        <f aca="false">F35</f>
        <v>625</v>
      </c>
      <c r="H35" s="12" t="n">
        <f aca="false">G35</f>
        <v>625</v>
      </c>
      <c r="I35" s="12" t="n">
        <f aca="false">H35</f>
        <v>625</v>
      </c>
      <c r="J35" s="12" t="n">
        <f aca="false">I35</f>
        <v>625</v>
      </c>
      <c r="K35" s="12" t="n">
        <f aca="false">J35</f>
        <v>625</v>
      </c>
    </row>
    <row r="36" customFormat="false" ht="15" hidden="false" customHeight="true" outlineLevel="0" collapsed="false">
      <c r="A36" s="3" t="s">
        <v>240</v>
      </c>
      <c r="C36" s="11" t="n">
        <v>1934</v>
      </c>
      <c r="D36" s="11" t="n">
        <v>1202</v>
      </c>
      <c r="E36" s="11" t="n">
        <v>349</v>
      </c>
      <c r="F36" s="11" t="n">
        <v>313</v>
      </c>
      <c r="G36" s="12" t="n">
        <f aca="false">F36</f>
        <v>313</v>
      </c>
      <c r="H36" s="12" t="n">
        <f aca="false">G36</f>
        <v>313</v>
      </c>
      <c r="I36" s="12" t="n">
        <f aca="false">H36</f>
        <v>313</v>
      </c>
      <c r="J36" s="12" t="n">
        <f aca="false">I36</f>
        <v>313</v>
      </c>
      <c r="K36" s="12" t="n">
        <f aca="false">J36</f>
        <v>313</v>
      </c>
    </row>
    <row r="37" customFormat="false" ht="15" hidden="false" customHeight="true" outlineLevel="0" collapsed="false">
      <c r="A37" s="3" t="s">
        <v>241</v>
      </c>
      <c r="C37" s="11" t="n">
        <v>1664</v>
      </c>
      <c r="D37" s="11" t="n">
        <v>1850</v>
      </c>
      <c r="E37" s="11" t="n">
        <v>1816</v>
      </c>
      <c r="F37" s="11" t="n">
        <v>1186</v>
      </c>
      <c r="G37" s="12" t="n">
        <f aca="false">F37</f>
        <v>1186</v>
      </c>
      <c r="H37" s="12" t="n">
        <f aca="false">G37</f>
        <v>1186</v>
      </c>
      <c r="I37" s="12" t="n">
        <f aca="false">H37</f>
        <v>1186</v>
      </c>
      <c r="J37" s="12" t="n">
        <f aca="false">I37</f>
        <v>1186</v>
      </c>
      <c r="K37" s="12" t="n">
        <f aca="false">J37</f>
        <v>1186</v>
      </c>
    </row>
    <row r="38" customFormat="false" ht="15" hidden="false" customHeight="true" outlineLevel="0" collapsed="false">
      <c r="A38" s="4" t="s">
        <v>242</v>
      </c>
      <c r="C38" s="15" t="n">
        <f aca="false">SUM(C34:C37)</f>
        <v>6461</v>
      </c>
      <c r="D38" s="15" t="n">
        <f aca="false">SUM(D34:D37)</f>
        <v>5304</v>
      </c>
      <c r="E38" s="15" t="n">
        <f aca="false">SUM(E34:E37)</f>
        <v>4377</v>
      </c>
      <c r="F38" s="15" t="n">
        <f aca="false">SUM(F34:F37)</f>
        <v>4472</v>
      </c>
      <c r="G38" s="15" t="n">
        <f aca="false">SUM(G34:G37)</f>
        <v>4472</v>
      </c>
      <c r="H38" s="15" t="n">
        <f aca="false">SUM(H34:H37)</f>
        <v>4472</v>
      </c>
      <c r="I38" s="15" t="n">
        <f aca="false">SUM(I34:I37)</f>
        <v>4472</v>
      </c>
      <c r="J38" s="15" t="n">
        <f aca="false">SUM(J34:J37)</f>
        <v>4472</v>
      </c>
      <c r="K38" s="15" t="n">
        <f aca="false">SUM(K34:K37)</f>
        <v>4472</v>
      </c>
    </row>
    <row r="39" customFormat="false" ht="15" hidden="false" customHeight="true" outlineLevel="0" collapsed="false">
      <c r="A39" s="4" t="s">
        <v>243</v>
      </c>
      <c r="C39" s="15" t="n">
        <f aca="false">C33+C38</f>
        <v>12830</v>
      </c>
      <c r="D39" s="15" t="n">
        <f aca="false">D33+D38</f>
        <v>11993</v>
      </c>
      <c r="E39" s="15" t="n">
        <f aca="false">E33+E38</f>
        <v>11658</v>
      </c>
      <c r="F39" s="15" t="n">
        <f aca="false">F33+F38</f>
        <v>13927</v>
      </c>
      <c r="G39" s="15" t="n">
        <f aca="false">G33+G38</f>
        <v>17430.8991849315</v>
      </c>
      <c r="H39" s="15" t="n">
        <f aca="false">H33+H38</f>
        <v>22162.2948430137</v>
      </c>
      <c r="I39" s="15" t="n">
        <f aca="false">I33+I38</f>
        <v>26530.8918241932</v>
      </c>
      <c r="J39" s="15" t="n">
        <f aca="false">J33+J38</f>
        <v>30130.9197855937</v>
      </c>
      <c r="K39" s="15" t="n">
        <f aca="false">K33+K38</f>
        <v>32987.1535286413</v>
      </c>
    </row>
    <row r="41" customFormat="false" ht="15" hidden="false" customHeight="true" outlineLevel="0" collapsed="false">
      <c r="A41" s="8" t="s">
        <v>244</v>
      </c>
      <c r="B41" s="9"/>
      <c r="C41" s="9"/>
      <c r="D41" s="9"/>
      <c r="E41" s="9"/>
      <c r="F41" s="9"/>
      <c r="G41" s="9"/>
      <c r="H41" s="9"/>
      <c r="I41" s="9"/>
      <c r="J41" s="9"/>
      <c r="K41" s="9"/>
    </row>
    <row r="42" customFormat="false" ht="15" hidden="false" customHeight="true" outlineLevel="0" collapsed="false">
      <c r="A42" s="3" t="s">
        <v>245</v>
      </c>
      <c r="C42" s="11" t="n">
        <v>16</v>
      </c>
      <c r="D42" s="11" t="n">
        <v>17</v>
      </c>
      <c r="E42" s="11" t="n">
        <v>17</v>
      </c>
      <c r="F42" s="11" t="n">
        <v>17</v>
      </c>
      <c r="G42" s="12" t="n">
        <f aca="false">F42</f>
        <v>17</v>
      </c>
      <c r="H42" s="12" t="n">
        <f aca="false">G42</f>
        <v>17</v>
      </c>
      <c r="I42" s="12" t="n">
        <f aca="false">H42</f>
        <v>17</v>
      </c>
      <c r="J42" s="12" t="n">
        <f aca="false">I42</f>
        <v>17</v>
      </c>
      <c r="K42" s="12" t="n">
        <f aca="false">J42</f>
        <v>17</v>
      </c>
    </row>
    <row r="43" customFormat="false" ht="15" hidden="false" customHeight="true" outlineLevel="0" collapsed="false">
      <c r="A43" s="3" t="s">
        <v>246</v>
      </c>
      <c r="C43" s="11" t="n">
        <v>58005</v>
      </c>
      <c r="D43" s="11" t="n">
        <v>59676</v>
      </c>
      <c r="E43" s="11" t="n">
        <v>61362</v>
      </c>
      <c r="F43" s="11" t="n">
        <v>63365</v>
      </c>
      <c r="G43" s="24" t="n">
        <f aca="false">F43+'Income Statement'!G40+'Cash Flow'!G37+'Cash Flow'!G39</f>
        <v>64994.02</v>
      </c>
      <c r="H43" s="24" t="n">
        <f aca="false">G43+'Income Statement'!H40+'Cash Flow'!H37+'Cash Flow'!H39</f>
        <v>67063.1199</v>
      </c>
      <c r="I43" s="24" t="n">
        <f aca="false">H43+'Income Statement'!I40+'Cash Flow'!I37+'Cash Flow'!I39</f>
        <v>69510.4692472</v>
      </c>
      <c r="J43" s="24" t="n">
        <f aca="false">I43+'Income Statement'!J40+'Cash Flow'!J37+'Cash Flow'!J39</f>
        <v>72240.8264534</v>
      </c>
      <c r="K43" s="24" t="n">
        <f aca="false">J43+'Income Statement'!K40+'Cash Flow'!K37+'Cash Flow'!K39</f>
        <v>75326.1664583784</v>
      </c>
    </row>
    <row r="44" customFormat="false" ht="15" hidden="false" customHeight="true" outlineLevel="0" collapsed="false">
      <c r="A44" s="3" t="s">
        <v>247</v>
      </c>
      <c r="C44" s="11" t="n">
        <v>-3099</v>
      </c>
      <c r="D44" s="11" t="n">
        <v>-4514</v>
      </c>
      <c r="E44" s="11" t="n">
        <v>-6106</v>
      </c>
      <c r="F44" s="11" t="n">
        <v>-7079</v>
      </c>
      <c r="G44" s="24" t="n">
        <f aca="false">F44+'Cash Flow'!G38</f>
        <v>-11970.8892361301</v>
      </c>
      <c r="H44" s="24" t="n">
        <f aca="false">G44+'Cash Flow'!H38</f>
        <v>-19414.5228723874</v>
      </c>
      <c r="I44" s="24" t="n">
        <f aca="false">H44+'Cash Flow'!I38</f>
        <v>-30467.3831699459</v>
      </c>
      <c r="J44" s="24" t="n">
        <f aca="false">I44+'Cash Flow'!J38</f>
        <v>-44782.3292611776</v>
      </c>
      <c r="K44" s="24" t="n">
        <f aca="false">J44+'Cash Flow'!K38</f>
        <v>-61703.0492732673</v>
      </c>
    </row>
    <row r="45" customFormat="false" ht="15" hidden="false" customHeight="true" outlineLevel="0" collapsed="false">
      <c r="A45" s="3" t="s">
        <v>248</v>
      </c>
      <c r="C45" s="11" t="n">
        <v>-131</v>
      </c>
      <c r="D45" s="11" t="n">
        <v>723</v>
      </c>
      <c r="E45" s="11" t="n">
        <v>2364</v>
      </c>
      <c r="F45" s="11" t="n">
        <v>6699</v>
      </c>
      <c r="G45" s="24" t="n">
        <f aca="false">F45+'Income Statement'!G56</f>
        <v>14365.575075</v>
      </c>
      <c r="H45" s="24" t="n">
        <f aca="false">G45+'Income Statement'!H56</f>
        <v>28599.4560647749</v>
      </c>
      <c r="I45" s="24" t="n">
        <f aca="false">H45+'Income Statement'!I56</f>
        <v>49520.9665205534</v>
      </c>
      <c r="J45" s="24" t="n">
        <f aca="false">I45+'Income Statement'!J56</f>
        <v>76473.4704851943</v>
      </c>
      <c r="K45" s="24" t="n">
        <f aca="false">J45+'Income Statement'!K56</f>
        <v>108123.24940989</v>
      </c>
    </row>
    <row r="46" customFormat="false" ht="15" hidden="false" customHeight="true" outlineLevel="0" collapsed="false">
      <c r="A46" s="3" t="s">
        <v>249</v>
      </c>
      <c r="C46" s="11" t="n">
        <v>-41</v>
      </c>
      <c r="D46" s="11" t="n">
        <v>-10</v>
      </c>
      <c r="E46" s="11" t="n">
        <v>-69</v>
      </c>
      <c r="F46" s="11" t="n">
        <v>-3</v>
      </c>
      <c r="G46" s="12" t="n">
        <f aca="false">F46</f>
        <v>-3</v>
      </c>
      <c r="H46" s="12" t="n">
        <f aca="false">G46</f>
        <v>-3</v>
      </c>
      <c r="I46" s="12" t="n">
        <f aca="false">H46</f>
        <v>-3</v>
      </c>
      <c r="J46" s="12" t="n">
        <f aca="false">I46</f>
        <v>-3</v>
      </c>
      <c r="K46" s="12" t="n">
        <f aca="false">J46</f>
        <v>-3</v>
      </c>
    </row>
    <row r="47" customFormat="false" ht="15" hidden="false" customHeight="true" outlineLevel="0" collapsed="false">
      <c r="A47" s="4" t="s">
        <v>250</v>
      </c>
      <c r="C47" s="15" t="n">
        <f aca="false">SUM(C42:C46)</f>
        <v>54750</v>
      </c>
      <c r="D47" s="15" t="n">
        <f aca="false">SUM(D42:D46)</f>
        <v>55892</v>
      </c>
      <c r="E47" s="15" t="n">
        <f aca="false">SUM(E42:E46)</f>
        <v>57568</v>
      </c>
      <c r="F47" s="15" t="n">
        <f aca="false">SUM(F42:F46)</f>
        <v>62999</v>
      </c>
      <c r="G47" s="15" t="n">
        <f aca="false">SUM(G42:G46)</f>
        <v>67402.7058388699</v>
      </c>
      <c r="H47" s="15" t="n">
        <f aca="false">SUM(H42:H46)</f>
        <v>76262.0530923874</v>
      </c>
      <c r="I47" s="15" t="n">
        <f aca="false">SUM(I42:I46)</f>
        <v>88578.0525978075</v>
      </c>
      <c r="J47" s="15" t="n">
        <f aca="false">SUM(J42:J46)</f>
        <v>103945.967677417</v>
      </c>
      <c r="K47" s="15" t="n">
        <f aca="false">SUM(K42:K46)</f>
        <v>121760.366595001</v>
      </c>
    </row>
    <row r="48" customFormat="false" ht="15" hidden="false" customHeight="true" outlineLevel="0" collapsed="false">
      <c r="A48" s="4" t="s">
        <v>251</v>
      </c>
      <c r="C48" s="15" t="n">
        <f aca="false">C39+C47</f>
        <v>67580</v>
      </c>
      <c r="D48" s="15" t="n">
        <f aca="false">D39+D47</f>
        <v>67885</v>
      </c>
      <c r="E48" s="15" t="n">
        <f aca="false">E39+E47</f>
        <v>69226</v>
      </c>
      <c r="F48" s="15" t="n">
        <f aca="false">F39+F47</f>
        <v>76926</v>
      </c>
      <c r="G48" s="15" t="n">
        <f aca="false">G39+G47</f>
        <v>84833.6050238014</v>
      </c>
      <c r="H48" s="15" t="n">
        <f aca="false">H39+H47</f>
        <v>98424.3479354011</v>
      </c>
      <c r="I48" s="15" t="n">
        <f aca="false">I39+I47</f>
        <v>115108.944422001</v>
      </c>
      <c r="J48" s="15" t="n">
        <f aca="false">J39+J47</f>
        <v>134076.88746301</v>
      </c>
      <c r="K48" s="15" t="n">
        <f aca="false">K39+K47</f>
        <v>154747.520123643</v>
      </c>
    </row>
    <row r="49" customFormat="false" ht="15" hidden="false" customHeight="true" outlineLevel="0" collapsed="false">
      <c r="A49" s="4" t="s">
        <v>252</v>
      </c>
      <c r="C49" s="17" t="n">
        <f aca="false">ROUND(C26-C48,3)</f>
        <v>0</v>
      </c>
      <c r="D49" s="17" t="n">
        <f aca="false">ROUND(D26-D48,3)</f>
        <v>0</v>
      </c>
      <c r="E49" s="17" t="n">
        <f aca="false">ROUND(E26-E48,3)</f>
        <v>0</v>
      </c>
      <c r="F49" s="17" t="n">
        <f aca="false">ROUND(F26-F48,3)</f>
        <v>0</v>
      </c>
      <c r="G49" s="17" t="n">
        <f aca="false">ROUND(G26-G48,3)</f>
        <v>0</v>
      </c>
      <c r="H49" s="17" t="n">
        <f aca="false">ROUND(H26-H48,3)</f>
        <v>0</v>
      </c>
      <c r="I49" s="17" t="n">
        <f aca="false">ROUND(I26-I48,3)</f>
        <v>0</v>
      </c>
      <c r="J49" s="17" t="n">
        <f aca="false">ROUND(J26-J48,3)</f>
        <v>0</v>
      </c>
      <c r="K49" s="17" t="n">
        <f aca="false">ROUND(K26-K48,3)</f>
        <v>0</v>
      </c>
    </row>
    <row r="51" customFormat="false" ht="15" hidden="false" customHeight="true" outlineLevel="0" collapsed="false">
      <c r="A51" s="8" t="s">
        <v>253</v>
      </c>
      <c r="B51" s="9"/>
      <c r="C51" s="9"/>
      <c r="D51" s="9"/>
      <c r="E51" s="9"/>
      <c r="F51" s="9"/>
      <c r="G51" s="9"/>
      <c r="H51" s="9"/>
      <c r="I51" s="9"/>
      <c r="J51" s="9"/>
      <c r="K51" s="9"/>
    </row>
    <row r="52" customFormat="false" ht="15" hidden="false" customHeight="true" outlineLevel="0" collapsed="false">
      <c r="A52" s="3" t="s">
        <v>254</v>
      </c>
      <c r="C52" s="18" t="n">
        <f aca="false">C31+C34</f>
        <v>2467</v>
      </c>
      <c r="D52" s="18" t="n">
        <f aca="false">D31+D34</f>
        <v>2468</v>
      </c>
      <c r="E52" s="18" t="n">
        <f aca="false">E31+E34</f>
        <v>1721</v>
      </c>
      <c r="F52" s="18" t="n">
        <f aca="false">F31+F34</f>
        <v>3222</v>
      </c>
      <c r="G52" s="12" t="n">
        <f aca="false">G31+G34</f>
        <v>3222</v>
      </c>
      <c r="H52" s="12" t="n">
        <f aca="false">H31+H34</f>
        <v>3222</v>
      </c>
      <c r="I52" s="12" t="n">
        <f aca="false">I31+I34</f>
        <v>3222</v>
      </c>
      <c r="J52" s="12" t="n">
        <f aca="false">J31+J34</f>
        <v>3222</v>
      </c>
      <c r="K52" s="12" t="n">
        <f aca="false">K31+K34</f>
        <v>3222</v>
      </c>
    </row>
    <row r="53" customFormat="false" ht="15" hidden="false" customHeight="true" outlineLevel="0" collapsed="false">
      <c r="A53" s="3" t="s">
        <v>255</v>
      </c>
      <c r="C53" s="18" t="n">
        <f aca="false">C14+C15-C52</f>
        <v>3388</v>
      </c>
      <c r="D53" s="18" t="n">
        <f aca="false">D14+D15-D52</f>
        <v>3305</v>
      </c>
      <c r="E53" s="18" t="n">
        <f aca="false">E14+E15-E52</f>
        <v>3411</v>
      </c>
      <c r="F53" s="18" t="n">
        <f aca="false">F14+F15-F52</f>
        <v>7330</v>
      </c>
      <c r="G53" s="12" t="n">
        <f aca="false">G14+G15-G52</f>
        <v>8871.88923613014</v>
      </c>
      <c r="H53" s="12" t="n">
        <f aca="false">H14+H15-H52</f>
        <v>14465.5228723874</v>
      </c>
      <c r="I53" s="12" t="n">
        <f aca="false">I14+I15-I52</f>
        <v>24168.3831699459</v>
      </c>
      <c r="J53" s="12" t="n">
        <f aca="false">J14+J15-J52</f>
        <v>37133.3292611776</v>
      </c>
      <c r="K53" s="12" t="n">
        <f aca="false">K14+K15-K52</f>
        <v>52704.0492732673</v>
      </c>
    </row>
    <row r="54" customFormat="false" ht="15" hidden="false" customHeight="true" outlineLevel="0" collapsed="false">
      <c r="A54" s="3" t="s">
        <v>256</v>
      </c>
      <c r="C54" s="18" t="n">
        <f aca="false">C16+C17+C18-C29-C30-C32</f>
        <v>2795</v>
      </c>
      <c r="D54" s="18" t="n">
        <f aca="false">D16+D17+D18-D29-D30-D32</f>
        <v>5057</v>
      </c>
      <c r="E54" s="18" t="n">
        <f aca="false">E16+E17+E18-E29-E30-E32</f>
        <v>6636</v>
      </c>
      <c r="F54" s="18" t="n">
        <f aca="false">F16+F17+F18-F29-F30-F32</f>
        <v>7814</v>
      </c>
      <c r="G54" s="12" t="n">
        <f aca="false">G16+G17+G18-G29-G30-G32</f>
        <v>8291.55160273973</v>
      </c>
      <c r="H54" s="12" t="n">
        <f aca="false">H16+H17+H18-H29-H30-H32</f>
        <v>10229.33672</v>
      </c>
      <c r="I54" s="12" t="n">
        <f aca="false">I16+I17+I18-I29-I30-I32</f>
        <v>11794.1325858616</v>
      </c>
      <c r="J54" s="12" t="n">
        <f aca="false">J16+J17+J18-J29-J30-J32</f>
        <v>13156.9229711392</v>
      </c>
      <c r="K54" s="12" t="n">
        <f aca="false">K16+K17+K18-K29-K30-K32</f>
        <v>13982.931874145</v>
      </c>
    </row>
    <row r="55" customFormat="false" ht="15" hidden="false" customHeight="true" outlineLevel="0" collapsed="false">
      <c r="A55" s="3" t="s">
        <v>257</v>
      </c>
      <c r="C55" s="32" t="n">
        <f aca="false">C52/C47</f>
        <v>0.0450593607305936</v>
      </c>
      <c r="D55" s="32" t="n">
        <f aca="false">D52/D47</f>
        <v>0.0441565877048594</v>
      </c>
      <c r="E55" s="32" t="n">
        <f aca="false">E52/E47</f>
        <v>0.0298950806003335</v>
      </c>
      <c r="F55" s="32" t="n">
        <f aca="false">F52/F47</f>
        <v>0.0511436689471261</v>
      </c>
      <c r="G55" s="33" t="n">
        <f aca="false">G52/G47</f>
        <v>0.0478022352352201</v>
      </c>
      <c r="H55" s="33" t="n">
        <f aca="false">H52/H47</f>
        <v>0.0422490592548921</v>
      </c>
      <c r="I55" s="33" t="n">
        <f aca="false">I52/I47</f>
        <v>0.0363746989858722</v>
      </c>
      <c r="J55" s="33" t="n">
        <f aca="false">J52/J47</f>
        <v>0.0309968733948302</v>
      </c>
      <c r="K55" s="33" t="n">
        <f aca="false">K52/K47</f>
        <v>0.0264618125758195</v>
      </c>
    </row>
    <row r="56" customFormat="false" ht="15" hidden="false" customHeight="true" outlineLevel="0" collapsed="false">
      <c r="A56" s="3" t="s">
        <v>258</v>
      </c>
      <c r="C56" s="32" t="n">
        <f aca="false">C19/C33</f>
        <v>2.3581409954467</v>
      </c>
      <c r="D56" s="32" t="n">
        <f aca="false">D19/D33</f>
        <v>2.50680221258783</v>
      </c>
      <c r="E56" s="32" t="n">
        <f aca="false">E19/E33</f>
        <v>2.61626150254086</v>
      </c>
      <c r="F56" s="32" t="n">
        <f aca="false">F19/F33</f>
        <v>2.85002644103649</v>
      </c>
      <c r="G56" s="33" t="n">
        <f aca="false">G19/G33</f>
        <v>2.50564029864185</v>
      </c>
      <c r="H56" s="33" t="n">
        <f aca="false">H19/H33</f>
        <v>2.52868337313594</v>
      </c>
      <c r="I56" s="33" t="n">
        <f aca="false">I19/I33</f>
        <v>2.73673800393682</v>
      </c>
      <c r="J56" s="33" t="n">
        <f aca="false">J19/J33</f>
        <v>3.0514601811831</v>
      </c>
      <c r="K56" s="33" t="n">
        <f aca="false">K19/K33</f>
        <v>3.42099279171238</v>
      </c>
    </row>
    <row r="57" customFormat="false" ht="15" hidden="false" customHeight="true" outlineLevel="0" collapsed="false">
      <c r="A57" s="3" t="s">
        <v>259</v>
      </c>
      <c r="C57" s="26" t="n">
        <f aca="false">'Income Statement'!C32*(1-0.15)/(C47+C52-C14-C15)</f>
        <v>0.0209181885440598</v>
      </c>
      <c r="D57" s="26" t="n">
        <f aca="false">'Income Statement'!D32*(1-0.15)/(D47+D52-D14-D15)</f>
        <v>0.00648163994903683</v>
      </c>
      <c r="E57" s="26" t="n">
        <f aca="false">'Income Statement'!E32*(1-0.15)/(E47+E52-E14-E15)</f>
        <v>0.0298207064645383</v>
      </c>
      <c r="F57" s="26" t="n">
        <f aca="false">'Income Statement'!F32*(1-0.15)/(F47+F52-F14-F15)</f>
        <v>0.0564030250229032</v>
      </c>
      <c r="G57" s="14" t="n">
        <f aca="false">'Income Statement'!G32*(1-0.15)/(G47+G52-G14-G15)</f>
        <v>0.123979948447538</v>
      </c>
      <c r="H57" s="14" t="n">
        <f aca="false">'Income Statement'!H32*(1-0.15)/(H47+H52-H14-H15)</f>
        <v>0.225799664403876</v>
      </c>
      <c r="I57" s="14" t="n">
        <f aca="false">'Income Statement'!I32*(1-0.15)/(I47+I52-I14-I15)</f>
        <v>0.317884796369848</v>
      </c>
      <c r="J57" s="14" t="n">
        <f aca="false">'Income Statement'!J32*(1-0.15)/(J47+J52-J14-J15)</f>
        <v>0.39239863425245</v>
      </c>
      <c r="K57" s="14" t="n">
        <f aca="false">'Income Statement'!K32*(1-0.15)/(K47+K52-K14-K15)</f>
        <v>0.442084910739481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6"/>
    <col collapsed="false" customWidth="true" hidden="false" outlineLevel="0" max="11" min="3" style="1" width="11"/>
  </cols>
  <sheetData>
    <row r="1" customFormat="false" ht="17.25" hidden="false" customHeight="true" outlineLevel="0" collapsed="false">
      <c r="A1" s="2" t="s">
        <v>260</v>
      </c>
    </row>
    <row r="2" customFormat="false" ht="15" hidden="false" customHeight="true" outlineLevel="0" collapsed="false">
      <c r="A2" s="5" t="s">
        <v>261</v>
      </c>
    </row>
    <row r="3" customFormat="false" ht="15" hidden="false" customHeight="true" outlineLevel="0" collapsed="false">
      <c r="A3" s="4" t="s">
        <v>262</v>
      </c>
      <c r="C3" s="34" t="n">
        <v>2</v>
      </c>
      <c r="D3" s="4" t="str">
        <f aca="false">CHOOSE($C$3,"Bull","Base","Bear")</f>
        <v>Base</v>
      </c>
    </row>
    <row r="4" customFormat="false" ht="15" hidden="false" customHeight="true" outlineLevel="0" collapsed="false">
      <c r="A4" s="6" t="s">
        <v>263</v>
      </c>
      <c r="B4" s="6"/>
      <c r="C4" s="7"/>
      <c r="D4" s="7"/>
      <c r="E4" s="7"/>
      <c r="F4" s="7"/>
      <c r="G4" s="7" t="s">
        <v>29</v>
      </c>
      <c r="H4" s="1" t="s">
        <v>30</v>
      </c>
      <c r="I4" s="1" t="s">
        <v>31</v>
      </c>
      <c r="J4" s="1" t="s">
        <v>32</v>
      </c>
      <c r="K4" s="1" t="s">
        <v>33</v>
      </c>
    </row>
    <row r="5" customFormat="false" ht="15" hidden="false" customHeight="true" outlineLevel="0" collapsed="false">
      <c r="A5" s="8" t="s">
        <v>264</v>
      </c>
      <c r="B5" s="9"/>
      <c r="C5" s="9"/>
      <c r="D5" s="9"/>
      <c r="E5" s="9"/>
      <c r="F5" s="9"/>
      <c r="G5" s="9"/>
      <c r="H5" s="9"/>
      <c r="I5" s="9"/>
      <c r="J5" s="9"/>
      <c r="K5" s="9"/>
    </row>
    <row r="6" customFormat="false" ht="15" hidden="false" customHeight="true" outlineLevel="0" collapsed="false">
      <c r="A6" s="3" t="s">
        <v>265</v>
      </c>
      <c r="G6" s="21" t="n">
        <v>0.45</v>
      </c>
      <c r="H6" s="21" t="n">
        <v>0.3</v>
      </c>
      <c r="I6" s="21" t="n">
        <v>0.2</v>
      </c>
      <c r="J6" s="21" t="n">
        <v>0.15</v>
      </c>
      <c r="K6" s="21" t="n">
        <v>0.12</v>
      </c>
    </row>
    <row r="7" customFormat="false" ht="15" hidden="false" customHeight="true" outlineLevel="0" collapsed="false">
      <c r="A7" s="3" t="s">
        <v>266</v>
      </c>
      <c r="G7" s="21" t="n">
        <v>0.4</v>
      </c>
      <c r="H7" s="21" t="n">
        <v>0.25</v>
      </c>
      <c r="I7" s="21" t="n">
        <v>0.15</v>
      </c>
      <c r="J7" s="21" t="n">
        <v>0.12</v>
      </c>
      <c r="K7" s="21" t="n">
        <v>0.1</v>
      </c>
    </row>
    <row r="8" customFormat="false" ht="15" hidden="false" customHeight="true" outlineLevel="0" collapsed="false">
      <c r="A8" s="3" t="s">
        <v>267</v>
      </c>
      <c r="G8" s="21" t="n">
        <v>0.35</v>
      </c>
      <c r="H8" s="21" t="n">
        <v>0.12</v>
      </c>
      <c r="I8" s="21" t="n">
        <v>0.06</v>
      </c>
      <c r="J8" s="21" t="n">
        <v>0.05</v>
      </c>
      <c r="K8" s="21" t="n">
        <v>0.04</v>
      </c>
    </row>
    <row r="9" customFormat="false" ht="15" hidden="false" customHeight="true" outlineLevel="0" collapsed="false">
      <c r="A9" s="4" t="s">
        <v>268</v>
      </c>
      <c r="G9" s="22" t="n">
        <f aca="false">CHOOSE($C$3,G6,G7,G8)</f>
        <v>0.4</v>
      </c>
      <c r="H9" s="22" t="n">
        <f aca="false">CHOOSE($C$3,H6,H7,H8)</f>
        <v>0.25</v>
      </c>
      <c r="I9" s="22" t="n">
        <f aca="false">CHOOSE($C$3,I6,I7,I8)</f>
        <v>0.15</v>
      </c>
      <c r="J9" s="22" t="n">
        <f aca="false">CHOOSE($C$3,J6,J7,J8)</f>
        <v>0.12</v>
      </c>
      <c r="K9" s="22" t="n">
        <f aca="false">CHOOSE($C$3,K6,K7,K8)</f>
        <v>0.1</v>
      </c>
    </row>
    <row r="11" customFormat="false" ht="15" hidden="false" customHeight="true" outlineLevel="0" collapsed="false">
      <c r="A11" s="8" t="s">
        <v>269</v>
      </c>
      <c r="B11" s="9"/>
      <c r="C11" s="9"/>
      <c r="D11" s="9"/>
      <c r="E11" s="9"/>
      <c r="F11" s="9"/>
      <c r="G11" s="9"/>
      <c r="H11" s="9"/>
      <c r="I11" s="9"/>
      <c r="J11" s="9"/>
      <c r="K11" s="9"/>
    </row>
    <row r="12" customFormat="false" ht="15" hidden="false" customHeight="true" outlineLevel="0" collapsed="false">
      <c r="A12" s="3" t="s">
        <v>265</v>
      </c>
      <c r="G12" s="21" t="n">
        <v>1.55</v>
      </c>
      <c r="H12" s="21" t="n">
        <v>1.2</v>
      </c>
      <c r="I12" s="21" t="n">
        <v>0.6</v>
      </c>
      <c r="J12" s="21" t="n">
        <v>0.35</v>
      </c>
      <c r="K12" s="21" t="n">
        <v>0.2</v>
      </c>
    </row>
    <row r="13" customFormat="false" ht="15" hidden="false" customHeight="true" outlineLevel="0" collapsed="false">
      <c r="A13" s="3" t="s">
        <v>266</v>
      </c>
      <c r="G13" s="21" t="n">
        <v>1.4</v>
      </c>
      <c r="H13" s="21" t="n">
        <v>0.9</v>
      </c>
      <c r="I13" s="21" t="n">
        <v>0.45</v>
      </c>
      <c r="J13" s="21" t="n">
        <v>0.25</v>
      </c>
      <c r="K13" s="21" t="n">
        <v>0.15</v>
      </c>
    </row>
    <row r="14" customFormat="false" ht="15" hidden="false" customHeight="true" outlineLevel="0" collapsed="false">
      <c r="A14" s="3" t="s">
        <v>267</v>
      </c>
      <c r="G14" s="21" t="n">
        <v>1.25</v>
      </c>
      <c r="H14" s="21" t="n">
        <v>0.4</v>
      </c>
      <c r="I14" s="21" t="n">
        <v>0.15</v>
      </c>
      <c r="J14" s="21" t="n">
        <v>0.08</v>
      </c>
      <c r="K14" s="21" t="n">
        <v>0.05</v>
      </c>
    </row>
    <row r="15" customFormat="false" ht="15" hidden="false" customHeight="true" outlineLevel="0" collapsed="false">
      <c r="A15" s="4" t="s">
        <v>268</v>
      </c>
      <c r="G15" s="22" t="n">
        <f aca="false">CHOOSE($C$3,G12,G13,G14)</f>
        <v>1.4</v>
      </c>
      <c r="H15" s="22" t="n">
        <f aca="false">CHOOSE($C$3,H12,H13,H14)</f>
        <v>0.9</v>
      </c>
      <c r="I15" s="22" t="n">
        <f aca="false">CHOOSE($C$3,I12,I13,I14)</f>
        <v>0.45</v>
      </c>
      <c r="J15" s="22" t="n">
        <f aca="false">CHOOSE($C$3,J12,J13,J14)</f>
        <v>0.25</v>
      </c>
      <c r="K15" s="22" t="n">
        <f aca="false">CHOOSE($C$3,K12,K13,K14)</f>
        <v>0.15</v>
      </c>
    </row>
    <row r="17" customFormat="false" ht="15" hidden="false" customHeight="true" outlineLevel="0" collapsed="false">
      <c r="A17" s="8" t="s">
        <v>270</v>
      </c>
      <c r="B17" s="9"/>
      <c r="C17" s="9"/>
      <c r="D17" s="9"/>
      <c r="E17" s="9"/>
      <c r="F17" s="9"/>
      <c r="G17" s="9"/>
      <c r="H17" s="9"/>
      <c r="I17" s="9"/>
      <c r="J17" s="9"/>
      <c r="K17" s="9"/>
    </row>
    <row r="18" customFormat="false" ht="15" hidden="false" customHeight="true" outlineLevel="0" collapsed="false">
      <c r="A18" s="3" t="s">
        <v>265</v>
      </c>
      <c r="G18" s="21" t="n">
        <v>1.75</v>
      </c>
      <c r="H18" s="21" t="n">
        <v>1.2</v>
      </c>
      <c r="I18" s="21" t="n">
        <v>0.7</v>
      </c>
      <c r="J18" s="21" t="n">
        <v>0.4</v>
      </c>
      <c r="K18" s="21" t="n">
        <v>0.25</v>
      </c>
    </row>
    <row r="19" customFormat="false" ht="15" hidden="false" customHeight="true" outlineLevel="0" collapsed="false">
      <c r="A19" s="3" t="s">
        <v>266</v>
      </c>
      <c r="G19" s="21" t="n">
        <v>1.5</v>
      </c>
      <c r="H19" s="21" t="n">
        <v>1</v>
      </c>
      <c r="I19" s="21" t="n">
        <v>0.5</v>
      </c>
      <c r="J19" s="21" t="n">
        <v>0.3</v>
      </c>
      <c r="K19" s="21" t="n">
        <v>0.2</v>
      </c>
    </row>
    <row r="20" customFormat="false" ht="15" hidden="false" customHeight="true" outlineLevel="0" collapsed="false">
      <c r="A20" s="3" t="s">
        <v>267</v>
      </c>
      <c r="G20" s="21" t="n">
        <v>1</v>
      </c>
      <c r="H20" s="21" t="n">
        <v>0.5</v>
      </c>
      <c r="I20" s="21" t="n">
        <v>0.2</v>
      </c>
      <c r="J20" s="21" t="n">
        <v>0.1</v>
      </c>
      <c r="K20" s="21" t="n">
        <v>0.05</v>
      </c>
    </row>
    <row r="21" customFormat="false" ht="15" hidden="false" customHeight="true" outlineLevel="0" collapsed="false">
      <c r="A21" s="4" t="s">
        <v>268</v>
      </c>
      <c r="G21" s="22" t="n">
        <f aca="false">CHOOSE($C$3,G18,G19,G20)</f>
        <v>1.5</v>
      </c>
      <c r="H21" s="22" t="n">
        <f aca="false">CHOOSE($C$3,H18,H19,H20)</f>
        <v>1</v>
      </c>
      <c r="I21" s="22" t="n">
        <f aca="false">CHOOSE($C$3,I18,I19,I20)</f>
        <v>0.5</v>
      </c>
      <c r="J21" s="22" t="n">
        <f aca="false">CHOOSE($C$3,J18,J19,J20)</f>
        <v>0.3</v>
      </c>
      <c r="K21" s="22" t="n">
        <f aca="false">CHOOSE($C$3,K18,K19,K20)</f>
        <v>0.2</v>
      </c>
    </row>
    <row r="23" customFormat="false" ht="15" hidden="false" customHeight="true" outlineLevel="0" collapsed="false">
      <c r="A23" s="8" t="s">
        <v>271</v>
      </c>
      <c r="B23" s="9"/>
      <c r="C23" s="9"/>
      <c r="D23" s="9"/>
      <c r="E23" s="9"/>
      <c r="F23" s="9"/>
      <c r="G23" s="9"/>
      <c r="H23" s="9"/>
      <c r="I23" s="9"/>
      <c r="J23" s="9"/>
      <c r="K23" s="9"/>
    </row>
    <row r="24" customFormat="false" ht="15" hidden="false" customHeight="true" outlineLevel="0" collapsed="false">
      <c r="A24" s="3" t="s">
        <v>265</v>
      </c>
      <c r="G24" s="21" t="n">
        <v>0.17</v>
      </c>
      <c r="H24" s="21" t="n">
        <v>0.1</v>
      </c>
      <c r="I24" s="21" t="n">
        <v>0.08</v>
      </c>
      <c r="J24" s="21" t="n">
        <v>0.07</v>
      </c>
      <c r="K24" s="21" t="n">
        <v>0.06</v>
      </c>
    </row>
    <row r="25" customFormat="false" ht="15" hidden="false" customHeight="true" outlineLevel="0" collapsed="false">
      <c r="A25" s="3" t="s">
        <v>266</v>
      </c>
      <c r="G25" s="21" t="n">
        <v>0.15</v>
      </c>
      <c r="H25" s="21" t="n">
        <v>0.06</v>
      </c>
      <c r="I25" s="21" t="n">
        <v>0.05</v>
      </c>
      <c r="J25" s="21" t="n">
        <v>0.05</v>
      </c>
      <c r="K25" s="21" t="n">
        <v>0.04</v>
      </c>
    </row>
    <row r="26" customFormat="false" ht="15" hidden="false" customHeight="true" outlineLevel="0" collapsed="false">
      <c r="A26" s="3" t="s">
        <v>267</v>
      </c>
      <c r="G26" s="21" t="n">
        <v>0.12</v>
      </c>
      <c r="H26" s="21" t="n">
        <v>-0.02</v>
      </c>
      <c r="I26" s="21" t="n">
        <v>0.02</v>
      </c>
      <c r="J26" s="21" t="n">
        <v>0.03</v>
      </c>
      <c r="K26" s="21" t="n">
        <v>0.03</v>
      </c>
    </row>
    <row r="27" customFormat="false" ht="15" hidden="false" customHeight="true" outlineLevel="0" collapsed="false">
      <c r="A27" s="4" t="s">
        <v>268</v>
      </c>
      <c r="G27" s="22" t="n">
        <f aca="false">CHOOSE($C$3,G24,G25,G26)</f>
        <v>0.15</v>
      </c>
      <c r="H27" s="22" t="n">
        <f aca="false">CHOOSE($C$3,H24,H25,H26)</f>
        <v>0.06</v>
      </c>
      <c r="I27" s="22" t="n">
        <f aca="false">CHOOSE($C$3,I24,I25,I26)</f>
        <v>0.05</v>
      </c>
      <c r="J27" s="22" t="n">
        <f aca="false">CHOOSE($C$3,J24,J25,J26)</f>
        <v>0.05</v>
      </c>
      <c r="K27" s="22" t="n">
        <f aca="false">CHOOSE($C$3,K24,K25,K26)</f>
        <v>0.04</v>
      </c>
    </row>
    <row r="29" customFormat="false" ht="15" hidden="false" customHeight="true" outlineLevel="0" collapsed="false">
      <c r="A29" s="8" t="s">
        <v>272</v>
      </c>
      <c r="B29" s="9"/>
      <c r="C29" s="9"/>
      <c r="D29" s="9"/>
      <c r="E29" s="9"/>
      <c r="F29" s="9"/>
      <c r="G29" s="9"/>
      <c r="H29" s="9"/>
      <c r="I29" s="9"/>
      <c r="J29" s="9"/>
      <c r="K29" s="9"/>
    </row>
    <row r="30" customFormat="false" ht="15" hidden="false" customHeight="true" outlineLevel="0" collapsed="false">
      <c r="A30" s="3" t="s">
        <v>265</v>
      </c>
      <c r="G30" s="21" t="n">
        <v>0.17</v>
      </c>
      <c r="H30" s="21" t="n">
        <v>0.1</v>
      </c>
      <c r="I30" s="21" t="n">
        <v>0.08</v>
      </c>
      <c r="J30" s="21" t="n">
        <v>0.07</v>
      </c>
      <c r="K30" s="21" t="n">
        <v>0.06</v>
      </c>
    </row>
    <row r="31" customFormat="false" ht="15" hidden="false" customHeight="true" outlineLevel="0" collapsed="false">
      <c r="A31" s="3" t="s">
        <v>266</v>
      </c>
      <c r="G31" s="21" t="n">
        <v>0.15</v>
      </c>
      <c r="H31" s="21" t="n">
        <v>0.06</v>
      </c>
      <c r="I31" s="21" t="n">
        <v>0.05</v>
      </c>
      <c r="J31" s="21" t="n">
        <v>0.05</v>
      </c>
      <c r="K31" s="21" t="n">
        <v>0.04</v>
      </c>
    </row>
    <row r="32" customFormat="false" ht="15" hidden="false" customHeight="true" outlineLevel="0" collapsed="false">
      <c r="A32" s="3" t="s">
        <v>267</v>
      </c>
      <c r="G32" s="21" t="n">
        <v>0.12</v>
      </c>
      <c r="H32" s="21" t="n">
        <v>-0.02</v>
      </c>
      <c r="I32" s="21" t="n">
        <v>0.02</v>
      </c>
      <c r="J32" s="21" t="n">
        <v>0.03</v>
      </c>
      <c r="K32" s="21" t="n">
        <v>0.03</v>
      </c>
    </row>
    <row r="33" customFormat="false" ht="15" hidden="false" customHeight="true" outlineLevel="0" collapsed="false">
      <c r="A33" s="4" t="s">
        <v>268</v>
      </c>
      <c r="G33" s="22" t="n">
        <f aca="false">CHOOSE($C$3,G30,G31,G32)</f>
        <v>0.15</v>
      </c>
      <c r="H33" s="22" t="n">
        <f aca="false">CHOOSE($C$3,H30,H31,H32)</f>
        <v>0.06</v>
      </c>
      <c r="I33" s="22" t="n">
        <f aca="false">CHOOSE($C$3,I30,I31,I32)</f>
        <v>0.05</v>
      </c>
      <c r="J33" s="22" t="n">
        <f aca="false">CHOOSE($C$3,J30,J31,J32)</f>
        <v>0.05</v>
      </c>
      <c r="K33" s="22" t="n">
        <f aca="false">CHOOSE($C$3,K30,K31,K32)</f>
        <v>0.04</v>
      </c>
    </row>
    <row r="35" customFormat="false" ht="15" hidden="false" customHeight="true" outlineLevel="0" collapsed="false">
      <c r="A35" s="8" t="s">
        <v>273</v>
      </c>
      <c r="B35" s="9"/>
      <c r="C35" s="9"/>
      <c r="D35" s="9"/>
      <c r="E35" s="9"/>
      <c r="F35" s="9"/>
      <c r="G35" s="9"/>
      <c r="H35" s="9"/>
      <c r="I35" s="9"/>
      <c r="J35" s="9"/>
      <c r="K35" s="9"/>
    </row>
    <row r="36" customFormat="false" ht="15" hidden="false" customHeight="true" outlineLevel="0" collapsed="false">
      <c r="A36" s="3" t="s">
        <v>265</v>
      </c>
      <c r="G36" s="21" t="n">
        <v>-0.28</v>
      </c>
      <c r="H36" s="21" t="n">
        <v>0.1</v>
      </c>
      <c r="I36" s="21" t="n">
        <v>0.25</v>
      </c>
      <c r="J36" s="21" t="n">
        <v>0.12</v>
      </c>
      <c r="K36" s="21" t="n">
        <v>0</v>
      </c>
    </row>
    <row r="37" customFormat="false" ht="15" hidden="false" customHeight="true" outlineLevel="0" collapsed="false">
      <c r="A37" s="3" t="s">
        <v>266</v>
      </c>
      <c r="G37" s="21" t="n">
        <v>-0.3</v>
      </c>
      <c r="H37" s="21" t="n">
        <v>0</v>
      </c>
      <c r="I37" s="21" t="n">
        <v>0.2</v>
      </c>
      <c r="J37" s="21" t="n">
        <v>0.1</v>
      </c>
      <c r="K37" s="21" t="n">
        <v>-0.05</v>
      </c>
    </row>
    <row r="38" customFormat="false" ht="15" hidden="false" customHeight="true" outlineLevel="0" collapsed="false">
      <c r="A38" s="3" t="s">
        <v>267</v>
      </c>
      <c r="G38" s="21" t="n">
        <v>-0.32</v>
      </c>
      <c r="H38" s="21" t="n">
        <v>-0.1</v>
      </c>
      <c r="I38" s="21" t="n">
        <v>0.05</v>
      </c>
      <c r="J38" s="21" t="n">
        <v>0.05</v>
      </c>
      <c r="K38" s="21" t="n">
        <v>-0.1</v>
      </c>
    </row>
    <row r="39" customFormat="false" ht="15" hidden="false" customHeight="true" outlineLevel="0" collapsed="false">
      <c r="A39" s="4" t="s">
        <v>268</v>
      </c>
      <c r="G39" s="22" t="n">
        <f aca="false">CHOOSE($C$3,G36,G37,G38)</f>
        <v>-0.3</v>
      </c>
      <c r="H39" s="22" t="n">
        <f aca="false">CHOOSE($C$3,H36,H37,H38)</f>
        <v>0</v>
      </c>
      <c r="I39" s="22" t="n">
        <f aca="false">CHOOSE($C$3,I36,I37,I38)</f>
        <v>0.2</v>
      </c>
      <c r="J39" s="22" t="n">
        <f aca="false">CHOOSE($C$3,J36,J37,J38)</f>
        <v>0.1</v>
      </c>
      <c r="K39" s="22" t="n">
        <f aca="false">CHOOSE($C$3,K36,K37,K38)</f>
        <v>-0.05</v>
      </c>
    </row>
    <row r="41" customFormat="false" ht="15" hidden="false" customHeight="true" outlineLevel="0" collapsed="false">
      <c r="A41" s="8" t="s">
        <v>274</v>
      </c>
      <c r="B41" s="9"/>
      <c r="C41" s="9"/>
      <c r="D41" s="9"/>
      <c r="E41" s="9"/>
      <c r="F41" s="9"/>
      <c r="G41" s="9"/>
      <c r="H41" s="9"/>
      <c r="I41" s="9"/>
      <c r="J41" s="9"/>
      <c r="K41" s="9"/>
    </row>
    <row r="42" customFormat="false" ht="15" hidden="false" customHeight="true" outlineLevel="0" collapsed="false">
      <c r="A42" s="3" t="s">
        <v>265</v>
      </c>
      <c r="G42" s="21" t="n">
        <v>-0.06</v>
      </c>
      <c r="H42" s="21" t="n">
        <v>0.1</v>
      </c>
      <c r="I42" s="21" t="n">
        <v>0.08</v>
      </c>
      <c r="J42" s="21" t="n">
        <v>0.06</v>
      </c>
      <c r="K42" s="21" t="n">
        <v>0.05</v>
      </c>
    </row>
    <row r="43" customFormat="false" ht="15" hidden="false" customHeight="true" outlineLevel="0" collapsed="false">
      <c r="A43" s="3" t="s">
        <v>266</v>
      </c>
      <c r="G43" s="21" t="n">
        <v>-0.08</v>
      </c>
      <c r="H43" s="21" t="n">
        <v>0.05</v>
      </c>
      <c r="I43" s="21" t="n">
        <v>0.04</v>
      </c>
      <c r="J43" s="21" t="n">
        <v>0.03</v>
      </c>
      <c r="K43" s="21" t="n">
        <v>0.03</v>
      </c>
    </row>
    <row r="44" customFormat="false" ht="15" hidden="false" customHeight="true" outlineLevel="0" collapsed="false">
      <c r="A44" s="3" t="s">
        <v>267</v>
      </c>
      <c r="G44" s="21" t="n">
        <v>-0.12</v>
      </c>
      <c r="H44" s="21" t="n">
        <v>0</v>
      </c>
      <c r="I44" s="21" t="n">
        <v>0</v>
      </c>
      <c r="J44" s="21" t="n">
        <v>0.02</v>
      </c>
      <c r="K44" s="21" t="n">
        <v>0.02</v>
      </c>
    </row>
    <row r="45" customFormat="false" ht="15" hidden="false" customHeight="true" outlineLevel="0" collapsed="false">
      <c r="A45" s="4" t="s">
        <v>268</v>
      </c>
      <c r="G45" s="22" t="n">
        <f aca="false">CHOOSE($C$3,G42,G43,G44)</f>
        <v>-0.08</v>
      </c>
      <c r="H45" s="22" t="n">
        <f aca="false">CHOOSE($C$3,H42,H43,H44)</f>
        <v>0.05</v>
      </c>
      <c r="I45" s="22" t="n">
        <f aca="false">CHOOSE($C$3,I42,I43,I44)</f>
        <v>0.04</v>
      </c>
      <c r="J45" s="22" t="n">
        <f aca="false">CHOOSE($C$3,J42,J43,J44)</f>
        <v>0.03</v>
      </c>
      <c r="K45" s="22" t="n">
        <f aca="false">CHOOSE($C$3,K42,K43,K44)</f>
        <v>0.03</v>
      </c>
    </row>
    <row r="47" customFormat="false" ht="15" hidden="false" customHeight="true" outlineLevel="0" collapsed="false">
      <c r="A47" s="8" t="s">
        <v>275</v>
      </c>
      <c r="B47" s="9"/>
      <c r="C47" s="9"/>
      <c r="D47" s="9"/>
      <c r="E47" s="9"/>
      <c r="F47" s="9"/>
      <c r="G47" s="9"/>
      <c r="H47" s="9"/>
      <c r="I47" s="9"/>
      <c r="J47" s="9"/>
      <c r="K47" s="9"/>
    </row>
    <row r="48" customFormat="false" ht="15" hidden="false" customHeight="true" outlineLevel="0" collapsed="false">
      <c r="A48" s="3" t="s">
        <v>265</v>
      </c>
      <c r="G48" s="21" t="n">
        <v>0.17</v>
      </c>
      <c r="H48" s="21" t="n">
        <v>0.13</v>
      </c>
      <c r="I48" s="21" t="n">
        <v>0.1</v>
      </c>
      <c r="J48" s="21" t="n">
        <v>0.09</v>
      </c>
      <c r="K48" s="21" t="n">
        <v>0.08</v>
      </c>
    </row>
    <row r="49" customFormat="false" ht="15" hidden="false" customHeight="true" outlineLevel="0" collapsed="false">
      <c r="A49" s="3" t="s">
        <v>266</v>
      </c>
      <c r="G49" s="21" t="n">
        <v>0.15</v>
      </c>
      <c r="H49" s="21" t="n">
        <v>0.1</v>
      </c>
      <c r="I49" s="21" t="n">
        <v>0.08</v>
      </c>
      <c r="J49" s="21" t="n">
        <v>0.07</v>
      </c>
      <c r="K49" s="21" t="n">
        <v>0.06</v>
      </c>
    </row>
    <row r="50" customFormat="false" ht="15" hidden="false" customHeight="true" outlineLevel="0" collapsed="false">
      <c r="A50" s="3" t="s">
        <v>267</v>
      </c>
      <c r="G50" s="21" t="n">
        <v>0.12</v>
      </c>
      <c r="H50" s="21" t="n">
        <v>0.05</v>
      </c>
      <c r="I50" s="21" t="n">
        <v>0.04</v>
      </c>
      <c r="J50" s="21" t="n">
        <v>0.04</v>
      </c>
      <c r="K50" s="21" t="n">
        <v>0.04</v>
      </c>
    </row>
    <row r="51" customFormat="false" ht="15" hidden="false" customHeight="true" outlineLevel="0" collapsed="false">
      <c r="A51" s="4" t="s">
        <v>268</v>
      </c>
      <c r="G51" s="22" t="n">
        <f aca="false">CHOOSE($C$3,G48,G49,G50)</f>
        <v>0.15</v>
      </c>
      <c r="H51" s="22" t="n">
        <f aca="false">CHOOSE($C$3,H48,H49,H50)</f>
        <v>0.1</v>
      </c>
      <c r="I51" s="22" t="n">
        <f aca="false">CHOOSE($C$3,I48,I49,I50)</f>
        <v>0.08</v>
      </c>
      <c r="J51" s="22" t="n">
        <f aca="false">CHOOSE($C$3,J48,J49,J50)</f>
        <v>0.07</v>
      </c>
      <c r="K51" s="22" t="n">
        <f aca="false">CHOOSE($C$3,K48,K49,K50)</f>
        <v>0.06</v>
      </c>
    </row>
    <row r="53" customFormat="false" ht="15" hidden="false" customHeight="true" outlineLevel="0" collapsed="false">
      <c r="A53" s="8" t="s">
        <v>276</v>
      </c>
      <c r="B53" s="9"/>
      <c r="C53" s="9"/>
      <c r="D53" s="9"/>
      <c r="E53" s="9"/>
      <c r="F53" s="9"/>
      <c r="G53" s="9"/>
      <c r="H53" s="9"/>
      <c r="I53" s="9"/>
      <c r="J53" s="9"/>
      <c r="K53" s="9"/>
    </row>
    <row r="54" customFormat="false" ht="15" hidden="false" customHeight="true" outlineLevel="0" collapsed="false">
      <c r="A54" s="3" t="s">
        <v>265</v>
      </c>
      <c r="G54" s="21" t="n">
        <v>0.17</v>
      </c>
      <c r="H54" s="21" t="n">
        <v>0.13</v>
      </c>
      <c r="I54" s="21" t="n">
        <v>0.1</v>
      </c>
      <c r="J54" s="21" t="n">
        <v>0.09</v>
      </c>
      <c r="K54" s="21" t="n">
        <v>0.08</v>
      </c>
    </row>
    <row r="55" customFormat="false" ht="15" hidden="false" customHeight="true" outlineLevel="0" collapsed="false">
      <c r="A55" s="3" t="s">
        <v>266</v>
      </c>
      <c r="G55" s="21" t="n">
        <v>0.15</v>
      </c>
      <c r="H55" s="21" t="n">
        <v>0.1</v>
      </c>
      <c r="I55" s="21" t="n">
        <v>0.08</v>
      </c>
      <c r="J55" s="21" t="n">
        <v>0.07</v>
      </c>
      <c r="K55" s="21" t="n">
        <v>0.06</v>
      </c>
    </row>
    <row r="56" customFormat="false" ht="15" hidden="false" customHeight="true" outlineLevel="0" collapsed="false">
      <c r="A56" s="3" t="s">
        <v>267</v>
      </c>
      <c r="G56" s="21" t="n">
        <v>0.12</v>
      </c>
      <c r="H56" s="21" t="n">
        <v>0.05</v>
      </c>
      <c r="I56" s="21" t="n">
        <v>0.04</v>
      </c>
      <c r="J56" s="21" t="n">
        <v>0.04</v>
      </c>
      <c r="K56" s="21" t="n">
        <v>0.04</v>
      </c>
    </row>
    <row r="57" customFormat="false" ht="15" hidden="false" customHeight="true" outlineLevel="0" collapsed="false">
      <c r="A57" s="4" t="s">
        <v>268</v>
      </c>
      <c r="G57" s="22" t="n">
        <f aca="false">CHOOSE($C$3,G54,G55,G56)</f>
        <v>0.15</v>
      </c>
      <c r="H57" s="22" t="n">
        <f aca="false">CHOOSE($C$3,H54,H55,H56)</f>
        <v>0.1</v>
      </c>
      <c r="I57" s="22" t="n">
        <f aca="false">CHOOSE($C$3,I54,I55,I56)</f>
        <v>0.08</v>
      </c>
      <c r="J57" s="22" t="n">
        <f aca="false">CHOOSE($C$3,J54,J55,J56)</f>
        <v>0.07</v>
      </c>
      <c r="K57" s="22" t="n">
        <f aca="false">CHOOSE($C$3,K54,K55,K56)</f>
        <v>0.06</v>
      </c>
    </row>
    <row r="59" customFormat="false" ht="15" hidden="false" customHeight="true" outlineLevel="0" collapsed="false">
      <c r="A59" s="8" t="s">
        <v>277</v>
      </c>
      <c r="B59" s="9"/>
      <c r="C59" s="9"/>
      <c r="D59" s="9"/>
      <c r="E59" s="9"/>
      <c r="F59" s="9"/>
      <c r="G59" s="9"/>
      <c r="H59" s="9"/>
      <c r="I59" s="9"/>
      <c r="J59" s="9"/>
      <c r="K59" s="9"/>
    </row>
    <row r="60" customFormat="false" ht="15" hidden="false" customHeight="true" outlineLevel="0" collapsed="false">
      <c r="A60" s="3" t="s">
        <v>265</v>
      </c>
      <c r="G60" s="21" t="n">
        <v>0.45</v>
      </c>
      <c r="H60" s="21" t="n">
        <v>0.44</v>
      </c>
      <c r="I60" s="21" t="n">
        <v>0.43</v>
      </c>
      <c r="J60" s="21" t="n">
        <v>0.425</v>
      </c>
      <c r="K60" s="21" t="n">
        <v>0.425</v>
      </c>
    </row>
    <row r="61" customFormat="false" ht="15" hidden="false" customHeight="true" outlineLevel="0" collapsed="false">
      <c r="A61" s="3" t="s">
        <v>266</v>
      </c>
      <c r="G61" s="21" t="n">
        <v>0.455</v>
      </c>
      <c r="H61" s="21" t="n">
        <v>0.45</v>
      </c>
      <c r="I61" s="21" t="n">
        <v>0.445</v>
      </c>
      <c r="J61" s="21" t="n">
        <v>0.44</v>
      </c>
      <c r="K61" s="21" t="n">
        <v>0.44</v>
      </c>
    </row>
    <row r="62" customFormat="false" ht="15" hidden="false" customHeight="true" outlineLevel="0" collapsed="false">
      <c r="A62" s="3" t="s">
        <v>267</v>
      </c>
      <c r="G62" s="21" t="n">
        <v>0.465</v>
      </c>
      <c r="H62" s="21" t="n">
        <v>0.47</v>
      </c>
      <c r="I62" s="21" t="n">
        <v>0.475</v>
      </c>
      <c r="J62" s="21" t="n">
        <v>0.475</v>
      </c>
      <c r="K62" s="21" t="n">
        <v>0.475</v>
      </c>
    </row>
    <row r="63" customFormat="false" ht="15" hidden="false" customHeight="true" outlineLevel="0" collapsed="false">
      <c r="A63" s="4" t="s">
        <v>268</v>
      </c>
      <c r="G63" s="22" t="n">
        <f aca="false">CHOOSE($C$3,G60,G61,G62)</f>
        <v>0.455</v>
      </c>
      <c r="H63" s="22" t="n">
        <f aca="false">CHOOSE($C$3,H60,H61,H62)</f>
        <v>0.45</v>
      </c>
      <c r="I63" s="22" t="n">
        <f aca="false">CHOOSE($C$3,I60,I61,I62)</f>
        <v>0.445</v>
      </c>
      <c r="J63" s="22" t="n">
        <f aca="false">CHOOSE($C$3,J60,J61,J62)</f>
        <v>0.44</v>
      </c>
      <c r="K63" s="22" t="n">
        <f aca="false">CHOOSE($C$3,K60,K61,K62)</f>
        <v>0.44</v>
      </c>
    </row>
    <row r="65" customFormat="false" ht="15" hidden="false" customHeight="true" outlineLevel="0" collapsed="false">
      <c r="A65" s="8" t="s">
        <v>278</v>
      </c>
      <c r="B65" s="9"/>
      <c r="C65" s="9"/>
      <c r="D65" s="9"/>
      <c r="E65" s="9"/>
      <c r="F65" s="9"/>
      <c r="G65" s="9"/>
      <c r="H65" s="9"/>
      <c r="I65" s="9"/>
      <c r="J65" s="9"/>
      <c r="K65" s="9"/>
    </row>
    <row r="66" customFormat="false" ht="15" hidden="false" customHeight="true" outlineLevel="0" collapsed="false">
      <c r="A66" s="3" t="s">
        <v>265</v>
      </c>
      <c r="G66" s="21" t="n">
        <v>0.21</v>
      </c>
      <c r="H66" s="21" t="n">
        <v>0.17</v>
      </c>
      <c r="I66" s="21" t="n">
        <v>0.15</v>
      </c>
      <c r="J66" s="21" t="n">
        <v>0.14</v>
      </c>
      <c r="K66" s="21" t="n">
        <v>0.135</v>
      </c>
    </row>
    <row r="67" customFormat="false" ht="15" hidden="false" customHeight="true" outlineLevel="0" collapsed="false">
      <c r="A67" s="3" t="s">
        <v>266</v>
      </c>
      <c r="G67" s="21" t="n">
        <v>0.215</v>
      </c>
      <c r="H67" s="21" t="n">
        <v>0.185</v>
      </c>
      <c r="I67" s="21" t="n">
        <v>0.17</v>
      </c>
      <c r="J67" s="21" t="n">
        <v>0.16</v>
      </c>
      <c r="K67" s="21" t="n">
        <v>0.155</v>
      </c>
    </row>
    <row r="68" customFormat="false" ht="15" hidden="false" customHeight="true" outlineLevel="0" collapsed="false">
      <c r="A68" s="3" t="s">
        <v>267</v>
      </c>
      <c r="G68" s="21" t="n">
        <v>0.225</v>
      </c>
      <c r="H68" s="21" t="n">
        <v>0.21</v>
      </c>
      <c r="I68" s="21" t="n">
        <v>0.2</v>
      </c>
      <c r="J68" s="21" t="n">
        <v>0.195</v>
      </c>
      <c r="K68" s="21" t="n">
        <v>0.19</v>
      </c>
    </row>
    <row r="69" customFormat="false" ht="15" hidden="false" customHeight="true" outlineLevel="0" collapsed="false">
      <c r="A69" s="4" t="s">
        <v>268</v>
      </c>
      <c r="G69" s="22" t="n">
        <f aca="false">CHOOSE($C$3,G66,G67,G68)</f>
        <v>0.215</v>
      </c>
      <c r="H69" s="22" t="n">
        <f aca="false">CHOOSE($C$3,H66,H67,H68)</f>
        <v>0.185</v>
      </c>
      <c r="I69" s="22" t="n">
        <f aca="false">CHOOSE($C$3,I66,I67,I68)</f>
        <v>0.17</v>
      </c>
      <c r="J69" s="22" t="n">
        <f aca="false">CHOOSE($C$3,J66,J67,J68)</f>
        <v>0.16</v>
      </c>
      <c r="K69" s="22" t="n">
        <f aca="false">CHOOSE($C$3,K66,K67,K68)</f>
        <v>0.155</v>
      </c>
    </row>
    <row r="71" customFormat="false" ht="15" hidden="false" customHeight="true" outlineLevel="0" collapsed="false">
      <c r="A71" s="8" t="s">
        <v>279</v>
      </c>
      <c r="B71" s="9"/>
      <c r="C71" s="9"/>
      <c r="D71" s="9"/>
      <c r="E71" s="9"/>
      <c r="F71" s="9"/>
      <c r="G71" s="9"/>
      <c r="H71" s="9"/>
      <c r="I71" s="9"/>
      <c r="J71" s="9"/>
      <c r="K71" s="9"/>
    </row>
    <row r="72" customFormat="false" ht="15" hidden="false" customHeight="true" outlineLevel="0" collapsed="false">
      <c r="A72" s="3" t="s">
        <v>265</v>
      </c>
      <c r="G72" s="21" t="n">
        <v>0.112</v>
      </c>
      <c r="H72" s="21" t="n">
        <v>0.095</v>
      </c>
      <c r="I72" s="21" t="n">
        <v>0.085</v>
      </c>
      <c r="J72" s="21" t="n">
        <v>0.08</v>
      </c>
      <c r="K72" s="21" t="n">
        <v>0.075</v>
      </c>
    </row>
    <row r="73" customFormat="false" ht="15" hidden="false" customHeight="true" outlineLevel="0" collapsed="false">
      <c r="A73" s="3" t="s">
        <v>266</v>
      </c>
      <c r="G73" s="21" t="n">
        <v>0.115</v>
      </c>
      <c r="H73" s="21" t="n">
        <v>0.1</v>
      </c>
      <c r="I73" s="21" t="n">
        <v>0.09</v>
      </c>
      <c r="J73" s="21" t="n">
        <v>0.085</v>
      </c>
      <c r="K73" s="21" t="n">
        <v>0.08</v>
      </c>
    </row>
    <row r="74" customFormat="false" ht="15" hidden="false" customHeight="true" outlineLevel="0" collapsed="false">
      <c r="A74" s="3" t="s">
        <v>267</v>
      </c>
      <c r="G74" s="21" t="n">
        <v>0.12</v>
      </c>
      <c r="H74" s="21" t="n">
        <v>0.115</v>
      </c>
      <c r="I74" s="21" t="n">
        <v>0.11</v>
      </c>
      <c r="J74" s="21" t="n">
        <v>0.105</v>
      </c>
      <c r="K74" s="21" t="n">
        <v>0.105</v>
      </c>
    </row>
    <row r="75" customFormat="false" ht="15" hidden="false" customHeight="true" outlineLevel="0" collapsed="false">
      <c r="A75" s="4" t="s">
        <v>268</v>
      </c>
      <c r="G75" s="22" t="n">
        <f aca="false">CHOOSE($C$3,G72,G73,G74)</f>
        <v>0.115</v>
      </c>
      <c r="H75" s="22" t="n">
        <f aca="false">CHOOSE($C$3,H72,H73,H74)</f>
        <v>0.1</v>
      </c>
      <c r="I75" s="22" t="n">
        <f aca="false">CHOOSE($C$3,I72,I73,I74)</f>
        <v>0.09</v>
      </c>
      <c r="J75" s="22" t="n">
        <f aca="false">CHOOSE($C$3,J72,J73,J74)</f>
        <v>0.085</v>
      </c>
      <c r="K75" s="22" t="n">
        <f aca="false">CHOOSE($C$3,K72,K73,K74)</f>
        <v>0.08</v>
      </c>
    </row>
    <row r="77" customFormat="false" ht="15" hidden="false" customHeight="true" outlineLevel="0" collapsed="false">
      <c r="A77" s="8" t="s">
        <v>280</v>
      </c>
      <c r="B77" s="9"/>
      <c r="C77" s="9"/>
      <c r="D77" s="9"/>
      <c r="E77" s="9"/>
      <c r="F77" s="9"/>
      <c r="G77" s="9"/>
      <c r="H77" s="9"/>
      <c r="I77" s="9"/>
      <c r="J77" s="9"/>
      <c r="K77" s="9"/>
    </row>
    <row r="78" customFormat="false" ht="15" hidden="false" customHeight="true" outlineLevel="0" collapsed="false">
      <c r="A78" s="3" t="s">
        <v>265</v>
      </c>
      <c r="G78" s="21" t="n">
        <v>0.05</v>
      </c>
      <c r="H78" s="21" t="n">
        <v>0.045</v>
      </c>
      <c r="I78" s="21" t="n">
        <v>0.04</v>
      </c>
      <c r="J78" s="21" t="n">
        <v>0.035</v>
      </c>
      <c r="K78" s="21" t="n">
        <v>0.035</v>
      </c>
    </row>
    <row r="79" customFormat="false" ht="15" hidden="false" customHeight="true" outlineLevel="0" collapsed="false">
      <c r="A79" s="3" t="s">
        <v>266</v>
      </c>
      <c r="G79" s="21" t="n">
        <v>0.05</v>
      </c>
      <c r="H79" s="21" t="n">
        <v>0.045</v>
      </c>
      <c r="I79" s="21" t="n">
        <v>0.04</v>
      </c>
      <c r="J79" s="21" t="n">
        <v>0.035</v>
      </c>
      <c r="K79" s="21" t="n">
        <v>0.035</v>
      </c>
    </row>
    <row r="80" customFormat="false" ht="15" hidden="false" customHeight="true" outlineLevel="0" collapsed="false">
      <c r="A80" s="3" t="s">
        <v>267</v>
      </c>
      <c r="G80" s="21" t="n">
        <v>0.05</v>
      </c>
      <c r="H80" s="21" t="n">
        <v>0.045</v>
      </c>
      <c r="I80" s="21" t="n">
        <v>0.04</v>
      </c>
      <c r="J80" s="21" t="n">
        <v>0.04</v>
      </c>
      <c r="K80" s="21" t="n">
        <v>0.04</v>
      </c>
    </row>
    <row r="81" customFormat="false" ht="15" hidden="false" customHeight="true" outlineLevel="0" collapsed="false">
      <c r="A81" s="4" t="s">
        <v>268</v>
      </c>
      <c r="G81" s="22" t="n">
        <f aca="false">CHOOSE($C$3,G78,G79,G80)</f>
        <v>0.05</v>
      </c>
      <c r="H81" s="22" t="n">
        <f aca="false">CHOOSE($C$3,H78,H79,H80)</f>
        <v>0.045</v>
      </c>
      <c r="I81" s="22" t="n">
        <f aca="false">CHOOSE($C$3,I78,I79,I80)</f>
        <v>0.04</v>
      </c>
      <c r="J81" s="22" t="n">
        <f aca="false">CHOOSE($C$3,J78,J79,J80)</f>
        <v>0.035</v>
      </c>
      <c r="K81" s="22" t="n">
        <f aca="false">CHOOSE($C$3,K78,K79,K80)</f>
        <v>0.035</v>
      </c>
    </row>
    <row r="84" customFormat="false" ht="15" hidden="false" customHeight="true" outlineLevel="0" collapsed="false">
      <c r="A84" s="8" t="s">
        <v>281</v>
      </c>
      <c r="B84" s="9"/>
      <c r="C84" s="9"/>
      <c r="D84" s="9"/>
      <c r="E84" s="9"/>
      <c r="F84" s="9"/>
      <c r="G84" s="9"/>
      <c r="H84" s="9"/>
      <c r="I84" s="9"/>
      <c r="J84" s="9"/>
      <c r="K84" s="9"/>
    </row>
    <row r="85" customFormat="false" ht="15" hidden="false" customHeight="true" outlineLevel="0" collapsed="false">
      <c r="A85" s="35" t="s">
        <v>282</v>
      </c>
      <c r="B85" s="36"/>
      <c r="C85" s="35" t="s">
        <v>283</v>
      </c>
      <c r="D85" s="35" t="s">
        <v>284</v>
      </c>
      <c r="E85" s="35" t="s">
        <v>285</v>
      </c>
      <c r="F85" s="35" t="s">
        <v>286</v>
      </c>
    </row>
    <row r="86" customFormat="false" ht="15" hidden="false" customHeight="true" outlineLevel="0" collapsed="false">
      <c r="A86" s="3" t="s">
        <v>287</v>
      </c>
      <c r="C86" s="37" t="n">
        <v>51397.33</v>
      </c>
      <c r="D86" s="37" t="n">
        <v>49475.5</v>
      </c>
      <c r="E86" s="37" t="n">
        <v>47285.33</v>
      </c>
      <c r="F86" s="23" t="n">
        <f aca="false">'Revenue Model'!G47</f>
        <v>49475.5</v>
      </c>
    </row>
    <row r="87" customFormat="false" ht="15" hidden="false" customHeight="true" outlineLevel="0" collapsed="false">
      <c r="A87" s="3" t="s">
        <v>288</v>
      </c>
      <c r="C87" s="37" t="n">
        <v>157285.589018008</v>
      </c>
      <c r="D87" s="37" t="n">
        <v>114511.33349928</v>
      </c>
      <c r="E87" s="37" t="n">
        <v>65405.859494208</v>
      </c>
      <c r="F87" s="23" t="n">
        <f aca="false">'Revenue Model'!K47</f>
        <v>114511.33349928</v>
      </c>
    </row>
    <row r="88" customFormat="false" ht="15" hidden="false" customHeight="true" outlineLevel="0" collapsed="false">
      <c r="A88" s="3" t="s">
        <v>289</v>
      </c>
      <c r="C88" s="38" t="n">
        <v>0.353395466722765</v>
      </c>
      <c r="D88" s="38" t="n">
        <v>0.270154716594887</v>
      </c>
      <c r="E88" s="38" t="n">
        <v>0.135560460495829</v>
      </c>
      <c r="F88" s="26" t="n">
        <f aca="false">('Revenue Model'!K47/'Revenue Model'!F47)^(1/5)-1</f>
        <v>0.270154716594887</v>
      </c>
    </row>
    <row r="89" customFormat="false" ht="15" hidden="false" customHeight="true" outlineLevel="0" collapsed="false">
      <c r="A89" s="3" t="s">
        <v>290</v>
      </c>
      <c r="C89" s="37" t="n">
        <v>130079.27416</v>
      </c>
      <c r="D89" s="37" t="n">
        <v>90597.834</v>
      </c>
      <c r="E89" s="37" t="n">
        <v>45402.5547864</v>
      </c>
      <c r="F89" s="23" t="n">
        <f aca="false">'Revenue Model'!K12</f>
        <v>90597.834</v>
      </c>
    </row>
    <row r="90" customFormat="false" ht="15" hidden="false" customHeight="true" outlineLevel="0" collapsed="false">
      <c r="A90" s="3" t="s">
        <v>291</v>
      </c>
      <c r="C90" s="38" t="n">
        <v>0.571280650988737</v>
      </c>
      <c r="D90" s="38" t="n">
        <v>0.554891335362856</v>
      </c>
      <c r="E90" s="38" t="n">
        <v>0.516055847220358</v>
      </c>
      <c r="F90" s="26" t="n">
        <f aca="false">'Income Statement'!K19</f>
        <v>0.554891335362856</v>
      </c>
    </row>
    <row r="91" customFormat="false" ht="15" hidden="false" customHeight="true" outlineLevel="0" collapsed="false">
      <c r="A91" s="3" t="s">
        <v>292</v>
      </c>
      <c r="C91" s="38" t="n">
        <v>0.187141846473348</v>
      </c>
      <c r="D91" s="38" t="n">
        <v>0.172554749320371</v>
      </c>
      <c r="E91" s="38" t="n">
        <v>0.14558876294191</v>
      </c>
      <c r="F91" s="26" t="n">
        <f aca="false">'Income Statement'!G33</f>
        <v>0.172554749320371</v>
      </c>
    </row>
    <row r="92" customFormat="false" ht="15" hidden="false" customHeight="true" outlineLevel="0" collapsed="false">
      <c r="A92" s="3" t="s">
        <v>293</v>
      </c>
      <c r="C92" s="38" t="n">
        <v>0.356734779974972</v>
      </c>
      <c r="D92" s="38" t="n">
        <v>0.313647411917457</v>
      </c>
      <c r="E92" s="38" t="n">
        <v>0.210124104934129</v>
      </c>
      <c r="F92" s="26" t="n">
        <f aca="false">'Income Statement'!K33</f>
        <v>0.313647411917457</v>
      </c>
    </row>
    <row r="93" customFormat="false" ht="15" hidden="false" customHeight="true" outlineLevel="0" collapsed="false">
      <c r="A93" s="3" t="s">
        <v>294</v>
      </c>
      <c r="C93" s="37" t="n">
        <v>60554.9517719331</v>
      </c>
      <c r="D93" s="37" t="n">
        <v>39506.4100572516</v>
      </c>
      <c r="E93" s="37" t="n">
        <v>16351.464873552</v>
      </c>
      <c r="F93" s="23" t="n">
        <f aca="false">'Income Statement'!K37</f>
        <v>39506.4100572516</v>
      </c>
    </row>
    <row r="94" customFormat="false" ht="15" hidden="false" customHeight="true" outlineLevel="0" collapsed="false">
      <c r="A94" s="3" t="s">
        <v>295</v>
      </c>
      <c r="C94" s="38" t="n">
        <v>0.385</v>
      </c>
      <c r="D94" s="38" t="n">
        <v>0.345</v>
      </c>
      <c r="E94" s="38" t="n">
        <v>0.25</v>
      </c>
      <c r="F94" s="26" t="n">
        <f aca="false">'Income Statement'!K38</f>
        <v>0.345</v>
      </c>
    </row>
    <row r="95" customFormat="false" ht="15" hidden="false" customHeight="true" outlineLevel="0" collapsed="false">
      <c r="A95" s="3" t="s">
        <v>296</v>
      </c>
      <c r="C95" s="37" t="n">
        <v>49181.035377397</v>
      </c>
      <c r="D95" s="37" t="n">
        <v>31649.7789246961</v>
      </c>
      <c r="E95" s="37" t="n">
        <v>12343.5239734618</v>
      </c>
      <c r="F95" s="23" t="n">
        <f aca="false">'Income Statement'!K56</f>
        <v>31649.7789246961</v>
      </c>
    </row>
    <row r="96" customFormat="false" ht="15" hidden="false" customHeight="true" outlineLevel="0" collapsed="false">
      <c r="A96" s="3" t="s">
        <v>297</v>
      </c>
      <c r="C96" s="39" t="n">
        <v>29.0419205080708</v>
      </c>
      <c r="D96" s="39" t="n">
        <v>18.6895285261009</v>
      </c>
      <c r="E96" s="39" t="n">
        <v>7.28898119520879</v>
      </c>
      <c r="F96" s="40" t="n">
        <f aca="false">'Income Statement'!K65</f>
        <v>18.6895285261009</v>
      </c>
    </row>
    <row r="97" customFormat="false" ht="15" hidden="false" customHeight="true" outlineLevel="0" collapsed="false">
      <c r="A97" s="3" t="s">
        <v>298</v>
      </c>
      <c r="C97" s="39" t="n">
        <v>32.8145441230924</v>
      </c>
      <c r="D97" s="39" t="n">
        <v>21.5593156987047</v>
      </c>
      <c r="E97" s="39" t="n">
        <v>9.13369064652516</v>
      </c>
      <c r="F97" s="40" t="n">
        <f aca="false">'Income Statement'!K67</f>
        <v>21.5593156987047</v>
      </c>
    </row>
    <row r="98" customFormat="false" ht="15" hidden="false" customHeight="true" outlineLevel="0" collapsed="false">
      <c r="A98" s="3" t="s">
        <v>299</v>
      </c>
      <c r="C98" s="37" t="n">
        <v>51020.015394034</v>
      </c>
      <c r="D98" s="37" t="n">
        <v>33841.4400241796</v>
      </c>
      <c r="E98" s="37" t="n">
        <v>14403.7301764934</v>
      </c>
      <c r="F98" s="23" t="n">
        <f aca="false">'Cash Flow'!K31</f>
        <v>33841.4400241796</v>
      </c>
    </row>
    <row r="99" customFormat="false" ht="15" hidden="false" customHeight="true" outlineLevel="0" collapsed="false">
      <c r="A99" s="3" t="s">
        <v>300</v>
      </c>
      <c r="C99" s="38" t="n">
        <v>0.324378194547706</v>
      </c>
      <c r="D99" s="38" t="n">
        <v>0.295529175934296</v>
      </c>
      <c r="E99" s="38" t="n">
        <v>0.220220791957774</v>
      </c>
      <c r="F99" s="26" t="n">
        <f aca="false">'Cash Flow'!K32</f>
        <v>0.295529175934296</v>
      </c>
    </row>
    <row r="100" customFormat="false" ht="15" hidden="false" customHeight="true" outlineLevel="0" collapsed="false">
      <c r="A100" s="3" t="s">
        <v>301</v>
      </c>
      <c r="C100" s="37" t="n">
        <v>151109.587465296</v>
      </c>
      <c r="D100" s="37" t="n">
        <v>109248.098546535</v>
      </c>
      <c r="E100" s="37" t="n">
        <v>58930.0792416471</v>
      </c>
      <c r="F100" s="23" t="n">
        <f aca="false">SUM('Cash Flow'!G31:K31)</f>
        <v>109248.098546535</v>
      </c>
    </row>
    <row r="101" customFormat="false" ht="15" hidden="false" customHeight="true" outlineLevel="0" collapsed="false">
      <c r="A101" s="3" t="s">
        <v>302</v>
      </c>
      <c r="C101" s="37" t="n">
        <v>44813.2663389337</v>
      </c>
      <c r="D101" s="37" t="n">
        <v>29285.0769736811</v>
      </c>
      <c r="E101" s="37" t="n">
        <v>11779.875949323</v>
      </c>
      <c r="F101" s="23" t="n">
        <f aca="false">'DCF Inputs'!K16</f>
        <v>29285.0769736811</v>
      </c>
    </row>
    <row r="103" customFormat="false" ht="30" hidden="false" customHeight="true" outlineLevel="0" collapsed="false">
      <c r="A103" s="41" t="s">
        <v>303</v>
      </c>
      <c r="B103" s="41"/>
      <c r="C103" s="41"/>
      <c r="D103" s="41"/>
      <c r="E103" s="41"/>
      <c r="F103" s="41"/>
      <c r="G103" s="41"/>
      <c r="H103" s="41"/>
      <c r="I103" s="41"/>
      <c r="J103" s="41"/>
      <c r="K103" s="41"/>
    </row>
    <row r="104" customFormat="false" ht="30" hidden="false" customHeight="true" outlineLevel="0" collapsed="false">
      <c r="A104" s="41" t="s">
        <v>304</v>
      </c>
      <c r="B104" s="41"/>
      <c r="C104" s="41"/>
      <c r="D104" s="41"/>
      <c r="E104" s="41"/>
      <c r="F104" s="41"/>
      <c r="G104" s="41"/>
      <c r="H104" s="41"/>
      <c r="I104" s="41"/>
      <c r="J104" s="41"/>
      <c r="K104" s="41"/>
    </row>
    <row r="105" customFormat="false" ht="30" hidden="false" customHeight="true" outlineLevel="0" collapsed="false">
      <c r="A105" s="41" t="s">
        <v>305</v>
      </c>
      <c r="B105" s="41"/>
      <c r="C105" s="41"/>
      <c r="D105" s="41"/>
      <c r="E105" s="41"/>
      <c r="F105" s="41"/>
      <c r="G105" s="41"/>
      <c r="H105" s="41"/>
      <c r="I105" s="41"/>
      <c r="J105" s="41"/>
      <c r="K105" s="41"/>
    </row>
  </sheetData>
  <mergeCells count="3">
    <mergeCell ref="A103:K103"/>
    <mergeCell ref="A104:K104"/>
    <mergeCell ref="A105:K10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0"/>
    <col collapsed="false" customWidth="true" hidden="false" outlineLevel="0" max="2" min="2" style="1" width="18"/>
    <col collapsed="false" customWidth="true" hidden="false" outlineLevel="0" max="11" min="3" style="1" width="11"/>
  </cols>
  <sheetData>
    <row r="1" customFormat="false" ht="17.25" hidden="false" customHeight="true" outlineLevel="0" collapsed="false">
      <c r="A1" s="2" t="s">
        <v>306</v>
      </c>
    </row>
    <row r="2" customFormat="false" ht="15" hidden="false" customHeight="true" outlineLevel="0" collapsed="false">
      <c r="A2" s="5" t="s">
        <v>307</v>
      </c>
    </row>
    <row r="4" customFormat="false" ht="15" hidden="false" customHeight="true" outlineLevel="0" collapsed="false">
      <c r="A4" s="6" t="s">
        <v>93</v>
      </c>
      <c r="B4" s="6"/>
      <c r="C4" s="7" t="s">
        <v>25</v>
      </c>
      <c r="D4" s="7" t="s">
        <v>26</v>
      </c>
      <c r="E4" s="7" t="s">
        <v>27</v>
      </c>
      <c r="F4" s="7" t="s">
        <v>28</v>
      </c>
      <c r="G4" s="7" t="s">
        <v>29</v>
      </c>
      <c r="H4" s="7" t="s">
        <v>30</v>
      </c>
      <c r="I4" s="7" t="s">
        <v>31</v>
      </c>
      <c r="J4" s="7" t="s">
        <v>32</v>
      </c>
      <c r="K4" s="7" t="s">
        <v>33</v>
      </c>
    </row>
    <row r="5" customFormat="false" ht="15" hidden="false" customHeight="true" outlineLevel="0" collapsed="false">
      <c r="A5" s="3" t="s">
        <v>94</v>
      </c>
      <c r="C5" s="23" t="n">
        <f aca="false">'Income Statement'!C10</f>
        <v>23601</v>
      </c>
      <c r="D5" s="23" t="n">
        <f aca="false">'Income Statement'!D10</f>
        <v>22680</v>
      </c>
      <c r="E5" s="23" t="n">
        <f aca="false">'Income Statement'!E10</f>
        <v>25785</v>
      </c>
      <c r="F5" s="23" t="n">
        <f aca="false">'Income Statement'!F10</f>
        <v>34639</v>
      </c>
      <c r="G5" s="24" t="n">
        <f aca="false">'Income Statement'!G10</f>
        <v>49475.5</v>
      </c>
      <c r="H5" s="24" t="n">
        <f aca="false">'Income Statement'!H10</f>
        <v>69117.14</v>
      </c>
      <c r="I5" s="24" t="n">
        <f aca="false">'Income Statement'!I10</f>
        <v>87417.1671</v>
      </c>
      <c r="J5" s="24" t="n">
        <f aca="false">'Income Statement'!J10</f>
        <v>102678.57354</v>
      </c>
      <c r="K5" s="24" t="n">
        <f aca="false">'Income Statement'!K10</f>
        <v>114511.33349928</v>
      </c>
    </row>
    <row r="6" customFormat="false" ht="15" hidden="false" customHeight="true" outlineLevel="0" collapsed="false">
      <c r="A6" s="3" t="s">
        <v>308</v>
      </c>
      <c r="D6" s="13" t="n">
        <f aca="false">D5/C5-1</f>
        <v>-0.0390237701792296</v>
      </c>
      <c r="E6" s="13" t="n">
        <f aca="false">E5/D5-1</f>
        <v>0.136904761904762</v>
      </c>
      <c r="F6" s="13" t="n">
        <f aca="false">F5/E5-1</f>
        <v>0.343377932906729</v>
      </c>
      <c r="G6" s="16" t="n">
        <f aca="false">G5/F5-1</f>
        <v>0.428317792084067</v>
      </c>
      <c r="H6" s="16" t="n">
        <f aca="false">H5/G5-1</f>
        <v>0.396997301694778</v>
      </c>
      <c r="I6" s="16" t="n">
        <f aca="false">I5/H5-1</f>
        <v>0.264768291917171</v>
      </c>
      <c r="J6" s="16" t="n">
        <f aca="false">J5/I5-1</f>
        <v>0.174581343073516</v>
      </c>
      <c r="K6" s="16" t="n">
        <f aca="false">K5/J5-1</f>
        <v>0.11524079027715</v>
      </c>
    </row>
    <row r="7" customFormat="false" ht="15" hidden="false" customHeight="true" outlineLevel="0" collapsed="false">
      <c r="A7" s="3" t="s">
        <v>124</v>
      </c>
      <c r="C7" s="23" t="n">
        <f aca="false">'Income Statement'!C37</f>
        <v>5438</v>
      </c>
      <c r="D7" s="23" t="n">
        <f aca="false">'Income Statement'!D37</f>
        <v>3854</v>
      </c>
      <c r="E7" s="23" t="n">
        <f aca="false">'Income Statement'!E37</f>
        <v>4965</v>
      </c>
      <c r="F7" s="23" t="n">
        <f aca="false">'Income Statement'!F37</f>
        <v>6698</v>
      </c>
      <c r="G7" s="24" t="n">
        <f aca="false">'Income Statement'!G37</f>
        <v>11626.7425</v>
      </c>
      <c r="H7" s="24" t="n">
        <f aca="false">'Income Statement'!H37</f>
        <v>19698.3849</v>
      </c>
      <c r="I7" s="24" t="n">
        <f aca="false">'Income Statement'!I37</f>
        <v>27536.4076365</v>
      </c>
      <c r="J7" s="24" t="n">
        <f aca="false">'Income Statement'!J37</f>
        <v>34397.3221359</v>
      </c>
      <c r="K7" s="24" t="n">
        <f aca="false">'Income Statement'!K37</f>
        <v>39506.4100572516</v>
      </c>
    </row>
    <row r="8" customFormat="false" ht="15" hidden="false" customHeight="true" outlineLevel="0" collapsed="false">
      <c r="A8" s="4" t="s">
        <v>309</v>
      </c>
      <c r="C8" s="42" t="n">
        <f aca="false">'Income Statement'!C32</f>
        <v>1264</v>
      </c>
      <c r="D8" s="42" t="n">
        <f aca="false">'Income Statement'!D32</f>
        <v>401</v>
      </c>
      <c r="E8" s="42" t="n">
        <f aca="false">'Income Statement'!E32</f>
        <v>1900</v>
      </c>
      <c r="F8" s="42" t="n">
        <f aca="false">'Income Statement'!F32</f>
        <v>3694</v>
      </c>
      <c r="G8" s="42" t="n">
        <f aca="false">'Income Statement'!G32</f>
        <v>8537.2325</v>
      </c>
      <c r="H8" s="42" t="n">
        <f aca="false">'Income Statement'!H32</f>
        <v>16416.0421</v>
      </c>
      <c r="I8" s="42" t="n">
        <f aca="false">'Income Statement'!I32</f>
        <v>24088.0642945</v>
      </c>
      <c r="J8" s="42" t="n">
        <f aca="false">'Income Statement'!J32</f>
        <v>30843.7506651</v>
      </c>
      <c r="K8" s="42" t="n">
        <f aca="false">'Income Statement'!K32</f>
        <v>35916.183387266</v>
      </c>
    </row>
    <row r="9" customFormat="false" ht="15" hidden="false" customHeight="true" outlineLevel="0" collapsed="false">
      <c r="A9" s="3" t="s">
        <v>310</v>
      </c>
      <c r="C9" s="13" t="n">
        <f aca="false">C8/C5</f>
        <v>0.0535570526672599</v>
      </c>
      <c r="D9" s="13" t="n">
        <f aca="false">D8/D5</f>
        <v>0.0176807760141093</v>
      </c>
      <c r="E9" s="13" t="n">
        <f aca="false">E8/E5</f>
        <v>0.0736862516967229</v>
      </c>
      <c r="F9" s="13" t="n">
        <f aca="false">F8/F5</f>
        <v>0.106642801466555</v>
      </c>
      <c r="G9" s="16" t="n">
        <f aca="false">G8/G5</f>
        <v>0.172554749320371</v>
      </c>
      <c r="H9" s="16" t="n">
        <f aca="false">H8/H5</f>
        <v>0.237510436629756</v>
      </c>
      <c r="I9" s="16" t="n">
        <f aca="false">I8/I5</f>
        <v>0.275553018858924</v>
      </c>
      <c r="J9" s="16" t="n">
        <f aca="false">J8/J5</f>
        <v>0.300391304648232</v>
      </c>
      <c r="K9" s="16" t="n">
        <f aca="false">K8/K5</f>
        <v>0.313647411917457</v>
      </c>
    </row>
    <row r="10" customFormat="false" ht="15" hidden="false" customHeight="true" outlineLevel="0" collapsed="false">
      <c r="A10" s="3" t="s">
        <v>311</v>
      </c>
      <c r="C10" s="20" t="n">
        <v>0.15</v>
      </c>
      <c r="D10" s="20" t="n">
        <v>0.15</v>
      </c>
      <c r="E10" s="20" t="n">
        <v>0.15</v>
      </c>
      <c r="F10" s="20" t="n">
        <v>0.15</v>
      </c>
      <c r="G10" s="14" t="n">
        <f aca="false">'Income Statement'!G51</f>
        <v>0.13</v>
      </c>
      <c r="H10" s="14" t="n">
        <f aca="false">'Income Statement'!H51</f>
        <v>0.15</v>
      </c>
      <c r="I10" s="14" t="n">
        <f aca="false">'Income Statement'!I51</f>
        <v>0.15</v>
      </c>
      <c r="J10" s="14" t="n">
        <f aca="false">'Income Statement'!J51</f>
        <v>0.15</v>
      </c>
      <c r="K10" s="14" t="n">
        <f aca="false">'Income Statement'!K51</f>
        <v>0.15</v>
      </c>
    </row>
    <row r="11" customFormat="false" ht="15" hidden="false" customHeight="true" outlineLevel="0" collapsed="false">
      <c r="A11" s="3" t="s">
        <v>312</v>
      </c>
      <c r="C11" s="18" t="n">
        <f aca="false">C8*(1-C10)</f>
        <v>1074.4</v>
      </c>
      <c r="D11" s="18" t="n">
        <f aca="false">D8*(1-D10)</f>
        <v>340.85</v>
      </c>
      <c r="E11" s="18" t="n">
        <f aca="false">E8*(1-E10)</f>
        <v>1615</v>
      </c>
      <c r="F11" s="18" t="n">
        <f aca="false">F8*(1-F10)</f>
        <v>3139.9</v>
      </c>
      <c r="G11" s="12" t="n">
        <f aca="false">G8*(1-G10)</f>
        <v>7427.392275</v>
      </c>
      <c r="H11" s="12" t="n">
        <f aca="false">H8*(1-H10)</f>
        <v>13953.635785</v>
      </c>
      <c r="I11" s="12" t="n">
        <f aca="false">I8*(1-I10)</f>
        <v>20474.854650325</v>
      </c>
      <c r="J11" s="12" t="n">
        <f aca="false">J8*(1-J10)</f>
        <v>26217.188065335</v>
      </c>
      <c r="K11" s="12" t="n">
        <f aca="false">K8*(1-K10)</f>
        <v>30528.7558791761</v>
      </c>
    </row>
    <row r="12" customFormat="false" ht="15" hidden="false" customHeight="true" outlineLevel="0" collapsed="false">
      <c r="A12" s="3" t="s">
        <v>313</v>
      </c>
      <c r="C12" s="23" t="n">
        <f aca="false">'Income Statement'!C35</f>
        <v>626</v>
      </c>
      <c r="D12" s="23" t="n">
        <f aca="false">'Income Statement'!D35</f>
        <v>642</v>
      </c>
      <c r="E12" s="23" t="n">
        <f aca="false">'Income Statement'!E35</f>
        <v>671</v>
      </c>
      <c r="F12" s="23" t="n">
        <f aca="false">'Income Statement'!F35</f>
        <v>750</v>
      </c>
      <c r="G12" s="24" t="n">
        <f aca="false">'Income Statement'!G35</f>
        <v>989.51</v>
      </c>
      <c r="H12" s="24" t="n">
        <f aca="false">'Income Statement'!H35</f>
        <v>1382.3428</v>
      </c>
      <c r="I12" s="24" t="n">
        <f aca="false">'Income Statement'!I35</f>
        <v>1748.343342</v>
      </c>
      <c r="J12" s="24" t="n">
        <f aca="false">'Income Statement'!J35</f>
        <v>2053.5714708</v>
      </c>
      <c r="K12" s="24" t="n">
        <f aca="false">'Income Statement'!K35</f>
        <v>2290.2266699856</v>
      </c>
    </row>
    <row r="13" customFormat="false" ht="15" hidden="false" customHeight="true" outlineLevel="0" collapsed="false">
      <c r="A13" s="3" t="s">
        <v>314</v>
      </c>
      <c r="C13" s="23" t="n">
        <f aca="false">'Income Statement'!C36</f>
        <v>3548</v>
      </c>
      <c r="D13" s="23" t="n">
        <f aca="false">'Income Statement'!D36</f>
        <v>2811</v>
      </c>
      <c r="E13" s="23" t="n">
        <f aca="false">'Income Statement'!E36</f>
        <v>2394</v>
      </c>
      <c r="F13" s="23" t="n">
        <f aca="false">'Income Statement'!F36</f>
        <v>2254</v>
      </c>
      <c r="G13" s="24" t="n">
        <f aca="false">'Income Statement'!G36</f>
        <v>2100</v>
      </c>
      <c r="H13" s="24" t="n">
        <f aca="false">'Income Statement'!H36</f>
        <v>1900</v>
      </c>
      <c r="I13" s="24" t="n">
        <f aca="false">'Income Statement'!I36</f>
        <v>1700</v>
      </c>
      <c r="J13" s="24" t="n">
        <f aca="false">'Income Statement'!J36</f>
        <v>1500</v>
      </c>
      <c r="K13" s="24" t="n">
        <f aca="false">'Income Statement'!K36</f>
        <v>1300</v>
      </c>
    </row>
    <row r="14" customFormat="false" ht="15" hidden="false" customHeight="true" outlineLevel="0" collapsed="false">
      <c r="A14" s="3" t="s">
        <v>315</v>
      </c>
      <c r="C14" s="23" t="n">
        <f aca="false">'Cash Flow'!C24</f>
        <v>-450</v>
      </c>
      <c r="D14" s="23" t="n">
        <f aca="false">'Cash Flow'!D24</f>
        <v>-546</v>
      </c>
      <c r="E14" s="23" t="n">
        <f aca="false">'Cash Flow'!E24</f>
        <v>-636</v>
      </c>
      <c r="F14" s="23" t="n">
        <f aca="false">'Cash Flow'!F24</f>
        <v>-974</v>
      </c>
      <c r="G14" s="24" t="n">
        <f aca="false">'Cash Flow'!G24</f>
        <v>-2473.775</v>
      </c>
      <c r="H14" s="24" t="n">
        <f aca="false">'Cash Flow'!H24</f>
        <v>-3110.2713</v>
      </c>
      <c r="I14" s="24" t="n">
        <f aca="false">'Cash Flow'!I24</f>
        <v>-3496.686684</v>
      </c>
      <c r="J14" s="24" t="n">
        <f aca="false">'Cash Flow'!J24</f>
        <v>-3593.7500739</v>
      </c>
      <c r="K14" s="24" t="n">
        <f aca="false">'Cash Flow'!K24</f>
        <v>-4007.8966724748</v>
      </c>
    </row>
    <row r="15" customFormat="false" ht="15" hidden="false" customHeight="true" outlineLevel="0" collapsed="false">
      <c r="A15" s="3" t="s">
        <v>316</v>
      </c>
      <c r="C15" s="23" t="n">
        <f aca="false">SUM('Cash Flow'!C14:C18)</f>
        <v>-1846</v>
      </c>
      <c r="D15" s="23" t="n">
        <f aca="false">SUM('Cash Flow'!D14:D18)</f>
        <v>-3049</v>
      </c>
      <c r="E15" s="23" t="n">
        <f aca="false">SUM('Cash Flow'!E14:E18)</f>
        <v>-2098</v>
      </c>
      <c r="F15" s="23" t="n">
        <f aca="false">SUM('Cash Flow'!F14:F18)</f>
        <v>-2378</v>
      </c>
      <c r="G15" s="24" t="n">
        <f aca="false">SUM('Cash Flow'!G14:G18)</f>
        <v>-477.551602739726</v>
      </c>
      <c r="H15" s="24" t="n">
        <f aca="false">SUM('Cash Flow'!H14:H18)</f>
        <v>-1937.78511726027</v>
      </c>
      <c r="I15" s="24" t="n">
        <f aca="false">SUM('Cash Flow'!I14:I18)</f>
        <v>-1564.79586586165</v>
      </c>
      <c r="J15" s="24" t="n">
        <f aca="false">SUM('Cash Flow'!J14:J18)</f>
        <v>-1362.79038527754</v>
      </c>
      <c r="K15" s="24" t="n">
        <f aca="false">SUM('Cash Flow'!K14:K18)</f>
        <v>-826.00890300578</v>
      </c>
    </row>
    <row r="16" customFormat="false" ht="15" hidden="false" customHeight="true" outlineLevel="0" collapsed="false">
      <c r="A16" s="4" t="s">
        <v>317</v>
      </c>
      <c r="C16" s="17" t="n">
        <f aca="false">C11+C12+C13+C14+C15</f>
        <v>2952.4</v>
      </c>
      <c r="D16" s="17" t="n">
        <f aca="false">D11+D12+D13+D14+D15</f>
        <v>198.85</v>
      </c>
      <c r="E16" s="17" t="n">
        <f aca="false">E11+E12+E13+E14+E15</f>
        <v>1946</v>
      </c>
      <c r="F16" s="17" t="n">
        <f aca="false">F11+F12+F13+F14+F15</f>
        <v>2791.9</v>
      </c>
      <c r="G16" s="17" t="n">
        <f aca="false">G11+G12+G13+G14+G15</f>
        <v>7565.57567226027</v>
      </c>
      <c r="H16" s="17" t="n">
        <f aca="false">H11+H12+H13+H14+H15</f>
        <v>12187.9221677397</v>
      </c>
      <c r="I16" s="17" t="n">
        <f aca="false">I11+I12+I13+I14+I15</f>
        <v>18861.7154424634</v>
      </c>
      <c r="J16" s="17" t="n">
        <f aca="false">J11+J12+J13+J14+J15</f>
        <v>24814.2190769575</v>
      </c>
      <c r="K16" s="17" t="n">
        <f aca="false">K11+K12+K13+K14+K15</f>
        <v>29285.0769736811</v>
      </c>
    </row>
    <row r="17" customFormat="false" ht="15" hidden="false" customHeight="true" outlineLevel="0" collapsed="false">
      <c r="A17" s="3" t="s">
        <v>318</v>
      </c>
      <c r="C17" s="13" t="n">
        <f aca="false">C16/C5</f>
        <v>0.125096394220584</v>
      </c>
      <c r="D17" s="13" t="n">
        <f aca="false">D16/D5</f>
        <v>0.00876763668430335</v>
      </c>
      <c r="E17" s="13" t="n">
        <f aca="false">E16/E5</f>
        <v>0.0754702346325383</v>
      </c>
      <c r="F17" s="13" t="n">
        <f aca="false">F16/F5</f>
        <v>0.0805999018447415</v>
      </c>
      <c r="G17" s="16" t="n">
        <f aca="false">G16/G5</f>
        <v>0.152915598068949</v>
      </c>
      <c r="H17" s="16" t="n">
        <f aca="false">H16/H5</f>
        <v>0.176337188832462</v>
      </c>
      <c r="I17" s="16" t="n">
        <f aca="false">I16/I5</f>
        <v>0.215766720292899</v>
      </c>
      <c r="J17" s="16" t="n">
        <f aca="false">J16/J5</f>
        <v>0.241668911258206</v>
      </c>
      <c r="K17" s="16" t="n">
        <f aca="false">K16/K5</f>
        <v>0.255739550652122</v>
      </c>
    </row>
    <row r="18" customFormat="false" ht="15" hidden="false" customHeight="true" outlineLevel="0" collapsed="false">
      <c r="A18" s="3" t="s">
        <v>319</v>
      </c>
      <c r="C18" s="23" t="n">
        <f aca="false">'Income Statement'!C40</f>
        <v>1081</v>
      </c>
      <c r="D18" s="23" t="n">
        <f aca="false">'Income Statement'!D40</f>
        <v>1384</v>
      </c>
      <c r="E18" s="23" t="n">
        <f aca="false">'Income Statement'!E40</f>
        <v>1407</v>
      </c>
      <c r="F18" s="23" t="n">
        <f aca="false">'Income Statement'!F40</f>
        <v>1638</v>
      </c>
      <c r="G18" s="24" t="n">
        <f aca="false">'Income Statement'!G40</f>
        <v>1979.02</v>
      </c>
      <c r="H18" s="24" t="n">
        <f aca="false">'Income Statement'!H40</f>
        <v>2419.0999</v>
      </c>
      <c r="I18" s="24" t="n">
        <f aca="false">'Income Statement'!I40</f>
        <v>2797.3493472</v>
      </c>
      <c r="J18" s="24" t="n">
        <f aca="false">'Income Statement'!J40</f>
        <v>3080.3572062</v>
      </c>
      <c r="K18" s="24" t="n">
        <f aca="false">'Income Statement'!K40</f>
        <v>3435.3400049784</v>
      </c>
    </row>
    <row r="20" customFormat="false" ht="15" hidden="false" customHeight="true" outlineLevel="0" collapsed="false">
      <c r="A20" s="8" t="s">
        <v>320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customFormat="false" ht="15" hidden="false" customHeight="true" outlineLevel="0" collapsed="false">
      <c r="A21" s="3" t="s">
        <v>288</v>
      </c>
      <c r="C21" s="18" t="n">
        <f aca="false">K5</f>
        <v>114511.33349928</v>
      </c>
    </row>
    <row r="22" customFormat="false" ht="15" hidden="false" customHeight="true" outlineLevel="0" collapsed="false">
      <c r="A22" s="3" t="s">
        <v>294</v>
      </c>
      <c r="C22" s="18" t="n">
        <f aca="false">K7</f>
        <v>39506.4100572516</v>
      </c>
    </row>
    <row r="23" customFormat="false" ht="15" hidden="false" customHeight="true" outlineLevel="0" collapsed="false">
      <c r="A23" s="3" t="s">
        <v>321</v>
      </c>
      <c r="C23" s="18" t="n">
        <f aca="false">K8</f>
        <v>35916.183387266</v>
      </c>
    </row>
    <row r="24" customFormat="false" ht="15" hidden="false" customHeight="true" outlineLevel="0" collapsed="false">
      <c r="A24" s="3" t="s">
        <v>302</v>
      </c>
      <c r="C24" s="18" t="n">
        <f aca="false">K16</f>
        <v>29285.0769736811</v>
      </c>
    </row>
    <row r="25" customFormat="false" ht="15" hidden="false" customHeight="true" outlineLevel="0" collapsed="false">
      <c r="A25" s="3" t="s">
        <v>322</v>
      </c>
      <c r="C25" s="18" t="n">
        <f aca="false">K11</f>
        <v>30528.7558791761</v>
      </c>
    </row>
    <row r="27" customFormat="false" ht="15" hidden="false" customHeight="true" outlineLevel="0" collapsed="false">
      <c r="A27" s="8" t="s">
        <v>323</v>
      </c>
      <c r="B27" s="9"/>
      <c r="C27" s="9"/>
      <c r="D27" s="9"/>
      <c r="E27" s="9"/>
      <c r="F27" s="9"/>
      <c r="G27" s="9"/>
      <c r="H27" s="9"/>
      <c r="I27" s="9"/>
      <c r="J27" s="9"/>
      <c r="K27" s="9"/>
    </row>
    <row r="28" customFormat="false" ht="15" hidden="false" customHeight="true" outlineLevel="0" collapsed="false">
      <c r="A28" s="3" t="s">
        <v>324</v>
      </c>
      <c r="B28" s="10" t="s">
        <v>325</v>
      </c>
      <c r="C28" s="43" t="n">
        <v>605.53</v>
      </c>
    </row>
    <row r="29" customFormat="false" ht="15" hidden="false" customHeight="true" outlineLevel="0" collapsed="false">
      <c r="A29" s="3" t="s">
        <v>326</v>
      </c>
      <c r="B29" s="10" t="s">
        <v>327</v>
      </c>
      <c r="C29" s="11" t="n">
        <v>1632</v>
      </c>
    </row>
    <row r="30" customFormat="false" ht="15" hidden="false" customHeight="true" outlineLevel="0" collapsed="false">
      <c r="A30" s="3" t="s">
        <v>328</v>
      </c>
      <c r="B30" s="10" t="s">
        <v>327</v>
      </c>
      <c r="C30" s="11" t="n">
        <v>1659</v>
      </c>
    </row>
    <row r="31" customFormat="false" ht="15" hidden="false" customHeight="true" outlineLevel="0" collapsed="false">
      <c r="A31" s="3" t="s">
        <v>329</v>
      </c>
      <c r="C31" s="18" t="n">
        <f aca="false">C28*C29</f>
        <v>988224.96</v>
      </c>
    </row>
    <row r="32" customFormat="false" ht="15" hidden="false" customHeight="true" outlineLevel="0" collapsed="false">
      <c r="A32" s="3" t="s">
        <v>330</v>
      </c>
      <c r="C32" s="11" t="n">
        <v>5086</v>
      </c>
    </row>
    <row r="33" customFormat="false" ht="15" hidden="false" customHeight="true" outlineLevel="0" collapsed="false">
      <c r="A33" s="3" t="s">
        <v>331</v>
      </c>
      <c r="C33" s="11" t="n">
        <v>8025</v>
      </c>
    </row>
    <row r="34" customFormat="false" ht="15" hidden="false" customHeight="true" outlineLevel="0" collapsed="false">
      <c r="A34" s="3" t="s">
        <v>332</v>
      </c>
      <c r="C34" s="11" t="n">
        <v>3226</v>
      </c>
    </row>
    <row r="35" customFormat="false" ht="15" hidden="false" customHeight="true" outlineLevel="0" collapsed="false">
      <c r="A35" s="4" t="s">
        <v>333</v>
      </c>
      <c r="C35" s="17" t="n">
        <f aca="false">C31-C32-C33+C34</f>
        <v>978339.96</v>
      </c>
    </row>
    <row r="36" customFormat="false" ht="15" hidden="false" customHeight="true" outlineLevel="0" collapsed="false">
      <c r="A36" s="3" t="s">
        <v>334</v>
      </c>
      <c r="C36" s="44" t="n">
        <f aca="false">C35/G5</f>
        <v>19.7742308819517</v>
      </c>
    </row>
    <row r="37" customFormat="false" ht="15" hidden="false" customHeight="true" outlineLevel="0" collapsed="false">
      <c r="A37" s="3" t="s">
        <v>335</v>
      </c>
      <c r="C37" s="44" t="n">
        <f aca="false">C35/H7</f>
        <v>49.6659987591166</v>
      </c>
    </row>
    <row r="38" customFormat="false" ht="15" hidden="false" customHeight="true" outlineLevel="0" collapsed="false">
      <c r="A38" s="3" t="s">
        <v>336</v>
      </c>
      <c r="C38" s="45" t="n">
        <f aca="false">C28/'Income Statement'!H65</f>
        <v>70.971908485514</v>
      </c>
    </row>
    <row r="39" customFormat="false" ht="15" hidden="false" customHeight="true" outlineLevel="0" collapsed="false">
      <c r="A39" s="3" t="s">
        <v>337</v>
      </c>
      <c r="B39" s="10" t="s">
        <v>338</v>
      </c>
      <c r="C39" s="11" t="n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2"/>
    <col collapsed="false" customWidth="true" hidden="false" outlineLevel="0" max="12" min="3" style="0" width="12"/>
  </cols>
  <sheetData>
    <row r="1" customFormat="false" ht="17.35" hidden="false" customHeight="false" outlineLevel="0" collapsed="false">
      <c r="A1" s="46" t="s">
        <v>339</v>
      </c>
    </row>
    <row r="2" customFormat="false" ht="15" hidden="false" customHeight="false" outlineLevel="0" collapsed="false">
      <c r="A2" s="47" t="s">
        <v>340</v>
      </c>
    </row>
    <row r="4" customFormat="false" ht="15" hidden="false" customHeight="false" outlineLevel="0" collapsed="false">
      <c r="A4" s="48" t="s">
        <v>341</v>
      </c>
    </row>
    <row r="5" customFormat="false" ht="15" hidden="false" customHeight="false" outlineLevel="0" collapsed="false">
      <c r="A5" s="49" t="s">
        <v>342</v>
      </c>
      <c r="C5" s="50" t="n">
        <v>0.0524</v>
      </c>
    </row>
    <row r="6" customFormat="false" ht="15" hidden="false" customHeight="false" outlineLevel="0" collapsed="false">
      <c r="A6" s="49" t="s">
        <v>343</v>
      </c>
      <c r="C6" s="50" t="n">
        <v>0.05</v>
      </c>
    </row>
    <row r="7" customFormat="false" ht="15" hidden="false" customHeight="false" outlineLevel="0" collapsed="false">
      <c r="A7" s="49" t="s">
        <v>344</v>
      </c>
      <c r="C7" s="51" t="n">
        <f aca="false">Comps!V12</f>
        <v>1.58796393063168</v>
      </c>
    </row>
    <row r="8" customFormat="false" ht="15" hidden="false" customHeight="false" outlineLevel="0" collapsed="false">
      <c r="A8" s="49" t="s">
        <v>345</v>
      </c>
      <c r="C8" s="52" t="n">
        <f aca="false">'DCF Inputs'!C34/'DCF Inputs'!C31</f>
        <v>0.00326443889860867</v>
      </c>
    </row>
    <row r="9" customFormat="false" ht="15" hidden="false" customHeight="false" outlineLevel="0" collapsed="false">
      <c r="A9" s="49" t="s">
        <v>346</v>
      </c>
      <c r="C9" s="50" t="n">
        <v>0.15</v>
      </c>
    </row>
    <row r="10" customFormat="false" ht="15" hidden="false" customHeight="false" outlineLevel="0" collapsed="false">
      <c r="A10" s="49" t="s">
        <v>347</v>
      </c>
      <c r="C10" s="53" t="n">
        <f aca="false">C7*(1+(1-C9)*C8)</f>
        <v>1.59237017017271</v>
      </c>
    </row>
    <row r="11" customFormat="false" ht="15" hidden="false" customHeight="false" outlineLevel="0" collapsed="false">
      <c r="A11" s="49" t="s">
        <v>348</v>
      </c>
      <c r="C11" s="51" t="n">
        <f aca="false">Comps!T17</f>
        <v>2.01505</v>
      </c>
    </row>
    <row r="12" customFormat="false" ht="15" hidden="false" customHeight="false" outlineLevel="0" collapsed="false">
      <c r="A12" s="49" t="s">
        <v>349</v>
      </c>
      <c r="C12" s="54" t="n">
        <f aca="false">C5+C10*C6</f>
        <v>0.132018508508636</v>
      </c>
    </row>
    <row r="13" customFormat="false" ht="15" hidden="false" customHeight="false" outlineLevel="0" collapsed="false">
      <c r="A13" s="49" t="s">
        <v>350</v>
      </c>
      <c r="C13" s="54" t="n">
        <f aca="false">C5+0.006</f>
        <v>0.0584</v>
      </c>
    </row>
    <row r="14" customFormat="false" ht="15" hidden="false" customHeight="false" outlineLevel="0" collapsed="false">
      <c r="A14" s="49" t="s">
        <v>351</v>
      </c>
      <c r="C14" s="54" t="n">
        <f aca="false">C13*(1-C9)</f>
        <v>0.04964</v>
      </c>
    </row>
    <row r="15" customFormat="false" ht="15" hidden="false" customHeight="false" outlineLevel="0" collapsed="false">
      <c r="A15" s="49" t="s">
        <v>352</v>
      </c>
      <c r="C15" s="55" t="n">
        <f aca="false">'DCF Inputs'!C31</f>
        <v>988224.96</v>
      </c>
    </row>
    <row r="16" customFormat="false" ht="15" hidden="false" customHeight="false" outlineLevel="0" collapsed="false">
      <c r="A16" s="49" t="s">
        <v>353</v>
      </c>
      <c r="C16" s="55" t="n">
        <f aca="false">'DCF Inputs'!C34</f>
        <v>3226</v>
      </c>
    </row>
    <row r="17" customFormat="false" ht="15" hidden="false" customHeight="false" outlineLevel="0" collapsed="false">
      <c r="A17" s="49" t="s">
        <v>354</v>
      </c>
      <c r="C17" s="54" t="n">
        <f aca="false">C15/(C15+C16)</f>
        <v>0.996746182988214</v>
      </c>
    </row>
    <row r="18" customFormat="false" ht="15" hidden="false" customHeight="false" outlineLevel="0" collapsed="false">
      <c r="A18" s="49" t="s">
        <v>355</v>
      </c>
      <c r="C18" s="56" t="n">
        <f aca="false">C17*C12+(1-C17)*C14</f>
        <v>0.131750463916245</v>
      </c>
    </row>
    <row r="19" customFormat="false" ht="15" hidden="false" customHeight="false" outlineLevel="0" collapsed="false">
      <c r="A19" s="49" t="s">
        <v>356</v>
      </c>
      <c r="C19" s="57" t="n">
        <v>0.03</v>
      </c>
    </row>
    <row r="20" customFormat="false" ht="15" hidden="false" customHeight="false" outlineLevel="0" collapsed="false">
      <c r="A20" s="49" t="s">
        <v>357</v>
      </c>
      <c r="C20" s="55" t="n">
        <f aca="false">'DCF Inputs'!C32+'DCF Inputs'!C33-'DCF Inputs'!C34</f>
        <v>9885</v>
      </c>
    </row>
    <row r="21" customFormat="false" ht="15" hidden="false" customHeight="false" outlineLevel="0" collapsed="false">
      <c r="A21" s="49" t="s">
        <v>358</v>
      </c>
      <c r="C21" s="55" t="n">
        <f aca="false">'DCF Inputs'!C30</f>
        <v>1659</v>
      </c>
    </row>
    <row r="22" customFormat="false" ht="15" hidden="false" customHeight="false" outlineLevel="0" collapsed="false">
      <c r="A22" s="49" t="s">
        <v>359</v>
      </c>
      <c r="C22" s="58" t="n">
        <f aca="false">'DCF Inputs'!C28</f>
        <v>605.53</v>
      </c>
    </row>
    <row r="25" customFormat="false" ht="15" hidden="false" customHeight="false" outlineLevel="0" collapsed="false">
      <c r="A25" s="59" t="s">
        <v>360</v>
      </c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</row>
    <row r="26" customFormat="false" ht="15" hidden="false" customHeight="false" outlineLevel="0" collapsed="false">
      <c r="A26" s="61" t="s">
        <v>93</v>
      </c>
      <c r="B26" s="61"/>
      <c r="C26" s="61" t="s">
        <v>361</v>
      </c>
      <c r="D26" s="61" t="s">
        <v>30</v>
      </c>
      <c r="E26" s="61" t="s">
        <v>31</v>
      </c>
      <c r="F26" s="61" t="s">
        <v>32</v>
      </c>
      <c r="G26" s="61" t="s">
        <v>33</v>
      </c>
      <c r="H26" s="61" t="s">
        <v>362</v>
      </c>
      <c r="I26" s="61" t="s">
        <v>363</v>
      </c>
      <c r="J26" s="61" t="s">
        <v>364</v>
      </c>
      <c r="K26" s="61" t="s">
        <v>365</v>
      </c>
      <c r="L26" s="61" t="s">
        <v>366</v>
      </c>
    </row>
    <row r="27" customFormat="false" ht="15" hidden="false" customHeight="false" outlineLevel="0" collapsed="false">
      <c r="A27" s="49" t="s">
        <v>367</v>
      </c>
      <c r="C27" s="49" t="s">
        <v>368</v>
      </c>
      <c r="D27" s="49" t="s">
        <v>368</v>
      </c>
      <c r="E27" s="49" t="s">
        <v>368</v>
      </c>
      <c r="F27" s="49" t="s">
        <v>368</v>
      </c>
      <c r="G27" s="49" t="s">
        <v>368</v>
      </c>
      <c r="H27" s="49" t="s">
        <v>369</v>
      </c>
      <c r="I27" s="49" t="s">
        <v>369</v>
      </c>
      <c r="J27" s="49" t="s">
        <v>369</v>
      </c>
      <c r="K27" s="49" t="s">
        <v>369</v>
      </c>
      <c r="L27" s="49" t="s">
        <v>369</v>
      </c>
    </row>
    <row r="28" customFormat="false" ht="15" hidden="false" customHeight="false" outlineLevel="0" collapsed="false">
      <c r="A28" s="49" t="s">
        <v>94</v>
      </c>
      <c r="C28" s="55" t="n">
        <f aca="false">'DCF Inputs'!G5</f>
        <v>49475.5</v>
      </c>
      <c r="D28" s="55" t="n">
        <f aca="false">'DCF Inputs'!H5</f>
        <v>69117.14</v>
      </c>
      <c r="E28" s="55" t="n">
        <f aca="false">'DCF Inputs'!I5</f>
        <v>87417.1671</v>
      </c>
      <c r="F28" s="55" t="n">
        <f aca="false">'DCF Inputs'!J5</f>
        <v>102678.57354</v>
      </c>
      <c r="G28" s="55" t="n">
        <f aca="false">'DCF Inputs'!K5</f>
        <v>114511.33349928</v>
      </c>
      <c r="H28" s="62" t="n">
        <f aca="false">G28*(1+H29)</f>
        <v>126080.870640232</v>
      </c>
      <c r="I28" s="62" t="n">
        <f aca="false">H28*(1+I29)</f>
        <v>137028.118794242</v>
      </c>
      <c r="J28" s="62" t="n">
        <f aca="false">I28*(1+J29)</f>
        <v>146979.154926176</v>
      </c>
      <c r="K28" s="62" t="n">
        <f aca="false">J28*(1+K29)</f>
        <v>155564.736014019</v>
      </c>
      <c r="L28" s="62" t="n">
        <f aca="false">K28*(1+L29)</f>
        <v>162441.754933955</v>
      </c>
    </row>
    <row r="29" customFormat="false" ht="15" hidden="false" customHeight="false" outlineLevel="0" collapsed="false">
      <c r="A29" s="49" t="s">
        <v>308</v>
      </c>
      <c r="C29" s="63" t="n">
        <f aca="false">C28/'Revenue Model'!F47-1</f>
        <v>0.428317792084067</v>
      </c>
      <c r="D29" s="54" t="n">
        <f aca="false">D28/C28-1</f>
        <v>0.396997301694778</v>
      </c>
      <c r="E29" s="54" t="n">
        <f aca="false">E28/D28-1</f>
        <v>0.264768291917171</v>
      </c>
      <c r="F29" s="54" t="n">
        <f aca="false">F28/E28-1</f>
        <v>0.174581343073516</v>
      </c>
      <c r="G29" s="54" t="n">
        <f aca="false">G28/F28-1</f>
        <v>0.11524079027715</v>
      </c>
      <c r="H29" s="54" t="n">
        <f aca="false">$G29-($G29-$C$19)*1/6</f>
        <v>0.101033991897625</v>
      </c>
      <c r="I29" s="54" t="n">
        <f aca="false">$G29-($G29-$C$19)*2/6</f>
        <v>0.0868271935180997</v>
      </c>
      <c r="J29" s="54" t="n">
        <f aca="false">$G29-($G29-$C$19)*3/6</f>
        <v>0.0726203951385747</v>
      </c>
      <c r="K29" s="54" t="n">
        <f aca="false">$G29-($G29-$C$19)*4/6</f>
        <v>0.0584135967590498</v>
      </c>
      <c r="L29" s="54" t="n">
        <f aca="false">$G29-($G29-$C$19)*5/6</f>
        <v>0.0442067983795249</v>
      </c>
    </row>
    <row r="30" customFormat="false" ht="15" hidden="false" customHeight="false" outlineLevel="0" collapsed="false">
      <c r="A30" s="49" t="s">
        <v>370</v>
      </c>
      <c r="C30" s="55" t="n">
        <f aca="false">'DCF Inputs'!G16</f>
        <v>7565.57567226027</v>
      </c>
      <c r="D30" s="55" t="n">
        <f aca="false">'DCF Inputs'!H16</f>
        <v>12187.9221677397</v>
      </c>
      <c r="E30" s="55" t="n">
        <f aca="false">'DCF Inputs'!I16</f>
        <v>18861.7154424634</v>
      </c>
      <c r="F30" s="55" t="n">
        <f aca="false">'DCF Inputs'!J16</f>
        <v>24814.2190769575</v>
      </c>
      <c r="G30" s="55" t="n">
        <f aca="false">'DCF Inputs'!K16</f>
        <v>29285.0769736811</v>
      </c>
      <c r="H30" s="62" t="n">
        <f aca="false">H28*H31</f>
        <v>32243.8652033613</v>
      </c>
      <c r="I30" s="62" t="n">
        <f aca="false">I28*I31</f>
        <v>35043.5095271451</v>
      </c>
      <c r="J30" s="62" t="n">
        <f aca="false">J28*J31</f>
        <v>37588.3830360488</v>
      </c>
      <c r="K30" s="62" t="n">
        <f aca="false">K28*K31</f>
        <v>39784.0556855412</v>
      </c>
      <c r="L30" s="62" t="n">
        <f aca="false">L28*L31</f>
        <v>41542.7814139518</v>
      </c>
    </row>
    <row r="31" customFormat="false" ht="15" hidden="false" customHeight="false" outlineLevel="0" collapsed="false">
      <c r="A31" s="49" t="s">
        <v>318</v>
      </c>
      <c r="C31" s="54" t="n">
        <f aca="false">C30/C28</f>
        <v>0.152915598068949</v>
      </c>
      <c r="D31" s="54" t="n">
        <f aca="false">D30/D28</f>
        <v>0.176337188832462</v>
      </c>
      <c r="E31" s="54" t="n">
        <f aca="false">E30/E28</f>
        <v>0.215766720292899</v>
      </c>
      <c r="F31" s="54" t="n">
        <f aca="false">F30/F28</f>
        <v>0.241668911258206</v>
      </c>
      <c r="G31" s="54" t="n">
        <f aca="false">G30/G28</f>
        <v>0.255739550652122</v>
      </c>
      <c r="H31" s="54" t="n">
        <f aca="false">$G31</f>
        <v>0.255739550652122</v>
      </c>
      <c r="I31" s="54" t="n">
        <f aca="false">$G31</f>
        <v>0.255739550652122</v>
      </c>
      <c r="J31" s="54" t="n">
        <f aca="false">$G31</f>
        <v>0.255739550652122</v>
      </c>
      <c r="K31" s="54" t="n">
        <f aca="false">$G31</f>
        <v>0.255739550652122</v>
      </c>
      <c r="L31" s="54" t="n">
        <f aca="false">$G31</f>
        <v>0.255739550652122</v>
      </c>
    </row>
    <row r="32" customFormat="false" ht="15" hidden="false" customHeight="false" outlineLevel="0" collapsed="false">
      <c r="A32" s="49" t="s">
        <v>371</v>
      </c>
      <c r="C32" s="64" t="n">
        <v>0.5</v>
      </c>
      <c r="D32" s="64" t="n">
        <v>1</v>
      </c>
      <c r="E32" s="64" t="n">
        <v>1</v>
      </c>
      <c r="F32" s="64" t="n">
        <v>1</v>
      </c>
      <c r="G32" s="64" t="n">
        <v>1</v>
      </c>
      <c r="H32" s="64" t="n">
        <v>1</v>
      </c>
      <c r="I32" s="64" t="n">
        <v>1</v>
      </c>
      <c r="J32" s="64" t="n">
        <v>1</v>
      </c>
      <c r="K32" s="64" t="n">
        <v>1</v>
      </c>
      <c r="L32" s="64" t="n">
        <v>1</v>
      </c>
    </row>
    <row r="33" customFormat="false" ht="15" hidden="false" customHeight="false" outlineLevel="0" collapsed="false">
      <c r="A33" s="49" t="s">
        <v>372</v>
      </c>
      <c r="C33" s="62" t="n">
        <f aca="false">C30*C32</f>
        <v>3782.78783613014</v>
      </c>
      <c r="D33" s="62" t="n">
        <f aca="false">D30*D32</f>
        <v>12187.9221677397</v>
      </c>
      <c r="E33" s="62" t="n">
        <f aca="false">E30*E32</f>
        <v>18861.7154424634</v>
      </c>
      <c r="F33" s="62" t="n">
        <f aca="false">F30*F32</f>
        <v>24814.2190769575</v>
      </c>
      <c r="G33" s="62" t="n">
        <f aca="false">G30*G32</f>
        <v>29285.0769736811</v>
      </c>
      <c r="H33" s="62" t="n">
        <f aca="false">H30*H32</f>
        <v>32243.8652033613</v>
      </c>
      <c r="I33" s="62" t="n">
        <f aca="false">I30*I32</f>
        <v>35043.5095271451</v>
      </c>
      <c r="J33" s="62" t="n">
        <f aca="false">J30*J32</f>
        <v>37588.3830360488</v>
      </c>
      <c r="K33" s="62" t="n">
        <f aca="false">K30*K32</f>
        <v>39784.0556855412</v>
      </c>
      <c r="L33" s="62" t="n">
        <f aca="false">L30*L32</f>
        <v>41542.7814139518</v>
      </c>
    </row>
    <row r="34" customFormat="false" ht="15" hidden="false" customHeight="false" outlineLevel="0" collapsed="false">
      <c r="A34" s="49" t="s">
        <v>373</v>
      </c>
      <c r="C34" s="64" t="n">
        <v>0</v>
      </c>
      <c r="D34" s="65" t="n">
        <f aca="false">(DATE(2027,7,2)-DATE(2026,10,14))/365.25</f>
        <v>0.714579055441479</v>
      </c>
      <c r="E34" s="65" t="n">
        <f aca="false">(DATE(2028,7,2)-DATE(2026,10,14))/365.25</f>
        <v>1.71663244353183</v>
      </c>
      <c r="F34" s="65" t="n">
        <f aca="false">(DATE(2029,7,2)-DATE(2026,10,14))/365.25</f>
        <v>2.71594798083504</v>
      </c>
      <c r="G34" s="65" t="n">
        <f aca="false">(DATE(2030,7,2)-DATE(2026,10,14))/365.25</f>
        <v>3.71526351813826</v>
      </c>
      <c r="H34" s="65" t="n">
        <f aca="false">(DATE(2031,7,2)-DATE(2026,10,14))/365.25</f>
        <v>4.71457905544148</v>
      </c>
      <c r="I34" s="65" t="n">
        <f aca="false">(DATE(2032,7,2)-DATE(2026,10,14))/365.25</f>
        <v>5.71663244353183</v>
      </c>
      <c r="J34" s="65" t="n">
        <f aca="false">(DATE(2033,7,2)-DATE(2026,10,14))/365.25</f>
        <v>6.71594798083504</v>
      </c>
      <c r="K34" s="65" t="n">
        <f aca="false">(DATE(2034,7,2)-DATE(2026,10,14))/365.25</f>
        <v>7.71526351813826</v>
      </c>
      <c r="L34" s="65" t="n">
        <f aca="false">(DATE(2035,7,2)-DATE(2026,10,14))/365.25</f>
        <v>8.71457905544148</v>
      </c>
    </row>
    <row r="35" customFormat="false" ht="15" hidden="false" customHeight="false" outlineLevel="0" collapsed="false">
      <c r="A35" s="49" t="s">
        <v>374</v>
      </c>
      <c r="C35" s="66" t="n">
        <f aca="false">1/(1+$C$18)^C34</f>
        <v>1</v>
      </c>
      <c r="D35" s="66" t="n">
        <f aca="false">1/(1+$C$18)^D34</f>
        <v>0.915357805018053</v>
      </c>
      <c r="E35" s="66" t="n">
        <f aca="false">1/(1+$C$18)^E34</f>
        <v>0.808592738386777</v>
      </c>
      <c r="F35" s="66" t="n">
        <f aca="false">1/(1+$C$18)^F34</f>
        <v>0.714522560661764</v>
      </c>
      <c r="G35" s="66" t="n">
        <f aca="false">1/(1+$C$18)^G34</f>
        <v>0.631396332736338</v>
      </c>
      <c r="H35" s="66" t="n">
        <f aca="false">1/(1+$C$18)^H34</f>
        <v>0.557940855812406</v>
      </c>
      <c r="I35" s="66" t="n">
        <f aca="false">1/(1+$C$18)^I34</f>
        <v>0.492864016656654</v>
      </c>
      <c r="J35" s="66" t="n">
        <f aca="false">1/(1+$C$18)^J34</f>
        <v>0.435525132147679</v>
      </c>
      <c r="K35" s="66" t="n">
        <f aca="false">1/(1+$C$18)^K34</f>
        <v>0.384856946991105</v>
      </c>
      <c r="L35" s="66" t="n">
        <f aca="false">1/(1+$C$18)^L34</f>
        <v>0.340083404410957</v>
      </c>
    </row>
    <row r="36" customFormat="false" ht="15" hidden="false" customHeight="false" outlineLevel="0" collapsed="false">
      <c r="A36" s="48" t="s">
        <v>375</v>
      </c>
      <c r="C36" s="62" t="n">
        <f aca="false">C33*C35</f>
        <v>3782.78783613014</v>
      </c>
      <c r="D36" s="62" t="n">
        <f aca="false">D33*D35</f>
        <v>11156.3096831931</v>
      </c>
      <c r="E36" s="62" t="n">
        <f aca="false">E33*E35</f>
        <v>15251.4461402936</v>
      </c>
      <c r="F36" s="62" t="n">
        <f aca="false">F33*F35</f>
        <v>17730.3193556896</v>
      </c>
      <c r="G36" s="62" t="n">
        <f aca="false">G33*G35</f>
        <v>18490.4902050836</v>
      </c>
      <c r="H36" s="62" t="n">
        <f aca="false">H33*H35</f>
        <v>17990.1697462633</v>
      </c>
      <c r="I36" s="62" t="n">
        <f aca="false">I33*I35</f>
        <v>17271.6848632944</v>
      </c>
      <c r="J36" s="62" t="n">
        <f aca="false">J33*J35</f>
        <v>16370.6854889927</v>
      </c>
      <c r="K36" s="62" t="n">
        <f aca="false">K33*K35</f>
        <v>15311.1702100615</v>
      </c>
      <c r="L36" s="62" t="n">
        <f aca="false">L33*L35</f>
        <v>14128.0105319569</v>
      </c>
    </row>
    <row r="38" customFormat="false" ht="15" hidden="false" customHeight="false" outlineLevel="0" collapsed="false">
      <c r="A38" s="49" t="s">
        <v>376</v>
      </c>
      <c r="C38" s="62" t="n">
        <f aca="false">SUM(C36:G36)</f>
        <v>66411.3532203901</v>
      </c>
    </row>
    <row r="39" customFormat="false" ht="15" hidden="false" customHeight="false" outlineLevel="0" collapsed="false">
      <c r="A39" s="49" t="s">
        <v>377</v>
      </c>
      <c r="C39" s="62" t="n">
        <f aca="false">SUM(H36:L36)</f>
        <v>81071.7208405689</v>
      </c>
    </row>
    <row r="40" customFormat="false" ht="15" hidden="false" customHeight="false" outlineLevel="0" collapsed="false">
      <c r="A40" s="49" t="s">
        <v>378</v>
      </c>
      <c r="C40" s="62" t="n">
        <f aca="false">L30*(1+$C$19)</f>
        <v>42789.0648563703</v>
      </c>
    </row>
    <row r="41" customFormat="false" ht="15" hidden="false" customHeight="false" outlineLevel="0" collapsed="false">
      <c r="A41" s="49" t="s">
        <v>379</v>
      </c>
      <c r="C41" s="62" t="n">
        <f aca="false">C40/($C$18-$C$19)</f>
        <v>420529.432589044</v>
      </c>
    </row>
    <row r="42" customFormat="false" ht="15" hidden="false" customHeight="false" outlineLevel="0" collapsed="false">
      <c r="A42" s="49" t="s">
        <v>380</v>
      </c>
      <c r="C42" s="65" t="n">
        <f aca="false">(DATE(2035,12,31)-DATE(2026,10,14))/365.25</f>
        <v>9.21286789869952</v>
      </c>
    </row>
    <row r="43" customFormat="false" ht="15" hidden="false" customHeight="false" outlineLevel="0" collapsed="false">
      <c r="A43" s="49" t="s">
        <v>381</v>
      </c>
      <c r="C43" s="62" t="n">
        <f aca="false">C41/(1+$C$18)^C42</f>
        <v>134461.661048747</v>
      </c>
    </row>
    <row r="44" customFormat="false" ht="15" hidden="false" customHeight="false" outlineLevel="0" collapsed="false">
      <c r="A44" s="48" t="s">
        <v>382</v>
      </c>
      <c r="C44" s="62" t="n">
        <f aca="false">C38+C39+C43</f>
        <v>281944.735109706</v>
      </c>
    </row>
    <row r="45" customFormat="false" ht="15" hidden="false" customHeight="false" outlineLevel="0" collapsed="false">
      <c r="A45" s="49" t="s">
        <v>383</v>
      </c>
      <c r="C45" s="54" t="n">
        <f aca="false">C43/C44</f>
        <v>0.47690786279952</v>
      </c>
    </row>
    <row r="46" customFormat="false" ht="15" hidden="false" customHeight="false" outlineLevel="0" collapsed="false">
      <c r="A46" s="49" t="s">
        <v>384</v>
      </c>
      <c r="C46" s="62" t="n">
        <f aca="false">$C$20</f>
        <v>9885</v>
      </c>
    </row>
    <row r="47" customFormat="false" ht="15" hidden="false" customHeight="false" outlineLevel="0" collapsed="false">
      <c r="A47" s="48" t="s">
        <v>385</v>
      </c>
      <c r="C47" s="62" t="n">
        <f aca="false">C44+C46</f>
        <v>291829.735109706</v>
      </c>
    </row>
    <row r="48" customFormat="false" ht="15" hidden="false" customHeight="false" outlineLevel="0" collapsed="false">
      <c r="A48" s="48" t="s">
        <v>386</v>
      </c>
      <c r="C48" s="67" t="n">
        <f aca="false">C47/$C$21</f>
        <v>175.907013327128</v>
      </c>
    </row>
    <row r="49" customFormat="false" ht="15" hidden="false" customHeight="false" outlineLevel="0" collapsed="false">
      <c r="A49" s="49" t="s">
        <v>387</v>
      </c>
      <c r="C49" s="54" t="n">
        <f aca="false">C48/$C$22-1</f>
        <v>-0.709499094467445</v>
      </c>
    </row>
    <row r="50" customFormat="false" ht="15" hidden="false" customHeight="false" outlineLevel="0" collapsed="false">
      <c r="A50" s="49" t="s">
        <v>388</v>
      </c>
      <c r="C50" s="68" t="n">
        <f aca="false">C44/Comps!J17</f>
        <v>4.39120221680353</v>
      </c>
    </row>
    <row r="51" customFormat="false" ht="15" hidden="false" customHeight="false" outlineLevel="0" collapsed="false">
      <c r="A51" s="49" t="s">
        <v>389</v>
      </c>
      <c r="C51" s="69" t="n">
        <f aca="false">C41/L30</f>
        <v>10.1228039692069</v>
      </c>
    </row>
    <row r="55" customFormat="false" ht="15" hidden="false" customHeight="false" outlineLevel="0" collapsed="false">
      <c r="A55" s="59" t="s">
        <v>390</v>
      </c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</row>
    <row r="56" customFormat="false" ht="15" hidden="false" customHeight="false" outlineLevel="0" collapsed="false">
      <c r="A56" s="61" t="s">
        <v>93</v>
      </c>
      <c r="B56" s="61"/>
      <c r="C56" s="61" t="s">
        <v>361</v>
      </c>
      <c r="D56" s="61" t="s">
        <v>30</v>
      </c>
      <c r="E56" s="61" t="s">
        <v>31</v>
      </c>
      <c r="F56" s="61" t="s">
        <v>32</v>
      </c>
      <c r="G56" s="61" t="s">
        <v>33</v>
      </c>
      <c r="H56" s="61" t="s">
        <v>362</v>
      </c>
      <c r="I56" s="61" t="s">
        <v>363</v>
      </c>
      <c r="J56" s="61" t="s">
        <v>364</v>
      </c>
      <c r="K56" s="61" t="s">
        <v>365</v>
      </c>
      <c r="L56" s="61" t="s">
        <v>366</v>
      </c>
    </row>
    <row r="57" customFormat="false" ht="15" hidden="false" customHeight="false" outlineLevel="0" collapsed="false">
      <c r="A57" s="49" t="s">
        <v>367</v>
      </c>
      <c r="C57" s="49" t="s">
        <v>368</v>
      </c>
      <c r="D57" s="49" t="s">
        <v>368</v>
      </c>
      <c r="E57" s="49" t="s">
        <v>368</v>
      </c>
      <c r="F57" s="49" t="s">
        <v>368</v>
      </c>
      <c r="G57" s="49" t="s">
        <v>368</v>
      </c>
      <c r="H57" s="49" t="s">
        <v>369</v>
      </c>
      <c r="I57" s="49" t="s">
        <v>369</v>
      </c>
      <c r="J57" s="49" t="s">
        <v>369</v>
      </c>
      <c r="K57" s="49" t="s">
        <v>369</v>
      </c>
      <c r="L57" s="49" t="s">
        <v>369</v>
      </c>
    </row>
    <row r="58" customFormat="false" ht="15" hidden="false" customHeight="false" outlineLevel="0" collapsed="false">
      <c r="A58" s="49" t="s">
        <v>94</v>
      </c>
      <c r="C58" s="70" t="n">
        <v>51397.3</v>
      </c>
      <c r="D58" s="70" t="n">
        <v>78923.9</v>
      </c>
      <c r="E58" s="70" t="n">
        <v>108335.4</v>
      </c>
      <c r="F58" s="70" t="n">
        <v>135585.4</v>
      </c>
      <c r="G58" s="70" t="n">
        <v>157285.6</v>
      </c>
      <c r="H58" s="62" t="n">
        <f aca="false">G58*(1+H59)</f>
        <v>179049.759729228</v>
      </c>
      <c r="I58" s="62" t="n">
        <f aca="false">H58*(1+I59)</f>
        <v>199944.652519887</v>
      </c>
      <c r="J58" s="62" t="n">
        <f aca="false">I58*(1+J59)</f>
        <v>218944.213753269</v>
      </c>
      <c r="K58" s="62" t="n">
        <f aca="false">J58*(1+K59)</f>
        <v>235003.640887395</v>
      </c>
      <c r="L58" s="62" t="n">
        <f aca="false">K58*(1+L59)</f>
        <v>247147.383755556</v>
      </c>
    </row>
    <row r="59" customFormat="false" ht="15" hidden="false" customHeight="false" outlineLevel="0" collapsed="false">
      <c r="A59" s="49" t="s">
        <v>308</v>
      </c>
      <c r="C59" s="63" t="n">
        <f aca="false">C58/'Revenue Model'!F47-1</f>
        <v>0.483798608504864</v>
      </c>
      <c r="D59" s="54" t="n">
        <f aca="false">D58/C58-1</f>
        <v>0.53556509777751</v>
      </c>
      <c r="E59" s="54" t="n">
        <f aca="false">E58/D58-1</f>
        <v>0.372656445005885</v>
      </c>
      <c r="F59" s="54" t="n">
        <f aca="false">F58/E58-1</f>
        <v>0.25153366305012</v>
      </c>
      <c r="G59" s="54" t="n">
        <f aca="false">G58/F58-1</f>
        <v>0.160048205780269</v>
      </c>
      <c r="H59" s="54" t="n">
        <f aca="false">$G59-($G59-$C$19)*1/6</f>
        <v>0.13837350481689</v>
      </c>
      <c r="I59" s="54" t="n">
        <f aca="false">$G59-($G59-$C$19)*2/6</f>
        <v>0.116698803853512</v>
      </c>
      <c r="J59" s="54" t="n">
        <f aca="false">$G59-($G59-$C$19)*3/6</f>
        <v>0.0950241028901343</v>
      </c>
      <c r="K59" s="54" t="n">
        <f aca="false">$G59-($G59-$C$19)*4/6</f>
        <v>0.0733494019267562</v>
      </c>
      <c r="L59" s="54" t="n">
        <f aca="false">$G59-($G59-$C$19)*5/6</f>
        <v>0.0516747009633781</v>
      </c>
    </row>
    <row r="60" customFormat="false" ht="15" hidden="false" customHeight="false" outlineLevel="0" collapsed="false">
      <c r="A60" s="49" t="s">
        <v>370</v>
      </c>
      <c r="C60" s="70" t="n">
        <v>8183</v>
      </c>
      <c r="D60" s="70" t="n">
        <v>15119.2</v>
      </c>
      <c r="E60" s="70" t="n">
        <v>26105.5</v>
      </c>
      <c r="F60" s="70" t="n">
        <v>36380.7</v>
      </c>
      <c r="G60" s="70" t="n">
        <v>44813.3</v>
      </c>
      <c r="H60" s="62" t="n">
        <f aca="false">H58*H61</f>
        <v>51014.2733834108</v>
      </c>
      <c r="I60" s="62" t="n">
        <f aca="false">I58*I61</f>
        <v>56967.5780667109</v>
      </c>
      <c r="J60" s="62" t="n">
        <f aca="false">J58*J61</f>
        <v>62380.8710663238</v>
      </c>
      <c r="K60" s="62" t="n">
        <f aca="false">K58*K61</f>
        <v>66956.4706507087</v>
      </c>
      <c r="L60" s="62" t="n">
        <f aca="false">L58*L61</f>
        <v>70416.4262491473</v>
      </c>
    </row>
    <row r="61" customFormat="false" ht="15" hidden="false" customHeight="false" outlineLevel="0" collapsed="false">
      <c r="A61" s="49" t="s">
        <v>318</v>
      </c>
      <c r="C61" s="54" t="n">
        <f aca="false">C60/C58</f>
        <v>0.159210697838213</v>
      </c>
      <c r="D61" s="54" t="n">
        <f aca="false">D60/D58</f>
        <v>0.191566813094639</v>
      </c>
      <c r="E61" s="54" t="n">
        <f aca="false">E60/E58</f>
        <v>0.240969249202015</v>
      </c>
      <c r="F61" s="54" t="n">
        <f aca="false">F60/F58</f>
        <v>0.268323138036986</v>
      </c>
      <c r="G61" s="54" t="n">
        <f aca="false">G60/G58</f>
        <v>0.284916737450854</v>
      </c>
      <c r="H61" s="54" t="n">
        <f aca="false">$G61</f>
        <v>0.284916737450854</v>
      </c>
      <c r="I61" s="54" t="n">
        <f aca="false">$G61</f>
        <v>0.284916737450854</v>
      </c>
      <c r="J61" s="54" t="n">
        <f aca="false">$G61</f>
        <v>0.284916737450854</v>
      </c>
      <c r="K61" s="54" t="n">
        <f aca="false">$G61</f>
        <v>0.284916737450854</v>
      </c>
      <c r="L61" s="54" t="n">
        <f aca="false">$G61</f>
        <v>0.284916737450854</v>
      </c>
    </row>
    <row r="62" customFormat="false" ht="15" hidden="false" customHeight="false" outlineLevel="0" collapsed="false">
      <c r="A62" s="49" t="s">
        <v>371</v>
      </c>
      <c r="C62" s="64" t="n">
        <v>0.5</v>
      </c>
      <c r="D62" s="64" t="n">
        <v>1</v>
      </c>
      <c r="E62" s="64" t="n">
        <v>1</v>
      </c>
      <c r="F62" s="64" t="n">
        <v>1</v>
      </c>
      <c r="G62" s="64" t="n">
        <v>1</v>
      </c>
      <c r="H62" s="64" t="n">
        <v>1</v>
      </c>
      <c r="I62" s="64" t="n">
        <v>1</v>
      </c>
      <c r="J62" s="64" t="n">
        <v>1</v>
      </c>
      <c r="K62" s="64" t="n">
        <v>1</v>
      </c>
      <c r="L62" s="64" t="n">
        <v>1</v>
      </c>
    </row>
    <row r="63" customFormat="false" ht="15" hidden="false" customHeight="false" outlineLevel="0" collapsed="false">
      <c r="A63" s="49" t="s">
        <v>372</v>
      </c>
      <c r="C63" s="62" t="n">
        <f aca="false">C60*C62</f>
        <v>4091.5</v>
      </c>
      <c r="D63" s="62" t="n">
        <f aca="false">D60*D62</f>
        <v>15119.2</v>
      </c>
      <c r="E63" s="62" t="n">
        <f aca="false">E60*E62</f>
        <v>26105.5</v>
      </c>
      <c r="F63" s="62" t="n">
        <f aca="false">F60*F62</f>
        <v>36380.7</v>
      </c>
      <c r="G63" s="62" t="n">
        <f aca="false">G60*G62</f>
        <v>44813.3</v>
      </c>
      <c r="H63" s="62" t="n">
        <f aca="false">H60*H62</f>
        <v>51014.2733834108</v>
      </c>
      <c r="I63" s="62" t="n">
        <f aca="false">I60*I62</f>
        <v>56967.5780667109</v>
      </c>
      <c r="J63" s="62" t="n">
        <f aca="false">J60*J62</f>
        <v>62380.8710663238</v>
      </c>
      <c r="K63" s="62" t="n">
        <f aca="false">K60*K62</f>
        <v>66956.4706507087</v>
      </c>
      <c r="L63" s="62" t="n">
        <f aca="false">L60*L62</f>
        <v>70416.4262491473</v>
      </c>
    </row>
    <row r="64" customFormat="false" ht="15" hidden="false" customHeight="false" outlineLevel="0" collapsed="false">
      <c r="A64" s="49" t="s">
        <v>373</v>
      </c>
      <c r="C64" s="64" t="n">
        <v>0</v>
      </c>
      <c r="D64" s="65" t="n">
        <f aca="false">(DATE(2027,7,2)-DATE(2026,10,14))/365.25</f>
        <v>0.714579055441479</v>
      </c>
      <c r="E64" s="65" t="n">
        <f aca="false">(DATE(2028,7,2)-DATE(2026,10,14))/365.25</f>
        <v>1.71663244353183</v>
      </c>
      <c r="F64" s="65" t="n">
        <f aca="false">(DATE(2029,7,2)-DATE(2026,10,14))/365.25</f>
        <v>2.71594798083504</v>
      </c>
      <c r="G64" s="65" t="n">
        <f aca="false">(DATE(2030,7,2)-DATE(2026,10,14))/365.25</f>
        <v>3.71526351813826</v>
      </c>
      <c r="H64" s="65" t="n">
        <f aca="false">(DATE(2031,7,2)-DATE(2026,10,14))/365.25</f>
        <v>4.71457905544148</v>
      </c>
      <c r="I64" s="65" t="n">
        <f aca="false">(DATE(2032,7,2)-DATE(2026,10,14))/365.25</f>
        <v>5.71663244353183</v>
      </c>
      <c r="J64" s="65" t="n">
        <f aca="false">(DATE(2033,7,2)-DATE(2026,10,14))/365.25</f>
        <v>6.71594798083504</v>
      </c>
      <c r="K64" s="65" t="n">
        <f aca="false">(DATE(2034,7,2)-DATE(2026,10,14))/365.25</f>
        <v>7.71526351813826</v>
      </c>
      <c r="L64" s="65" t="n">
        <f aca="false">(DATE(2035,7,2)-DATE(2026,10,14))/365.25</f>
        <v>8.71457905544148</v>
      </c>
    </row>
    <row r="65" customFormat="false" ht="15" hidden="false" customHeight="false" outlineLevel="0" collapsed="false">
      <c r="A65" s="49" t="s">
        <v>374</v>
      </c>
      <c r="C65" s="66" t="n">
        <f aca="false">1/(1+$C$18)^C64</f>
        <v>1</v>
      </c>
      <c r="D65" s="66" t="n">
        <f aca="false">1/(1+$C$18)^D64</f>
        <v>0.915357805018053</v>
      </c>
      <c r="E65" s="66" t="n">
        <f aca="false">1/(1+$C$18)^E64</f>
        <v>0.808592738386777</v>
      </c>
      <c r="F65" s="66" t="n">
        <f aca="false">1/(1+$C$18)^F64</f>
        <v>0.714522560661764</v>
      </c>
      <c r="G65" s="66" t="n">
        <f aca="false">1/(1+$C$18)^G64</f>
        <v>0.631396332736338</v>
      </c>
      <c r="H65" s="66" t="n">
        <f aca="false">1/(1+$C$18)^H64</f>
        <v>0.557940855812406</v>
      </c>
      <c r="I65" s="66" t="n">
        <f aca="false">1/(1+$C$18)^I64</f>
        <v>0.492864016656654</v>
      </c>
      <c r="J65" s="66" t="n">
        <f aca="false">1/(1+$C$18)^J64</f>
        <v>0.435525132147679</v>
      </c>
      <c r="K65" s="66" t="n">
        <f aca="false">1/(1+$C$18)^K64</f>
        <v>0.384856946991105</v>
      </c>
      <c r="L65" s="66" t="n">
        <f aca="false">1/(1+$C$18)^L64</f>
        <v>0.340083404410957</v>
      </c>
    </row>
    <row r="66" customFormat="false" ht="15" hidden="false" customHeight="false" outlineLevel="0" collapsed="false">
      <c r="A66" s="48" t="s">
        <v>375</v>
      </c>
      <c r="C66" s="62" t="n">
        <f aca="false">C63*C65</f>
        <v>4091.5</v>
      </c>
      <c r="D66" s="62" t="n">
        <f aca="false">D63*D65</f>
        <v>13839.4777256289</v>
      </c>
      <c r="E66" s="62" t="n">
        <f aca="false">E63*E65</f>
        <v>21108.717731956</v>
      </c>
      <c r="F66" s="62" t="n">
        <f aca="false">F63*F65</f>
        <v>25994.8309226674</v>
      </c>
      <c r="G66" s="62" t="n">
        <f aca="false">G63*G65</f>
        <v>28294.9532778133</v>
      </c>
      <c r="H66" s="62" t="n">
        <f aca="false">H63*H65</f>
        <v>28462.9473501883</v>
      </c>
      <c r="I66" s="62" t="n">
        <f aca="false">I63*I65</f>
        <v>28077.2693451606</v>
      </c>
      <c r="J66" s="62" t="n">
        <f aca="false">J63*J65</f>
        <v>27168.437114648</v>
      </c>
      <c r="K66" s="62" t="n">
        <f aca="false">K63*K65</f>
        <v>25768.6628759313</v>
      </c>
      <c r="L66" s="62" t="n">
        <f aca="false">L63*L65</f>
        <v>23947.4579652631</v>
      </c>
    </row>
    <row r="68" customFormat="false" ht="15" hidden="false" customHeight="false" outlineLevel="0" collapsed="false">
      <c r="A68" s="49" t="s">
        <v>376</v>
      </c>
      <c r="C68" s="62" t="n">
        <f aca="false">SUM(C66:G66)</f>
        <v>93329.4796580657</v>
      </c>
    </row>
    <row r="69" customFormat="false" ht="15" hidden="false" customHeight="false" outlineLevel="0" collapsed="false">
      <c r="A69" s="49" t="s">
        <v>377</v>
      </c>
      <c r="C69" s="62" t="n">
        <f aca="false">SUM(H66:L66)</f>
        <v>133424.774651191</v>
      </c>
    </row>
    <row r="70" customFormat="false" ht="15" hidden="false" customHeight="false" outlineLevel="0" collapsed="false">
      <c r="A70" s="49" t="s">
        <v>378</v>
      </c>
      <c r="C70" s="62" t="n">
        <f aca="false">L60*(1+$C$19)</f>
        <v>72528.9190366217</v>
      </c>
    </row>
    <row r="71" customFormat="false" ht="15" hidden="false" customHeight="false" outlineLevel="0" collapsed="false">
      <c r="A71" s="49" t="s">
        <v>379</v>
      </c>
      <c r="C71" s="62" t="n">
        <f aca="false">C70/($C$18-$C$19)</f>
        <v>712811.67913223</v>
      </c>
    </row>
    <row r="72" customFormat="false" ht="15" hidden="false" customHeight="false" outlineLevel="0" collapsed="false">
      <c r="A72" s="49" t="s">
        <v>380</v>
      </c>
      <c r="C72" s="65" t="n">
        <f aca="false">(DATE(2035,12,31)-DATE(2026,10,14))/365.25</f>
        <v>9.21286789869952</v>
      </c>
    </row>
    <row r="73" customFormat="false" ht="15" hidden="false" customHeight="false" outlineLevel="0" collapsed="false">
      <c r="A73" s="49" t="s">
        <v>381</v>
      </c>
      <c r="C73" s="62" t="n">
        <f aca="false">C71/(1+$C$18)^C72</f>
        <v>227917.084901712</v>
      </c>
    </row>
    <row r="74" customFormat="false" ht="15" hidden="false" customHeight="false" outlineLevel="0" collapsed="false">
      <c r="A74" s="48" t="s">
        <v>382</v>
      </c>
      <c r="C74" s="62" t="n">
        <f aca="false">C68+C69+C73</f>
        <v>454671.339210969</v>
      </c>
    </row>
    <row r="75" customFormat="false" ht="15" hidden="false" customHeight="false" outlineLevel="0" collapsed="false">
      <c r="A75" s="49" t="s">
        <v>383</v>
      </c>
      <c r="C75" s="54" t="n">
        <f aca="false">C73/C74</f>
        <v>0.501278759504033</v>
      </c>
    </row>
    <row r="76" customFormat="false" ht="15" hidden="false" customHeight="false" outlineLevel="0" collapsed="false">
      <c r="A76" s="49" t="s">
        <v>384</v>
      </c>
      <c r="C76" s="62" t="n">
        <f aca="false">$C$20</f>
        <v>9885</v>
      </c>
    </row>
    <row r="77" customFormat="false" ht="15" hidden="false" customHeight="false" outlineLevel="0" collapsed="false">
      <c r="A77" s="48" t="s">
        <v>385</v>
      </c>
      <c r="C77" s="62" t="n">
        <f aca="false">C74+C76</f>
        <v>464556.339210969</v>
      </c>
    </row>
    <row r="78" customFormat="false" ht="15" hidden="false" customHeight="false" outlineLevel="0" collapsed="false">
      <c r="A78" s="48" t="s">
        <v>386</v>
      </c>
      <c r="C78" s="67" t="n">
        <f aca="false">C77/$C$21</f>
        <v>280.021904286298</v>
      </c>
    </row>
    <row r="79" customFormat="false" ht="15" hidden="false" customHeight="false" outlineLevel="0" collapsed="false">
      <c r="A79" s="49" t="s">
        <v>387</v>
      </c>
      <c r="C79" s="54" t="n">
        <f aca="false">C78/$C$22-1</f>
        <v>-0.537558990824074</v>
      </c>
    </row>
    <row r="80" customFormat="false" ht="15" hidden="false" customHeight="false" outlineLevel="0" collapsed="false">
      <c r="A80" s="49" t="s">
        <v>388</v>
      </c>
      <c r="C80" s="68" t="n">
        <f aca="false">C74/Comps!J17</f>
        <v>7.08136575731187</v>
      </c>
    </row>
    <row r="81" customFormat="false" ht="15" hidden="false" customHeight="false" outlineLevel="0" collapsed="false">
      <c r="A81" s="49" t="s">
        <v>389</v>
      </c>
      <c r="C81" s="69" t="n">
        <f aca="false">C71/L60</f>
        <v>10.1228039692069</v>
      </c>
    </row>
    <row r="85" customFormat="false" ht="15" hidden="false" customHeight="false" outlineLevel="0" collapsed="false">
      <c r="A85" s="59" t="s">
        <v>391</v>
      </c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</row>
    <row r="86" customFormat="false" ht="15" hidden="false" customHeight="false" outlineLevel="0" collapsed="false">
      <c r="A86" s="61" t="s">
        <v>93</v>
      </c>
      <c r="B86" s="61"/>
      <c r="C86" s="61" t="s">
        <v>361</v>
      </c>
      <c r="D86" s="61" t="s">
        <v>30</v>
      </c>
      <c r="E86" s="61" t="s">
        <v>31</v>
      </c>
      <c r="F86" s="61" t="s">
        <v>32</v>
      </c>
      <c r="G86" s="61" t="s">
        <v>33</v>
      </c>
      <c r="H86" s="61" t="s">
        <v>362</v>
      </c>
      <c r="I86" s="61" t="s">
        <v>363</v>
      </c>
      <c r="J86" s="61" t="s">
        <v>364</v>
      </c>
      <c r="K86" s="61" t="s">
        <v>365</v>
      </c>
      <c r="L86" s="61" t="s">
        <v>366</v>
      </c>
    </row>
    <row r="87" customFormat="false" ht="15" hidden="false" customHeight="false" outlineLevel="0" collapsed="false">
      <c r="A87" s="49" t="s">
        <v>367</v>
      </c>
      <c r="C87" s="49" t="s">
        <v>368</v>
      </c>
      <c r="D87" s="49" t="s">
        <v>368</v>
      </c>
      <c r="E87" s="49" t="s">
        <v>368</v>
      </c>
      <c r="F87" s="49" t="s">
        <v>368</v>
      </c>
      <c r="G87" s="49" t="s">
        <v>368</v>
      </c>
      <c r="H87" s="49" t="s">
        <v>369</v>
      </c>
      <c r="I87" s="49" t="s">
        <v>369</v>
      </c>
      <c r="J87" s="49" t="s">
        <v>369</v>
      </c>
      <c r="K87" s="49" t="s">
        <v>369</v>
      </c>
      <c r="L87" s="49" t="s">
        <v>369</v>
      </c>
    </row>
    <row r="88" customFormat="false" ht="15" hidden="false" customHeight="false" outlineLevel="0" collapsed="false">
      <c r="A88" s="49" t="s">
        <v>94</v>
      </c>
      <c r="C88" s="70" t="n">
        <v>49475.5</v>
      </c>
      <c r="D88" s="70" t="n">
        <v>69117.1</v>
      </c>
      <c r="E88" s="70" t="n">
        <v>87417.2</v>
      </c>
      <c r="F88" s="70" t="n">
        <v>102678.6</v>
      </c>
      <c r="G88" s="70" t="n">
        <v>114511.3</v>
      </c>
      <c r="H88" s="62" t="n">
        <f aca="false">G88*(1+H89)</f>
        <v>126080.77519833</v>
      </c>
      <c r="I88" s="62" t="n">
        <f aca="false">H88*(1+I89)</f>
        <v>137027.963485883</v>
      </c>
      <c r="J88" s="62" t="n">
        <f aca="false">I88*(1+J89)</f>
        <v>146978.946295771</v>
      </c>
      <c r="K88" s="62" t="n">
        <f aca="false">J88*(1+K89)</f>
        <v>155564.485132301</v>
      </c>
      <c r="L88" s="62" t="n">
        <f aca="false">K88*(1+L89)</f>
        <v>162441.477051245</v>
      </c>
    </row>
    <row r="89" customFormat="false" ht="15" hidden="false" customHeight="false" outlineLevel="0" collapsed="false">
      <c r="A89" s="49" t="s">
        <v>308</v>
      </c>
      <c r="C89" s="63" t="n">
        <f aca="false">C88/'Revenue Model'!F47-1</f>
        <v>0.428317792084067</v>
      </c>
      <c r="D89" s="54" t="n">
        <f aca="false">D88/C88-1</f>
        <v>0.396996493213813</v>
      </c>
      <c r="E89" s="54" t="n">
        <f aca="false">E88/D88-1</f>
        <v>0.264769499877744</v>
      </c>
      <c r="F89" s="54" t="n">
        <f aca="false">F88/E88-1</f>
        <v>0.174581203699043</v>
      </c>
      <c r="G89" s="54" t="n">
        <f aca="false">G88/F88-1</f>
        <v>0.11524017662882</v>
      </c>
      <c r="H89" s="54" t="n">
        <f aca="false">$G89-($G89-$C$19)*1/6</f>
        <v>0.101033480524017</v>
      </c>
      <c r="I89" s="54" t="n">
        <f aca="false">$G89-($G89-$C$19)*2/6</f>
        <v>0.0868267844192136</v>
      </c>
      <c r="J89" s="54" t="n">
        <f aca="false">$G89-($G89-$C$19)*3/6</f>
        <v>0.0726200883144102</v>
      </c>
      <c r="K89" s="54" t="n">
        <f aca="false">$G89-($G89-$C$19)*4/6</f>
        <v>0.0584133922096068</v>
      </c>
      <c r="L89" s="54" t="n">
        <f aca="false">$G89-($G89-$C$19)*5/6</f>
        <v>0.0442066961048034</v>
      </c>
    </row>
    <row r="90" customFormat="false" ht="15" hidden="false" customHeight="false" outlineLevel="0" collapsed="false">
      <c r="A90" s="49" t="s">
        <v>370</v>
      </c>
      <c r="C90" s="70" t="n">
        <v>7565.6</v>
      </c>
      <c r="D90" s="70" t="n">
        <v>12187.9</v>
      </c>
      <c r="E90" s="70" t="n">
        <v>18861.7</v>
      </c>
      <c r="F90" s="70" t="n">
        <v>24814.2</v>
      </c>
      <c r="G90" s="70" t="n">
        <v>29285.1</v>
      </c>
      <c r="H90" s="62" t="n">
        <f aca="false">H88*H91</f>
        <v>32243.8755804939</v>
      </c>
      <c r="I90" s="62" t="n">
        <f aca="false">I88*I91</f>
        <v>35043.5076143614</v>
      </c>
      <c r="J90" s="62" t="n">
        <f aca="false">J88*J91</f>
        <v>37588.370232163</v>
      </c>
      <c r="K90" s="62" t="n">
        <f aca="false">K88*K91</f>
        <v>39784.0344450543</v>
      </c>
      <c r="L90" s="62" t="n">
        <f aca="false">L88*L91</f>
        <v>41542.7551655898</v>
      </c>
    </row>
    <row r="91" customFormat="false" ht="15" hidden="false" customHeight="false" outlineLevel="0" collapsed="false">
      <c r="A91" s="49" t="s">
        <v>318</v>
      </c>
      <c r="C91" s="54" t="n">
        <f aca="false">C90/C88</f>
        <v>0.152916089781811</v>
      </c>
      <c r="D91" s="54" t="n">
        <f aca="false">D90/D88</f>
        <v>0.176336970156445</v>
      </c>
      <c r="E91" s="54" t="n">
        <f aca="false">E90/E88</f>
        <v>0.21576646243531</v>
      </c>
      <c r="F91" s="54" t="n">
        <f aca="false">F90/F88</f>
        <v>0.24166866318785</v>
      </c>
      <c r="G91" s="54" t="n">
        <f aca="false">G90/G88</f>
        <v>0.255739826549869</v>
      </c>
      <c r="H91" s="54" t="n">
        <f aca="false">$G91</f>
        <v>0.255739826549869</v>
      </c>
      <c r="I91" s="54" t="n">
        <f aca="false">$G91</f>
        <v>0.255739826549869</v>
      </c>
      <c r="J91" s="54" t="n">
        <f aca="false">$G91</f>
        <v>0.255739826549869</v>
      </c>
      <c r="K91" s="54" t="n">
        <f aca="false">$G91</f>
        <v>0.255739826549869</v>
      </c>
      <c r="L91" s="54" t="n">
        <f aca="false">$G91</f>
        <v>0.255739826549869</v>
      </c>
    </row>
    <row r="92" customFormat="false" ht="15" hidden="false" customHeight="false" outlineLevel="0" collapsed="false">
      <c r="A92" s="49" t="s">
        <v>371</v>
      </c>
      <c r="C92" s="64" t="n">
        <v>0.5</v>
      </c>
      <c r="D92" s="64" t="n">
        <v>1</v>
      </c>
      <c r="E92" s="64" t="n">
        <v>1</v>
      </c>
      <c r="F92" s="64" t="n">
        <v>1</v>
      </c>
      <c r="G92" s="64" t="n">
        <v>1</v>
      </c>
      <c r="H92" s="64" t="n">
        <v>1</v>
      </c>
      <c r="I92" s="64" t="n">
        <v>1</v>
      </c>
      <c r="J92" s="64" t="n">
        <v>1</v>
      </c>
      <c r="K92" s="64" t="n">
        <v>1</v>
      </c>
      <c r="L92" s="64" t="n">
        <v>1</v>
      </c>
    </row>
    <row r="93" customFormat="false" ht="15" hidden="false" customHeight="false" outlineLevel="0" collapsed="false">
      <c r="A93" s="49" t="s">
        <v>372</v>
      </c>
      <c r="C93" s="62" t="n">
        <f aca="false">C90*C92</f>
        <v>3782.8</v>
      </c>
      <c r="D93" s="62" t="n">
        <f aca="false">D90*D92</f>
        <v>12187.9</v>
      </c>
      <c r="E93" s="62" t="n">
        <f aca="false">E90*E92</f>
        <v>18861.7</v>
      </c>
      <c r="F93" s="62" t="n">
        <f aca="false">F90*F92</f>
        <v>24814.2</v>
      </c>
      <c r="G93" s="62" t="n">
        <f aca="false">G90*G92</f>
        <v>29285.1</v>
      </c>
      <c r="H93" s="62" t="n">
        <f aca="false">H90*H92</f>
        <v>32243.8755804939</v>
      </c>
      <c r="I93" s="62" t="n">
        <f aca="false">I90*I92</f>
        <v>35043.5076143614</v>
      </c>
      <c r="J93" s="62" t="n">
        <f aca="false">J90*J92</f>
        <v>37588.370232163</v>
      </c>
      <c r="K93" s="62" t="n">
        <f aca="false">K90*K92</f>
        <v>39784.0344450543</v>
      </c>
      <c r="L93" s="62" t="n">
        <f aca="false">L90*L92</f>
        <v>41542.7551655898</v>
      </c>
    </row>
    <row r="94" customFormat="false" ht="15" hidden="false" customHeight="false" outlineLevel="0" collapsed="false">
      <c r="A94" s="49" t="s">
        <v>373</v>
      </c>
      <c r="C94" s="64" t="n">
        <v>0</v>
      </c>
      <c r="D94" s="65" t="n">
        <f aca="false">(DATE(2027,7,2)-DATE(2026,10,14))/365.25</f>
        <v>0.714579055441479</v>
      </c>
      <c r="E94" s="65" t="n">
        <f aca="false">(DATE(2028,7,2)-DATE(2026,10,14))/365.25</f>
        <v>1.71663244353183</v>
      </c>
      <c r="F94" s="65" t="n">
        <f aca="false">(DATE(2029,7,2)-DATE(2026,10,14))/365.25</f>
        <v>2.71594798083504</v>
      </c>
      <c r="G94" s="65" t="n">
        <f aca="false">(DATE(2030,7,2)-DATE(2026,10,14))/365.25</f>
        <v>3.71526351813826</v>
      </c>
      <c r="H94" s="65" t="n">
        <f aca="false">(DATE(2031,7,2)-DATE(2026,10,14))/365.25</f>
        <v>4.71457905544148</v>
      </c>
      <c r="I94" s="65" t="n">
        <f aca="false">(DATE(2032,7,2)-DATE(2026,10,14))/365.25</f>
        <v>5.71663244353183</v>
      </c>
      <c r="J94" s="65" t="n">
        <f aca="false">(DATE(2033,7,2)-DATE(2026,10,14))/365.25</f>
        <v>6.71594798083504</v>
      </c>
      <c r="K94" s="65" t="n">
        <f aca="false">(DATE(2034,7,2)-DATE(2026,10,14))/365.25</f>
        <v>7.71526351813826</v>
      </c>
      <c r="L94" s="65" t="n">
        <f aca="false">(DATE(2035,7,2)-DATE(2026,10,14))/365.25</f>
        <v>8.71457905544148</v>
      </c>
    </row>
    <row r="95" customFormat="false" ht="15" hidden="false" customHeight="false" outlineLevel="0" collapsed="false">
      <c r="A95" s="49" t="s">
        <v>374</v>
      </c>
      <c r="C95" s="66" t="n">
        <f aca="false">1/(1+$C$18)^C94</f>
        <v>1</v>
      </c>
      <c r="D95" s="66" t="n">
        <f aca="false">1/(1+$C$18)^D94</f>
        <v>0.915357805018053</v>
      </c>
      <c r="E95" s="66" t="n">
        <f aca="false">1/(1+$C$18)^E94</f>
        <v>0.808592738386777</v>
      </c>
      <c r="F95" s="66" t="n">
        <f aca="false">1/(1+$C$18)^F94</f>
        <v>0.714522560661764</v>
      </c>
      <c r="G95" s="66" t="n">
        <f aca="false">1/(1+$C$18)^G94</f>
        <v>0.631396332736338</v>
      </c>
      <c r="H95" s="66" t="n">
        <f aca="false">1/(1+$C$18)^H94</f>
        <v>0.557940855812406</v>
      </c>
      <c r="I95" s="66" t="n">
        <f aca="false">1/(1+$C$18)^I94</f>
        <v>0.492864016656654</v>
      </c>
      <c r="J95" s="66" t="n">
        <f aca="false">1/(1+$C$18)^J94</f>
        <v>0.435525132147679</v>
      </c>
      <c r="K95" s="66" t="n">
        <f aca="false">1/(1+$C$18)^K94</f>
        <v>0.384856946991105</v>
      </c>
      <c r="L95" s="66" t="n">
        <f aca="false">1/(1+$C$18)^L94</f>
        <v>0.340083404410957</v>
      </c>
    </row>
    <row r="96" customFormat="false" ht="15" hidden="false" customHeight="false" outlineLevel="0" collapsed="false">
      <c r="A96" s="48" t="s">
        <v>375</v>
      </c>
      <c r="C96" s="62" t="n">
        <f aca="false">C93*C95</f>
        <v>3782.8</v>
      </c>
      <c r="D96" s="62" t="n">
        <f aca="false">D93*D95</f>
        <v>11156.2893917795</v>
      </c>
      <c r="E96" s="62" t="n">
        <f aca="false">E93*E95</f>
        <v>15251.4336536299</v>
      </c>
      <c r="F96" s="62" t="n">
        <f aca="false">F93*F95</f>
        <v>17730.3057247731</v>
      </c>
      <c r="G96" s="62" t="n">
        <f aca="false">G93*G95</f>
        <v>18490.5047438169</v>
      </c>
      <c r="H96" s="62" t="n">
        <f aca="false">H93*H95</f>
        <v>17990.1755360895</v>
      </c>
      <c r="I96" s="62" t="n">
        <f aca="false">I93*I95</f>
        <v>17271.6839205522</v>
      </c>
      <c r="J96" s="62" t="n">
        <f aca="false">J93*J95</f>
        <v>16370.6799125787</v>
      </c>
      <c r="K96" s="62" t="n">
        <f aca="false">K93*K95</f>
        <v>15311.1620355126</v>
      </c>
      <c r="L96" s="62" t="n">
        <f aca="false">L93*L95</f>
        <v>14128.0016053246</v>
      </c>
    </row>
    <row r="98" customFormat="false" ht="15" hidden="false" customHeight="false" outlineLevel="0" collapsed="false">
      <c r="A98" s="49" t="s">
        <v>376</v>
      </c>
      <c r="C98" s="62" t="n">
        <f aca="false">SUM(C96:G96)</f>
        <v>66411.3335139995</v>
      </c>
    </row>
    <row r="99" customFormat="false" ht="15" hidden="false" customHeight="false" outlineLevel="0" collapsed="false">
      <c r="A99" s="49" t="s">
        <v>377</v>
      </c>
      <c r="C99" s="62" t="n">
        <f aca="false">SUM(H96:L96)</f>
        <v>81071.7030100576</v>
      </c>
    </row>
    <row r="100" customFormat="false" ht="15" hidden="false" customHeight="false" outlineLevel="0" collapsed="false">
      <c r="A100" s="49" t="s">
        <v>378</v>
      </c>
      <c r="C100" s="62" t="n">
        <f aca="false">L90*(1+$C$19)</f>
        <v>42789.0378205575</v>
      </c>
    </row>
    <row r="101" customFormat="false" ht="15" hidden="false" customHeight="false" outlineLevel="0" collapsed="false">
      <c r="A101" s="49" t="s">
        <v>379</v>
      </c>
      <c r="C101" s="62" t="n">
        <f aca="false">C100/($C$18-$C$19)</f>
        <v>420529.166882021</v>
      </c>
    </row>
    <row r="102" customFormat="false" ht="15" hidden="false" customHeight="false" outlineLevel="0" collapsed="false">
      <c r="A102" s="49" t="s">
        <v>380</v>
      </c>
      <c r="C102" s="65" t="n">
        <f aca="false">(DATE(2035,12,31)-DATE(2026,10,14))/365.25</f>
        <v>9.21286789869952</v>
      </c>
    </row>
    <row r="103" customFormat="false" ht="15" hidden="false" customHeight="false" outlineLevel="0" collapsed="false">
      <c r="A103" s="49" t="s">
        <v>381</v>
      </c>
      <c r="C103" s="62" t="n">
        <f aca="false">C101/(1+$C$18)^C102</f>
        <v>134461.576090585</v>
      </c>
    </row>
    <row r="104" customFormat="false" ht="15" hidden="false" customHeight="false" outlineLevel="0" collapsed="false">
      <c r="A104" s="48" t="s">
        <v>382</v>
      </c>
      <c r="C104" s="62" t="n">
        <f aca="false">C98+C99+C103</f>
        <v>281944.612614642</v>
      </c>
    </row>
    <row r="105" customFormat="false" ht="15" hidden="false" customHeight="false" outlineLevel="0" collapsed="false">
      <c r="A105" s="49" t="s">
        <v>383</v>
      </c>
      <c r="C105" s="54" t="n">
        <f aca="false">C103/C104</f>
        <v>0.47690776867003</v>
      </c>
    </row>
    <row r="106" customFormat="false" ht="15" hidden="false" customHeight="false" outlineLevel="0" collapsed="false">
      <c r="A106" s="49" t="s">
        <v>384</v>
      </c>
      <c r="C106" s="62" t="n">
        <f aca="false">$C$20</f>
        <v>9885</v>
      </c>
    </row>
    <row r="107" customFormat="false" ht="15" hidden="false" customHeight="false" outlineLevel="0" collapsed="false">
      <c r="A107" s="48" t="s">
        <v>385</v>
      </c>
      <c r="C107" s="62" t="n">
        <f aca="false">C104+C106</f>
        <v>291829.612614642</v>
      </c>
    </row>
    <row r="108" customFormat="false" ht="15" hidden="false" customHeight="false" outlineLevel="0" collapsed="false">
      <c r="A108" s="48" t="s">
        <v>386</v>
      </c>
      <c r="C108" s="67" t="n">
        <f aca="false">C107/$C$21</f>
        <v>175.906939490441</v>
      </c>
    </row>
    <row r="109" customFormat="false" ht="15" hidden="false" customHeight="false" outlineLevel="0" collapsed="false">
      <c r="A109" s="49" t="s">
        <v>387</v>
      </c>
      <c r="C109" s="54" t="n">
        <f aca="false">C108/$C$22-1</f>
        <v>-0.709499216404735</v>
      </c>
    </row>
    <row r="110" customFormat="false" ht="15" hidden="false" customHeight="false" outlineLevel="0" collapsed="false">
      <c r="A110" s="49" t="s">
        <v>388</v>
      </c>
      <c r="C110" s="68" t="n">
        <f aca="false">C104/Comps!J17</f>
        <v>4.39120030898072</v>
      </c>
    </row>
    <row r="111" customFormat="false" ht="15" hidden="false" customHeight="false" outlineLevel="0" collapsed="false">
      <c r="A111" s="49" t="s">
        <v>389</v>
      </c>
      <c r="C111" s="69" t="n">
        <f aca="false">C101/L90</f>
        <v>10.1228039692069</v>
      </c>
    </row>
    <row r="115" customFormat="false" ht="15" hidden="false" customHeight="false" outlineLevel="0" collapsed="false">
      <c r="A115" s="59" t="s">
        <v>392</v>
      </c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</row>
    <row r="116" customFormat="false" ht="15" hidden="false" customHeight="false" outlineLevel="0" collapsed="false">
      <c r="A116" s="61" t="s">
        <v>93</v>
      </c>
      <c r="B116" s="61"/>
      <c r="C116" s="61" t="s">
        <v>361</v>
      </c>
      <c r="D116" s="61" t="s">
        <v>30</v>
      </c>
      <c r="E116" s="61" t="s">
        <v>31</v>
      </c>
      <c r="F116" s="61" t="s">
        <v>32</v>
      </c>
      <c r="G116" s="61" t="s">
        <v>33</v>
      </c>
      <c r="H116" s="61" t="s">
        <v>362</v>
      </c>
      <c r="I116" s="61" t="s">
        <v>363</v>
      </c>
      <c r="J116" s="61" t="s">
        <v>364</v>
      </c>
      <c r="K116" s="61" t="s">
        <v>365</v>
      </c>
      <c r="L116" s="61" t="s">
        <v>366</v>
      </c>
    </row>
    <row r="117" customFormat="false" ht="15" hidden="false" customHeight="false" outlineLevel="0" collapsed="false">
      <c r="A117" s="49" t="s">
        <v>367</v>
      </c>
      <c r="C117" s="49" t="s">
        <v>368</v>
      </c>
      <c r="D117" s="49" t="s">
        <v>368</v>
      </c>
      <c r="E117" s="49" t="s">
        <v>368</v>
      </c>
      <c r="F117" s="49" t="s">
        <v>368</v>
      </c>
      <c r="G117" s="49" t="s">
        <v>368</v>
      </c>
      <c r="H117" s="49" t="s">
        <v>369</v>
      </c>
      <c r="I117" s="49" t="s">
        <v>369</v>
      </c>
      <c r="J117" s="49" t="s">
        <v>369</v>
      </c>
      <c r="K117" s="49" t="s">
        <v>369</v>
      </c>
      <c r="L117" s="49" t="s">
        <v>369</v>
      </c>
    </row>
    <row r="118" customFormat="false" ht="15" hidden="false" customHeight="false" outlineLevel="0" collapsed="false">
      <c r="A118" s="49" t="s">
        <v>94</v>
      </c>
      <c r="C118" s="70" t="n">
        <v>47285.3</v>
      </c>
      <c r="D118" s="70" t="n">
        <v>54894.8</v>
      </c>
      <c r="E118" s="70" t="n">
        <v>59562.9</v>
      </c>
      <c r="F118" s="70" t="n">
        <v>63002.8</v>
      </c>
      <c r="G118" s="70" t="n">
        <v>65405.9</v>
      </c>
      <c r="H118" s="62" t="n">
        <f aca="false">G118*(1+H119)</f>
        <v>67811.8968671911</v>
      </c>
      <c r="I118" s="62" t="n">
        <f aca="false">H118*(1+I119)</f>
        <v>70214.3706196879</v>
      </c>
      <c r="J118" s="62" t="n">
        <f aca="false">I118*(1+J119)</f>
        <v>72606.6707437658</v>
      </c>
      <c r="K118" s="62" t="n">
        <f aca="false">J118*(1+K119)</f>
        <v>74981.9435030531</v>
      </c>
      <c r="L118" s="62" t="n">
        <f aca="false">K118*(1+L119)</f>
        <v>77333.1616683629</v>
      </c>
    </row>
    <row r="119" customFormat="false" ht="15" hidden="false" customHeight="false" outlineLevel="0" collapsed="false">
      <c r="A119" s="49" t="s">
        <v>308</v>
      </c>
      <c r="C119" s="63" t="n">
        <f aca="false">C118/'Revenue Model'!F47-1</f>
        <v>0.36508848407864</v>
      </c>
      <c r="D119" s="54" t="n">
        <f aca="false">D118/C118-1</f>
        <v>0.160927391810986</v>
      </c>
      <c r="E119" s="54" t="n">
        <f aca="false">E118/D118-1</f>
        <v>0.0850371984231657</v>
      </c>
      <c r="F119" s="54" t="n">
        <f aca="false">F118/E118-1</f>
        <v>0.0577523928485686</v>
      </c>
      <c r="G119" s="54" t="n">
        <f aca="false">G118/F118-1</f>
        <v>0.0381427492111461</v>
      </c>
      <c r="H119" s="54" t="n">
        <f aca="false">$G119-($G119-$C$19)*1/6</f>
        <v>0.0367856243426218</v>
      </c>
      <c r="I119" s="54" t="n">
        <f aca="false">$G119-($G119-$C$19)*2/6</f>
        <v>0.0354284994740974</v>
      </c>
      <c r="J119" s="54" t="n">
        <f aca="false">$G119-($G119-$C$19)*3/6</f>
        <v>0.0340713746055731</v>
      </c>
      <c r="K119" s="54" t="n">
        <f aca="false">$G119-($G119-$C$19)*4/6</f>
        <v>0.0327142497370487</v>
      </c>
      <c r="L119" s="54" t="n">
        <f aca="false">$G119-($G119-$C$19)*5/6</f>
        <v>0.0313571248685244</v>
      </c>
    </row>
    <row r="120" customFormat="false" ht="15" hidden="false" customHeight="false" outlineLevel="0" collapsed="false">
      <c r="A120" s="49" t="s">
        <v>370</v>
      </c>
      <c r="C120" s="70" t="n">
        <v>6456.6</v>
      </c>
      <c r="D120" s="70" t="n">
        <v>8186.2</v>
      </c>
      <c r="E120" s="70" t="n">
        <v>9963.5</v>
      </c>
      <c r="F120" s="70" t="n">
        <v>10944.5</v>
      </c>
      <c r="G120" s="70" t="n">
        <v>11779.9</v>
      </c>
      <c r="H120" s="62" t="n">
        <f aca="false">H118*H121</f>
        <v>12213.2309761936</v>
      </c>
      <c r="I120" s="62" t="n">
        <f aca="false">I118*I121</f>
        <v>12645.9274234108</v>
      </c>
      <c r="J120" s="62" t="n">
        <f aca="false">J118*J121</f>
        <v>13076.7915538887</v>
      </c>
      <c r="K120" s="62" t="n">
        <f aca="false">K118*K121</f>
        <v>13504.5889785419</v>
      </c>
      <c r="L120" s="62" t="n">
        <f aca="false">L118*L121</f>
        <v>13928.0540614402</v>
      </c>
    </row>
    <row r="121" customFormat="false" ht="15" hidden="false" customHeight="false" outlineLevel="0" collapsed="false">
      <c r="A121" s="49" t="s">
        <v>318</v>
      </c>
      <c r="C121" s="54" t="n">
        <f aca="false">C120/C118</f>
        <v>0.136545607197163</v>
      </c>
      <c r="D121" s="54" t="n">
        <f aca="false">D120/D118</f>
        <v>0.149125235905769</v>
      </c>
      <c r="E121" s="54" t="n">
        <f aca="false">E120/E118</f>
        <v>0.167276945884099</v>
      </c>
      <c r="F121" s="54" t="n">
        <f aca="false">F120/F118</f>
        <v>0.173714501577708</v>
      </c>
      <c r="G121" s="54" t="n">
        <f aca="false">G120/G118</f>
        <v>0.180104547143301</v>
      </c>
      <c r="H121" s="54" t="n">
        <f aca="false">$G121</f>
        <v>0.180104547143301</v>
      </c>
      <c r="I121" s="54" t="n">
        <f aca="false">$G121</f>
        <v>0.180104547143301</v>
      </c>
      <c r="J121" s="54" t="n">
        <f aca="false">$G121</f>
        <v>0.180104547143301</v>
      </c>
      <c r="K121" s="54" t="n">
        <f aca="false">$G121</f>
        <v>0.180104547143301</v>
      </c>
      <c r="L121" s="54" t="n">
        <f aca="false">$G121</f>
        <v>0.180104547143301</v>
      </c>
    </row>
    <row r="122" customFormat="false" ht="15" hidden="false" customHeight="false" outlineLevel="0" collapsed="false">
      <c r="A122" s="49" t="s">
        <v>371</v>
      </c>
      <c r="C122" s="64" t="n">
        <v>0.5</v>
      </c>
      <c r="D122" s="64" t="n">
        <v>1</v>
      </c>
      <c r="E122" s="64" t="n">
        <v>1</v>
      </c>
      <c r="F122" s="64" t="n">
        <v>1</v>
      </c>
      <c r="G122" s="64" t="n">
        <v>1</v>
      </c>
      <c r="H122" s="64" t="n">
        <v>1</v>
      </c>
      <c r="I122" s="64" t="n">
        <v>1</v>
      </c>
      <c r="J122" s="64" t="n">
        <v>1</v>
      </c>
      <c r="K122" s="64" t="n">
        <v>1</v>
      </c>
      <c r="L122" s="64" t="n">
        <v>1</v>
      </c>
    </row>
    <row r="123" customFormat="false" ht="15" hidden="false" customHeight="false" outlineLevel="0" collapsed="false">
      <c r="A123" s="49" t="s">
        <v>372</v>
      </c>
      <c r="C123" s="62" t="n">
        <f aca="false">C120*C122</f>
        <v>3228.3</v>
      </c>
      <c r="D123" s="62" t="n">
        <f aca="false">D120*D122</f>
        <v>8186.2</v>
      </c>
      <c r="E123" s="62" t="n">
        <f aca="false">E120*E122</f>
        <v>9963.5</v>
      </c>
      <c r="F123" s="62" t="n">
        <f aca="false">F120*F122</f>
        <v>10944.5</v>
      </c>
      <c r="G123" s="62" t="n">
        <f aca="false">G120*G122</f>
        <v>11779.9</v>
      </c>
      <c r="H123" s="62" t="n">
        <f aca="false">H120*H122</f>
        <v>12213.2309761936</v>
      </c>
      <c r="I123" s="62" t="n">
        <f aca="false">I120*I122</f>
        <v>12645.9274234108</v>
      </c>
      <c r="J123" s="62" t="n">
        <f aca="false">J120*J122</f>
        <v>13076.7915538887</v>
      </c>
      <c r="K123" s="62" t="n">
        <f aca="false">K120*K122</f>
        <v>13504.5889785419</v>
      </c>
      <c r="L123" s="62" t="n">
        <f aca="false">L120*L122</f>
        <v>13928.0540614402</v>
      </c>
    </row>
    <row r="124" customFormat="false" ht="15" hidden="false" customHeight="false" outlineLevel="0" collapsed="false">
      <c r="A124" s="49" t="s">
        <v>373</v>
      </c>
      <c r="C124" s="64" t="n">
        <v>0</v>
      </c>
      <c r="D124" s="65" t="n">
        <f aca="false">(DATE(2027,7,2)-DATE(2026,10,14))/365.25</f>
        <v>0.714579055441479</v>
      </c>
      <c r="E124" s="65" t="n">
        <f aca="false">(DATE(2028,7,2)-DATE(2026,10,14))/365.25</f>
        <v>1.71663244353183</v>
      </c>
      <c r="F124" s="65" t="n">
        <f aca="false">(DATE(2029,7,2)-DATE(2026,10,14))/365.25</f>
        <v>2.71594798083504</v>
      </c>
      <c r="G124" s="65" t="n">
        <f aca="false">(DATE(2030,7,2)-DATE(2026,10,14))/365.25</f>
        <v>3.71526351813826</v>
      </c>
      <c r="H124" s="65" t="n">
        <f aca="false">(DATE(2031,7,2)-DATE(2026,10,14))/365.25</f>
        <v>4.71457905544148</v>
      </c>
      <c r="I124" s="65" t="n">
        <f aca="false">(DATE(2032,7,2)-DATE(2026,10,14))/365.25</f>
        <v>5.71663244353183</v>
      </c>
      <c r="J124" s="65" t="n">
        <f aca="false">(DATE(2033,7,2)-DATE(2026,10,14))/365.25</f>
        <v>6.71594798083504</v>
      </c>
      <c r="K124" s="65" t="n">
        <f aca="false">(DATE(2034,7,2)-DATE(2026,10,14))/365.25</f>
        <v>7.71526351813826</v>
      </c>
      <c r="L124" s="65" t="n">
        <f aca="false">(DATE(2035,7,2)-DATE(2026,10,14))/365.25</f>
        <v>8.71457905544148</v>
      </c>
    </row>
    <row r="125" customFormat="false" ht="15" hidden="false" customHeight="false" outlineLevel="0" collapsed="false">
      <c r="A125" s="49" t="s">
        <v>374</v>
      </c>
      <c r="C125" s="66" t="n">
        <f aca="false">1/(1+$C$18)^C124</f>
        <v>1</v>
      </c>
      <c r="D125" s="66" t="n">
        <f aca="false">1/(1+$C$18)^D124</f>
        <v>0.915357805018053</v>
      </c>
      <c r="E125" s="66" t="n">
        <f aca="false">1/(1+$C$18)^E124</f>
        <v>0.808592738386777</v>
      </c>
      <c r="F125" s="66" t="n">
        <f aca="false">1/(1+$C$18)^F124</f>
        <v>0.714522560661764</v>
      </c>
      <c r="G125" s="66" t="n">
        <f aca="false">1/(1+$C$18)^G124</f>
        <v>0.631396332736338</v>
      </c>
      <c r="H125" s="66" t="n">
        <f aca="false">1/(1+$C$18)^H124</f>
        <v>0.557940855812406</v>
      </c>
      <c r="I125" s="66" t="n">
        <f aca="false">1/(1+$C$18)^I124</f>
        <v>0.492864016656654</v>
      </c>
      <c r="J125" s="66" t="n">
        <f aca="false">1/(1+$C$18)^J124</f>
        <v>0.435525132147679</v>
      </c>
      <c r="K125" s="66" t="n">
        <f aca="false">1/(1+$C$18)^K124</f>
        <v>0.384856946991105</v>
      </c>
      <c r="L125" s="66" t="n">
        <f aca="false">1/(1+$C$18)^L124</f>
        <v>0.340083404410957</v>
      </c>
    </row>
    <row r="126" customFormat="false" ht="15" hidden="false" customHeight="false" outlineLevel="0" collapsed="false">
      <c r="A126" s="48" t="s">
        <v>375</v>
      </c>
      <c r="C126" s="62" t="n">
        <f aca="false">C123*C125</f>
        <v>3228.3</v>
      </c>
      <c r="D126" s="62" t="n">
        <f aca="false">D123*D125</f>
        <v>7493.30206343878</v>
      </c>
      <c r="E126" s="62" t="n">
        <f aca="false">E123*E125</f>
        <v>8056.41374891665</v>
      </c>
      <c r="F126" s="62" t="n">
        <f aca="false">F123*F125</f>
        <v>7820.09216516268</v>
      </c>
      <c r="G126" s="62" t="n">
        <f aca="false">G123*G125</f>
        <v>7437.78566000079</v>
      </c>
      <c r="H126" s="62" t="n">
        <f aca="false">H123*H125</f>
        <v>6814.26054309207</v>
      </c>
      <c r="I126" s="62" t="n">
        <f aca="false">I123*I125</f>
        <v>6232.72258425075</v>
      </c>
      <c r="J126" s="62" t="n">
        <f aca="false">J123*J125</f>
        <v>5695.27136957501</v>
      </c>
      <c r="K126" s="62" t="n">
        <f aca="false">K123*K125</f>
        <v>5197.33488465137</v>
      </c>
      <c r="L126" s="62" t="n">
        <f aca="false">L123*L125</f>
        <v>4736.70004203442</v>
      </c>
    </row>
    <row r="128" customFormat="false" ht="15" hidden="false" customHeight="false" outlineLevel="0" collapsed="false">
      <c r="A128" s="49" t="s">
        <v>376</v>
      </c>
      <c r="C128" s="62" t="n">
        <f aca="false">SUM(C126:G126)</f>
        <v>34035.8936375189</v>
      </c>
    </row>
    <row r="129" customFormat="false" ht="15" hidden="false" customHeight="false" outlineLevel="0" collapsed="false">
      <c r="A129" s="49" t="s">
        <v>377</v>
      </c>
      <c r="C129" s="62" t="n">
        <f aca="false">SUM(H126:L126)</f>
        <v>28676.2894236036</v>
      </c>
    </row>
    <row r="130" customFormat="false" ht="15" hidden="false" customHeight="false" outlineLevel="0" collapsed="false">
      <c r="A130" s="49" t="s">
        <v>378</v>
      </c>
      <c r="C130" s="62" t="n">
        <f aca="false">L120*(1+$C$19)</f>
        <v>14345.8956832834</v>
      </c>
    </row>
    <row r="131" customFormat="false" ht="15" hidden="false" customHeight="false" outlineLevel="0" collapsed="false">
      <c r="A131" s="49" t="s">
        <v>379</v>
      </c>
      <c r="C131" s="62" t="n">
        <f aca="false">C130/($C$18-$C$19)</f>
        <v>140990.960936474</v>
      </c>
    </row>
    <row r="132" customFormat="false" ht="15" hidden="false" customHeight="false" outlineLevel="0" collapsed="false">
      <c r="A132" s="49" t="s">
        <v>380</v>
      </c>
      <c r="C132" s="65" t="n">
        <f aca="false">(DATE(2035,12,31)-DATE(2026,10,14))/365.25</f>
        <v>9.21286789869952</v>
      </c>
    </row>
    <row r="133" customFormat="false" ht="15" hidden="false" customHeight="false" outlineLevel="0" collapsed="false">
      <c r="A133" s="49" t="s">
        <v>381</v>
      </c>
      <c r="C133" s="62" t="n">
        <f aca="false">C131/(1+$C$18)^C132</f>
        <v>45080.9796680832</v>
      </c>
    </row>
    <row r="134" customFormat="false" ht="15" hidden="false" customHeight="false" outlineLevel="0" collapsed="false">
      <c r="A134" s="48" t="s">
        <v>382</v>
      </c>
      <c r="C134" s="62" t="n">
        <f aca="false">C128+C129+C133</f>
        <v>107793.162729206</v>
      </c>
    </row>
    <row r="135" customFormat="false" ht="15" hidden="false" customHeight="false" outlineLevel="0" collapsed="false">
      <c r="A135" s="49" t="s">
        <v>383</v>
      </c>
      <c r="C135" s="54" t="n">
        <f aca="false">C133/C134</f>
        <v>0.418217431668965</v>
      </c>
    </row>
    <row r="136" customFormat="false" ht="15" hidden="false" customHeight="false" outlineLevel="0" collapsed="false">
      <c r="A136" s="49" t="s">
        <v>384</v>
      </c>
      <c r="C136" s="62" t="n">
        <f aca="false">$C$20</f>
        <v>9885</v>
      </c>
    </row>
    <row r="137" customFormat="false" ht="15" hidden="false" customHeight="false" outlineLevel="0" collapsed="false">
      <c r="A137" s="48" t="s">
        <v>385</v>
      </c>
      <c r="C137" s="62" t="n">
        <f aca="false">C134+C136</f>
        <v>117678.162729206</v>
      </c>
    </row>
    <row r="138" customFormat="false" ht="15" hidden="false" customHeight="false" outlineLevel="0" collapsed="false">
      <c r="A138" s="48" t="s">
        <v>386</v>
      </c>
      <c r="C138" s="67" t="n">
        <f aca="false">C137/$C$21</f>
        <v>70.9331903129631</v>
      </c>
    </row>
    <row r="139" customFormat="false" ht="15" hidden="false" customHeight="false" outlineLevel="0" collapsed="false">
      <c r="A139" s="49" t="s">
        <v>387</v>
      </c>
      <c r="C139" s="54" t="n">
        <f aca="false">C138/$C$22-1</f>
        <v>-0.882857677880595</v>
      </c>
    </row>
    <row r="140" customFormat="false" ht="15" hidden="false" customHeight="false" outlineLevel="0" collapsed="false">
      <c r="A140" s="49" t="s">
        <v>388</v>
      </c>
      <c r="C140" s="68" t="n">
        <f aca="false">C134/Comps!J17</f>
        <v>1.67884523521453</v>
      </c>
    </row>
    <row r="141" customFormat="false" ht="15" hidden="false" customHeight="false" outlineLevel="0" collapsed="false">
      <c r="A141" s="49" t="s">
        <v>389</v>
      </c>
      <c r="C141" s="69" t="n">
        <f aca="false">C131/L120</f>
        <v>10.1228039692069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4"/>
  </cols>
  <sheetData>
    <row r="1" customFormat="false" ht="17.35" hidden="false" customHeight="false" outlineLevel="0" collapsed="false">
      <c r="A1" s="46" t="s">
        <v>393</v>
      </c>
    </row>
    <row r="2" customFormat="false" ht="15" hidden="false" customHeight="false" outlineLevel="0" collapsed="false">
      <c r="A2" s="47" t="s">
        <v>394</v>
      </c>
    </row>
    <row r="4" customFormat="false" ht="15" hidden="false" customHeight="false" outlineLevel="0" collapsed="false">
      <c r="A4" s="48" t="s">
        <v>395</v>
      </c>
    </row>
    <row r="5" customFormat="false" ht="15" hidden="false" customHeight="false" outlineLevel="0" collapsed="false">
      <c r="B5" s="71" t="s">
        <v>396</v>
      </c>
      <c r="C5" s="72" t="n">
        <v>0.02</v>
      </c>
      <c r="D5" s="72" t="n">
        <v>0.025</v>
      </c>
      <c r="E5" s="72" t="n">
        <v>0.03</v>
      </c>
      <c r="F5" s="72" t="n">
        <v>0.035</v>
      </c>
      <c r="G5" s="72" t="n">
        <v>0.04</v>
      </c>
    </row>
    <row r="6" customFormat="false" ht="15" hidden="false" customHeight="false" outlineLevel="0" collapsed="false">
      <c r="B6" s="73" t="n">
        <f aca="false">DCF!$C$18+(-0.03)</f>
        <v>0.101750463916245</v>
      </c>
      <c r="C6" s="58" t="n">
        <f aca="false">(SUMPRODUCT(DCF!$C$33:$L$33,(1+$B6)^(-DCF!$C$34:$L$34))+DCF!$L$30*(1+C$5)/($B6-C$5)*(1+$B6)^(-DCF!$C$42)+DCF!$C$20)/DCF!$C$21</f>
        <v>234.869348049001</v>
      </c>
      <c r="D6" s="58" t="n">
        <f aca="false">(SUMPRODUCT(DCF!$C$33:$L$33,(1+$B6)^(-DCF!$C$34:$L$34))+DCF!$L$30*(1+D$5)/($B6-D$5)*(1+$B6)^(-DCF!$C$42)+DCF!$C$20)/DCF!$C$21</f>
        <v>243.873106719029</v>
      </c>
      <c r="E6" s="58" t="n">
        <f aca="false">(SUMPRODUCT(DCF!$C$33:$L$33,(1+$B6)^(-DCF!$C$34:$L$34))+DCF!$L$30*(1+E$5)/($B6-E$5)*(1+$B6)^(-DCF!$C$42)+DCF!$C$20)/DCF!$C$21</f>
        <v>254.131736532544</v>
      </c>
      <c r="F6" s="58" t="n">
        <f aca="false">(SUMPRODUCT(DCF!$C$33:$L$33,(1+$B6)^(-DCF!$C$34:$L$34))+DCF!$L$30*(1+F$5)/($B6-F$5)*(1+$B6)^(-DCF!$C$42)+DCF!$C$20)/DCF!$C$21</f>
        <v>265.927229045079</v>
      </c>
      <c r="G6" s="58" t="n">
        <f aca="false">(SUMPRODUCT(DCF!$C$33:$L$33,(1+$B6)^(-DCF!$C$34:$L$34))+DCF!$L$30*(1+G$5)/($B6-G$5)*(1+$B6)^(-DCF!$C$42)+DCF!$C$20)/DCF!$C$21</f>
        <v>279.63290842334</v>
      </c>
    </row>
    <row r="7" customFormat="false" ht="15" hidden="false" customHeight="false" outlineLevel="0" collapsed="false">
      <c r="B7" s="73" t="n">
        <f aca="false">DCF!$C$18+(-0.02)</f>
        <v>0.111750463916245</v>
      </c>
      <c r="C7" s="58" t="n">
        <f aca="false">(SUMPRODUCT(DCF!$C$33:$L$33,(1+$B7)^(-DCF!$C$34:$L$34))+DCF!$L$30*(1+C$5)/($B7-C$5)*(1+$B7)^(-DCF!$C$42)+DCF!$C$20)/DCF!$C$21</f>
        <v>207.540125688754</v>
      </c>
      <c r="D7" s="58" t="n">
        <f aca="false">(SUMPRODUCT(DCF!$C$33:$L$33,(1+$B7)^(-DCF!$C$34:$L$34))+DCF!$L$30*(1+D$5)/($B7-D$5)*(1+$B7)^(-DCF!$C$42)+DCF!$C$20)/DCF!$C$21</f>
        <v>214.13015092714</v>
      </c>
      <c r="E7" s="58" t="n">
        <f aca="false">(SUMPRODUCT(DCF!$C$33:$L$33,(1+$B7)^(-DCF!$C$34:$L$34))+DCF!$L$30*(1+E$5)/($B7-E$5)*(1+$B7)^(-DCF!$C$42)+DCF!$C$20)/DCF!$C$21</f>
        <v>221.526290886189</v>
      </c>
      <c r="F7" s="58" t="n">
        <f aca="false">(SUMPRODUCT(DCF!$C$33:$L$33,(1+$B7)^(-DCF!$C$34:$L$34))+DCF!$L$30*(1+F$5)/($B7-F$5)*(1+$B7)^(-DCF!$C$42)+DCF!$C$20)/DCF!$C$21</f>
        <v>229.886091464556</v>
      </c>
      <c r="G7" s="58" t="n">
        <f aca="false">(SUMPRODUCT(DCF!$C$33:$L$33,(1+$B7)^(-DCF!$C$34:$L$34))+DCF!$L$30*(1+G$5)/($B7-G$5)*(1+$B7)^(-DCF!$C$42)+DCF!$C$20)/DCF!$C$21</f>
        <v>239.41101351003</v>
      </c>
    </row>
    <row r="8" customFormat="false" ht="15" hidden="false" customHeight="false" outlineLevel="0" collapsed="false">
      <c r="B8" s="73" t="n">
        <f aca="false">DCF!$C$18+(-0.01)</f>
        <v>0.121750463916245</v>
      </c>
      <c r="C8" s="58" t="n">
        <f aca="false">(SUMPRODUCT(DCF!$C$33:$L$33,(1+$B8)^(-DCF!$C$34:$L$34))+DCF!$L$30*(1+C$5)/($B8-C$5)*(1+$B8)^(-DCF!$C$42)+DCF!$C$20)/DCF!$C$21</f>
        <v>185.727062617377</v>
      </c>
      <c r="D8" s="58" t="n">
        <f aca="false">(SUMPRODUCT(DCF!$C$33:$L$33,(1+$B8)^(-DCF!$C$34:$L$34))+DCF!$L$30*(1+D$5)/($B8-D$5)*(1+$B8)^(-DCF!$C$42)+DCF!$C$20)/DCF!$C$21</f>
        <v>190.677440601802</v>
      </c>
      <c r="E8" s="58" t="n">
        <f aca="false">(SUMPRODUCT(DCF!$C$33:$L$33,(1+$B8)^(-DCF!$C$34:$L$34))+DCF!$L$30*(1+E$5)/($B8-E$5)*(1+$B8)^(-DCF!$C$42)+DCF!$C$20)/DCF!$C$21</f>
        <v>196.167366592103</v>
      </c>
      <c r="F8" s="58" t="n">
        <f aca="false">(SUMPRODUCT(DCF!$C$33:$L$33,(1+$B8)^(-DCF!$C$34:$L$34))+DCF!$L$30*(1+F$5)/($B8-F$5)*(1+$B8)^(-DCF!$C$42)+DCF!$C$20)/DCF!$C$21</f>
        <v>202.290133692695</v>
      </c>
      <c r="G8" s="58" t="n">
        <f aca="false">(SUMPRODUCT(DCF!$C$33:$L$33,(1+$B8)^(-DCF!$C$34:$L$34))+DCF!$L$30*(1+G$5)/($B8-G$5)*(1+$B8)^(-DCF!$C$42)+DCF!$C$20)/DCF!$C$21</f>
        <v>209.161858879552</v>
      </c>
    </row>
    <row r="9" customFormat="false" ht="15" hidden="false" customHeight="false" outlineLevel="0" collapsed="false">
      <c r="B9" s="73" t="n">
        <f aca="false">DCF!$C$18+(0)</f>
        <v>0.131750463916245</v>
      </c>
      <c r="C9" s="58" t="n">
        <f aca="false">(SUMPRODUCT(DCF!$C$33:$L$33,(1+$B9)^(-DCF!$C$34:$L$34))+DCF!$L$30*(1+C$5)/($B9-C$5)*(1+$B9)^(-DCF!$C$42)+DCF!$C$20)/DCF!$C$21</f>
        <v>167.937786143993</v>
      </c>
      <c r="D9" s="58" t="n">
        <f aca="false">(SUMPRODUCT(DCF!$C$33:$L$33,(1+$B9)^(-DCF!$C$34:$L$34))+DCF!$L$30*(1+D$5)/($B9-D$5)*(1+$B9)^(-DCF!$C$42)+DCF!$C$20)/DCF!$C$21</f>
        <v>171.735767591522</v>
      </c>
      <c r="E9" s="74" t="n">
        <f aca="false">(SUMPRODUCT(DCF!$C$33:$L$33,(1+$B9)^(-DCF!$C$34:$L$34))+DCF!$L$30*(1+E$5)/($B9-E$5)*(1+$B9)^(-DCF!$C$42)+DCF!$C$20)/DCF!$C$21</f>
        <v>175.907013327128</v>
      </c>
      <c r="F9" s="58" t="n">
        <f aca="false">(SUMPRODUCT(DCF!$C$33:$L$33,(1+$B9)^(-DCF!$C$34:$L$34))+DCF!$L$30*(1+F$5)/($B9-F$5)*(1+$B9)^(-DCF!$C$42)+DCF!$C$20)/DCF!$C$21</f>
        <v>180.509393505585</v>
      </c>
      <c r="G9" s="58" t="n">
        <f aca="false">(SUMPRODUCT(DCF!$C$33:$L$33,(1+$B9)^(-DCF!$C$34:$L$34))+DCF!$L$30*(1+G$5)/($B9-G$5)*(1+$B9)^(-DCF!$C$42)+DCF!$C$20)/DCF!$C$21</f>
        <v>185.613392965516</v>
      </c>
    </row>
    <row r="10" customFormat="false" ht="15" hidden="false" customHeight="false" outlineLevel="0" collapsed="false">
      <c r="B10" s="73" t="n">
        <f aca="false">DCF!$C$18+(0.01)</f>
        <v>0.141750463916245</v>
      </c>
      <c r="C10" s="58" t="n">
        <f aca="false">(SUMPRODUCT(DCF!$C$33:$L$33,(1+$B10)^(-DCF!$C$34:$L$34))+DCF!$L$30*(1+C$5)/($B10-C$5)*(1+$B10)^(-DCF!$C$42)+DCF!$C$20)/DCF!$C$21</f>
        <v>153.171362851865</v>
      </c>
      <c r="D10" s="58" t="n">
        <f aca="false">(SUMPRODUCT(DCF!$C$33:$L$33,(1+$B10)^(-DCF!$C$34:$L$34))+DCF!$L$30*(1+D$5)/($B10-D$5)*(1+$B10)^(-DCF!$C$42)+DCF!$C$20)/DCF!$C$21</f>
        <v>156.136640169473</v>
      </c>
      <c r="E10" s="58" t="n">
        <f aca="false">(SUMPRODUCT(DCF!$C$33:$L$33,(1+$B10)^(-DCF!$C$34:$L$34))+DCF!$L$30*(1+E$5)/($B10-E$5)*(1+$B10)^(-DCF!$C$42)+DCF!$C$20)/DCF!$C$21</f>
        <v>159.367265586203</v>
      </c>
      <c r="F10" s="58" t="n">
        <f aca="false">(SUMPRODUCT(DCF!$C$33:$L$33,(1+$B10)^(-DCF!$C$34:$L$34))+DCF!$L$30*(1+F$5)/($B10-F$5)*(1+$B10)^(-DCF!$C$42)+DCF!$C$20)/DCF!$C$21</f>
        <v>162.900524387202</v>
      </c>
      <c r="G10" s="58" t="n">
        <f aca="false">(SUMPRODUCT(DCF!$C$33:$L$33,(1+$B10)^(-DCF!$C$34:$L$34))+DCF!$L$30*(1+G$5)/($B10-G$5)*(1+$B10)^(-DCF!$C$42)+DCF!$C$20)/DCF!$C$21</f>
        <v>166.781030627182</v>
      </c>
    </row>
    <row r="11" customFormat="false" ht="15" hidden="false" customHeight="false" outlineLevel="0" collapsed="false">
      <c r="B11" s="73" t="n">
        <f aca="false">DCF!$C$18+(0.02)</f>
        <v>0.151750463916245</v>
      </c>
      <c r="C11" s="58" t="n">
        <f aca="false">(SUMPRODUCT(DCF!$C$33:$L$33,(1+$B11)^(-DCF!$C$34:$L$34))+DCF!$L$30*(1+C$5)/($B11-C$5)*(1+$B11)^(-DCF!$C$42)+DCF!$C$20)/DCF!$C$21</f>
        <v>140.731669735174</v>
      </c>
      <c r="D11" s="58" t="n">
        <f aca="false">(SUMPRODUCT(DCF!$C$33:$L$33,(1+$B11)^(-DCF!$C$34:$L$34))+DCF!$L$30*(1+D$5)/($B11-D$5)*(1+$B11)^(-DCF!$C$42)+DCF!$C$20)/DCF!$C$21</f>
        <v>143.081243468923</v>
      </c>
      <c r="E11" s="58" t="n">
        <f aca="false">(SUMPRODUCT(DCF!$C$33:$L$33,(1+$B11)^(-DCF!$C$34:$L$34))+DCF!$L$30*(1+E$5)/($B11-E$5)*(1+$B11)^(-DCF!$C$42)+DCF!$C$20)/DCF!$C$21</f>
        <v>145.623799936223</v>
      </c>
      <c r="F11" s="58" t="n">
        <f aca="false">(SUMPRODUCT(DCF!$C$33:$L$33,(1+$B11)^(-DCF!$C$34:$L$34))+DCF!$L$30*(1+F$5)/($B11-F$5)*(1+$B11)^(-DCF!$C$42)+DCF!$C$20)/DCF!$C$21</f>
        <v>148.384133394038</v>
      </c>
      <c r="G11" s="58" t="n">
        <f aca="false">(SUMPRODUCT(DCF!$C$33:$L$33,(1+$B11)^(-DCF!$C$34:$L$34))+DCF!$L$30*(1+G$5)/($B11-G$5)*(1+$B11)^(-DCF!$C$42)+DCF!$C$20)/DCF!$C$21</f>
        <v>151.391475531824</v>
      </c>
    </row>
    <row r="12" customFormat="false" ht="15" hidden="false" customHeight="false" outlineLevel="0" collapsed="false">
      <c r="B12" s="73" t="n">
        <f aca="false">DCF!$C$18+(0.03)</f>
        <v>0.161750463916245</v>
      </c>
      <c r="C12" s="58" t="n">
        <f aca="false">(SUMPRODUCT(DCF!$C$33:$L$33,(1+$B12)^(-DCF!$C$34:$L$34))+DCF!$L$30*(1+C$5)/($B12-C$5)*(1+$B12)^(-DCF!$C$42)+DCF!$C$20)/DCF!$C$21</f>
        <v>130.119776310459</v>
      </c>
      <c r="D12" s="58" t="n">
        <f aca="false">(SUMPRODUCT(DCF!$C$33:$L$33,(1+$B12)^(-DCF!$C$34:$L$34))+DCF!$L$30*(1+D$5)/($B12-D$5)*(1+$B12)^(-DCF!$C$42)+DCF!$C$20)/DCF!$C$21</f>
        <v>132.005172471404</v>
      </c>
      <c r="E12" s="58" t="n">
        <f aca="false">(SUMPRODUCT(DCF!$C$33:$L$33,(1+$B12)^(-DCF!$C$34:$L$34))+DCF!$L$30*(1+E$5)/($B12-E$5)*(1+$B12)^(-DCF!$C$42)+DCF!$C$20)/DCF!$C$21</f>
        <v>134.033672201393</v>
      </c>
      <c r="F12" s="58" t="n">
        <f aca="false">(SUMPRODUCT(DCF!$C$33:$L$33,(1+$B12)^(-DCF!$C$34:$L$34))+DCF!$L$30*(1+F$5)/($B12-F$5)*(1+$B12)^(-DCF!$C$42)+DCF!$C$20)/DCF!$C$21</f>
        <v>136.222210772054</v>
      </c>
      <c r="G12" s="58" t="n">
        <f aca="false">(SUMPRODUCT(DCF!$C$33:$L$33,(1+$B12)^(-DCF!$C$34:$L$34))+DCF!$L$30*(1+G$5)/($B12-G$5)*(1+$B12)^(-DCF!$C$42)+DCF!$C$20)/DCF!$C$21</f>
        <v>138.590505419223</v>
      </c>
    </row>
    <row r="15" customFormat="false" ht="15" hidden="false" customHeight="false" outlineLevel="0" collapsed="false">
      <c r="A15" s="48" t="s">
        <v>397</v>
      </c>
    </row>
    <row r="16" customFormat="false" ht="15" hidden="false" customHeight="false" outlineLevel="0" collapsed="false">
      <c r="B16" s="71" t="s">
        <v>398</v>
      </c>
      <c r="C16" s="72" t="n">
        <v>0.18</v>
      </c>
      <c r="D16" s="72" t="n">
        <v>0.22</v>
      </c>
      <c r="E16" s="72" t="n">
        <v>0.26</v>
      </c>
      <c r="F16" s="72" t="n">
        <v>0.3</v>
      </c>
      <c r="G16" s="72" t="n">
        <v>0.34</v>
      </c>
    </row>
    <row r="17" customFormat="false" ht="15" hidden="false" customHeight="false" outlineLevel="0" collapsed="false">
      <c r="B17" s="73" t="n">
        <f aca="false">DCF!$C$18+(-0.03)</f>
        <v>0.101750463916245</v>
      </c>
      <c r="C17" s="58" t="n">
        <f aca="false">(SUMPRODUCT(DCF!$C$33:$G$33,(1+$B17)^(-DCF!$C$34:$G$34))+C$16*SUMPRODUCT(DCF!$H$28:$L$28,(1+$B17)^(-DCF!$H$34:$L$34))+DCF!$L$28*C$16*(1+DCF!$C$19)/($B17-DCF!$C$19)*(1+$B17)^(-DCF!$C$42)+DCF!$C$20)/DCF!$C$21</f>
        <v>193.241665125567</v>
      </c>
      <c r="D17" s="58" t="n">
        <f aca="false">(SUMPRODUCT(DCF!$C$33:$G$33,(1+$B17)^(-DCF!$C$34:$G$34))+D$16*SUMPRODUCT(DCF!$H$28:$L$28,(1+$B17)^(-DCF!$H$34:$L$34))+DCF!$L$28*D$16*(1+DCF!$C$19)/($B17-DCF!$C$19)*(1+$B17)^(-DCF!$C$42)+DCF!$C$20)/DCF!$C$21</f>
        <v>225.399274133125</v>
      </c>
      <c r="E17" s="58" t="n">
        <f aca="false">(SUMPRODUCT(DCF!$C$33:$G$33,(1+$B17)^(-DCF!$C$34:$G$34))+E$16*SUMPRODUCT(DCF!$H$28:$L$28,(1+$B17)^(-DCF!$H$34:$L$34))+DCF!$L$28*E$16*(1+DCF!$C$19)/($B17-DCF!$C$19)*(1+$B17)^(-DCF!$C$42)+DCF!$C$20)/DCF!$C$21</f>
        <v>257.556883140684</v>
      </c>
      <c r="F17" s="58" t="n">
        <f aca="false">(SUMPRODUCT(DCF!$C$33:$G$33,(1+$B17)^(-DCF!$C$34:$G$34))+F$16*SUMPRODUCT(DCF!$H$28:$L$28,(1+$B17)^(-DCF!$H$34:$L$34))+DCF!$L$28*F$16*(1+DCF!$C$19)/($B17-DCF!$C$19)*(1+$B17)^(-DCF!$C$42)+DCF!$C$20)/DCF!$C$21</f>
        <v>289.714492148242</v>
      </c>
      <c r="G17" s="58" t="n">
        <f aca="false">(SUMPRODUCT(DCF!$C$33:$G$33,(1+$B17)^(-DCF!$C$34:$G$34))+G$16*SUMPRODUCT(DCF!$H$28:$L$28,(1+$B17)^(-DCF!$H$34:$L$34))+DCF!$L$28*G$16*(1+DCF!$C$19)/($B17-DCF!$C$19)*(1+$B17)^(-DCF!$C$42)+DCF!$C$20)/DCF!$C$21</f>
        <v>321.872101155801</v>
      </c>
    </row>
    <row r="18" customFormat="false" ht="15" hidden="false" customHeight="false" outlineLevel="0" collapsed="false">
      <c r="B18" s="73" t="n">
        <f aca="false">DCF!$C$18+(-0.02)</f>
        <v>0.111750463916245</v>
      </c>
      <c r="C18" s="58" t="n">
        <f aca="false">(SUMPRODUCT(DCF!$C$33:$G$33,(1+$B18)^(-DCF!$C$34:$G$34))+C$16*SUMPRODUCT(DCF!$H$28:$L$28,(1+$B18)^(-DCF!$H$34:$L$34))+DCF!$L$28*C$16*(1+DCF!$C$19)/($B18-DCF!$C$19)*(1+$B18)^(-DCF!$C$42)+DCF!$C$20)/DCF!$C$21</f>
        <v>170.032724138602</v>
      </c>
      <c r="D18" s="58" t="n">
        <f aca="false">(SUMPRODUCT(DCF!$C$33:$G$33,(1+$B18)^(-DCF!$C$34:$G$34))+D$16*SUMPRODUCT(DCF!$H$28:$L$28,(1+$B18)^(-DCF!$H$34:$L$34))+DCF!$L$28*D$16*(1+DCF!$C$19)/($B18-DCF!$C$19)*(1+$B18)^(-DCF!$C$42)+DCF!$C$20)/DCF!$C$21</f>
        <v>197.227797943094</v>
      </c>
      <c r="E18" s="58" t="n">
        <f aca="false">(SUMPRODUCT(DCF!$C$33:$G$33,(1+$B18)^(-DCF!$C$34:$G$34))+E$16*SUMPRODUCT(DCF!$H$28:$L$28,(1+$B18)^(-DCF!$H$34:$L$34))+DCF!$L$28*E$16*(1+DCF!$C$19)/($B18-DCF!$C$19)*(1+$B18)^(-DCF!$C$42)+DCF!$C$20)/DCF!$C$21</f>
        <v>224.422871747585</v>
      </c>
      <c r="F18" s="58" t="n">
        <f aca="false">(SUMPRODUCT(DCF!$C$33:$G$33,(1+$B18)^(-DCF!$C$34:$G$34))+F$16*SUMPRODUCT(DCF!$H$28:$L$28,(1+$B18)^(-DCF!$H$34:$L$34))+DCF!$L$28*F$16*(1+DCF!$C$19)/($B18-DCF!$C$19)*(1+$B18)^(-DCF!$C$42)+DCF!$C$20)/DCF!$C$21</f>
        <v>251.617945552077</v>
      </c>
      <c r="G18" s="58" t="n">
        <f aca="false">(SUMPRODUCT(DCF!$C$33:$G$33,(1+$B18)^(-DCF!$C$34:$G$34))+G$16*SUMPRODUCT(DCF!$H$28:$L$28,(1+$B18)^(-DCF!$H$34:$L$34))+DCF!$L$28*G$16*(1+DCF!$C$19)/($B18-DCF!$C$19)*(1+$B18)^(-DCF!$C$42)+DCF!$C$20)/DCF!$C$21</f>
        <v>278.813019356569</v>
      </c>
    </row>
    <row r="19" customFormat="false" ht="15" hidden="false" customHeight="false" outlineLevel="0" collapsed="false">
      <c r="B19" s="73" t="n">
        <f aca="false">DCF!$C$18+(-0.01)</f>
        <v>0.121750463916245</v>
      </c>
      <c r="C19" s="58" t="n">
        <f aca="false">(SUMPRODUCT(DCF!$C$33:$G$33,(1+$B19)^(-DCF!$C$34:$G$34))+C$16*SUMPRODUCT(DCF!$H$28:$L$28,(1+$B19)^(-DCF!$H$34:$L$34))+DCF!$L$28*C$16*(1+DCF!$C$19)/($B19-DCF!$C$19)*(1+$B19)^(-DCF!$C$42)+DCF!$C$20)/DCF!$C$21</f>
        <v>151.933155219136</v>
      </c>
      <c r="D19" s="58" t="n">
        <f aca="false">(SUMPRODUCT(DCF!$C$33:$G$33,(1+$B19)^(-DCF!$C$34:$G$34))+D$16*SUMPRODUCT(DCF!$H$28:$L$28,(1+$B19)^(-DCF!$H$34:$L$34))+DCF!$L$28*D$16*(1+DCF!$C$19)/($B19-DCF!$C$19)*(1+$B19)^(-DCF!$C$42)+DCF!$C$20)/DCF!$C$21</f>
        <v>175.294377192125</v>
      </c>
      <c r="E19" s="58" t="n">
        <f aca="false">(SUMPRODUCT(DCF!$C$33:$G$33,(1+$B19)^(-DCF!$C$34:$G$34))+E$16*SUMPRODUCT(DCF!$H$28:$L$28,(1+$B19)^(-DCF!$H$34:$L$34))+DCF!$L$28*E$16*(1+DCF!$C$19)/($B19-DCF!$C$19)*(1+$B19)^(-DCF!$C$42)+DCF!$C$20)/DCF!$C$21</f>
        <v>198.655599165115</v>
      </c>
      <c r="F19" s="58" t="n">
        <f aca="false">(SUMPRODUCT(DCF!$C$33:$G$33,(1+$B19)^(-DCF!$C$34:$G$34))+F$16*SUMPRODUCT(DCF!$H$28:$L$28,(1+$B19)^(-DCF!$H$34:$L$34))+DCF!$L$28*F$16*(1+DCF!$C$19)/($B19-DCF!$C$19)*(1+$B19)^(-DCF!$C$42)+DCF!$C$20)/DCF!$C$21</f>
        <v>222.016821138104</v>
      </c>
      <c r="G19" s="58" t="n">
        <f aca="false">(SUMPRODUCT(DCF!$C$33:$G$33,(1+$B19)^(-DCF!$C$34:$G$34))+G$16*SUMPRODUCT(DCF!$H$28:$L$28,(1+$B19)^(-DCF!$H$34:$L$34))+DCF!$L$28*G$16*(1+DCF!$C$19)/($B19-DCF!$C$19)*(1+$B19)^(-DCF!$C$42)+DCF!$C$20)/DCF!$C$21</f>
        <v>245.378043111093</v>
      </c>
    </row>
    <row r="20" customFormat="false" ht="15" hidden="false" customHeight="false" outlineLevel="0" collapsed="false">
      <c r="B20" s="73" t="n">
        <f aca="false">DCF!$C$18+(0)</f>
        <v>0.131750463916245</v>
      </c>
      <c r="C20" s="58" t="n">
        <f aca="false">(SUMPRODUCT(DCF!$C$33:$G$33,(1+$B20)^(-DCF!$C$34:$G$34))+C$16*SUMPRODUCT(DCF!$H$28:$L$28,(1+$B20)^(-DCF!$H$34:$L$34))+DCF!$L$28*C$16*(1+DCF!$C$19)/($B20-DCF!$C$19)*(1+$B20)^(-DCF!$C$42)+DCF!$C$20)/DCF!$C$21</f>
        <v>137.430741540812</v>
      </c>
      <c r="D20" s="58" t="n">
        <f aca="false">(SUMPRODUCT(DCF!$C$33:$G$33,(1+$B20)^(-DCF!$C$34:$G$34))+D$16*SUMPRODUCT(DCF!$H$28:$L$28,(1+$B20)^(-DCF!$H$34:$L$34))+DCF!$L$28*D$16*(1+DCF!$C$19)/($B20-DCF!$C$19)*(1+$B20)^(-DCF!$C$42)+DCF!$C$20)/DCF!$C$21</f>
        <v>157.751047882761</v>
      </c>
      <c r="E20" s="58" t="n">
        <f aca="false">(SUMPRODUCT(DCF!$C$33:$G$33,(1+$B20)^(-DCF!$C$34:$G$34))+E$16*SUMPRODUCT(DCF!$H$28:$L$28,(1+$B20)^(-DCF!$H$34:$L$34))+DCF!$L$28*E$16*(1+DCF!$C$19)/($B20-DCF!$C$19)*(1+$B20)^(-DCF!$C$42)+DCF!$C$20)/DCF!$C$21</f>
        <v>178.071354224709</v>
      </c>
      <c r="F20" s="58" t="n">
        <f aca="false">(SUMPRODUCT(DCF!$C$33:$G$33,(1+$B20)^(-DCF!$C$34:$G$34))+F$16*SUMPRODUCT(DCF!$H$28:$L$28,(1+$B20)^(-DCF!$H$34:$L$34))+DCF!$L$28*F$16*(1+DCF!$C$19)/($B20-DCF!$C$19)*(1+$B20)^(-DCF!$C$42)+DCF!$C$20)/DCF!$C$21</f>
        <v>198.391660566658</v>
      </c>
      <c r="G20" s="58" t="n">
        <f aca="false">(SUMPRODUCT(DCF!$C$33:$G$33,(1+$B20)^(-DCF!$C$34:$G$34))+G$16*SUMPRODUCT(DCF!$H$28:$L$28,(1+$B20)^(-DCF!$H$34:$L$34))+DCF!$L$28*G$16*(1+DCF!$C$19)/($B20-DCF!$C$19)*(1+$B20)^(-DCF!$C$42)+DCF!$C$20)/DCF!$C$21</f>
        <v>218.711966908606</v>
      </c>
    </row>
    <row r="21" customFormat="false" ht="15" hidden="false" customHeight="false" outlineLevel="0" collapsed="false">
      <c r="B21" s="73" t="n">
        <f aca="false">DCF!$C$18+(0.01)</f>
        <v>0.141750463916245</v>
      </c>
      <c r="C21" s="58" t="n">
        <f aca="false">(SUMPRODUCT(DCF!$C$33:$G$33,(1+$B21)^(-DCF!$C$34:$G$34))+C$16*SUMPRODUCT(DCF!$H$28:$L$28,(1+$B21)^(-DCF!$H$34:$L$34))+DCF!$L$28*C$16*(1+DCF!$C$19)/($B21-DCF!$C$19)*(1+$B21)^(-DCF!$C$42)+DCF!$C$20)/DCF!$C$21</f>
        <v>125.555234877004</v>
      </c>
      <c r="D21" s="58" t="n">
        <f aca="false">(SUMPRODUCT(DCF!$C$33:$G$33,(1+$B21)^(-DCF!$C$34:$G$34))+D$16*SUMPRODUCT(DCF!$H$28:$L$28,(1+$B21)^(-DCF!$H$34:$L$34))+DCF!$L$28*D$16*(1+DCF!$C$19)/($B21-DCF!$C$19)*(1+$B21)^(-DCF!$C$42)+DCF!$C$20)/DCF!$C$21</f>
        <v>143.412235832555</v>
      </c>
      <c r="E21" s="58" t="n">
        <f aca="false">(SUMPRODUCT(DCF!$C$33:$G$33,(1+$B21)^(-DCF!$C$34:$G$34))+E$16*SUMPRODUCT(DCF!$H$28:$L$28,(1+$B21)^(-DCF!$H$34:$L$34))+DCF!$L$28*E$16*(1+DCF!$C$19)/($B21-DCF!$C$19)*(1+$B21)^(-DCF!$C$42)+DCF!$C$20)/DCF!$C$21</f>
        <v>161.269236788107</v>
      </c>
      <c r="F21" s="58" t="n">
        <f aca="false">(SUMPRODUCT(DCF!$C$33:$G$33,(1+$B21)^(-DCF!$C$34:$G$34))+F$16*SUMPRODUCT(DCF!$H$28:$L$28,(1+$B21)^(-DCF!$H$34:$L$34))+DCF!$L$28*F$16*(1+DCF!$C$19)/($B21-DCF!$C$19)*(1+$B21)^(-DCF!$C$42)+DCF!$C$20)/DCF!$C$21</f>
        <v>179.126237743658</v>
      </c>
      <c r="G21" s="58" t="n">
        <f aca="false">(SUMPRODUCT(DCF!$C$33:$G$33,(1+$B21)^(-DCF!$C$34:$G$34))+G$16*SUMPRODUCT(DCF!$H$28:$L$28,(1+$B21)^(-DCF!$H$34:$L$34))+DCF!$L$28*G$16*(1+DCF!$C$19)/($B21-DCF!$C$19)*(1+$B21)^(-DCF!$C$42)+DCF!$C$20)/DCF!$C$21</f>
        <v>196.983238699209</v>
      </c>
    </row>
    <row r="22" customFormat="false" ht="15" hidden="false" customHeight="false" outlineLevel="0" collapsed="false">
      <c r="B22" s="73" t="n">
        <f aca="false">DCF!$C$18+(0.02)</f>
        <v>0.151750463916245</v>
      </c>
      <c r="C22" s="58" t="n">
        <f aca="false">(SUMPRODUCT(DCF!$C$33:$G$33,(1+$B22)^(-DCF!$C$34:$G$34))+C$16*SUMPRODUCT(DCF!$H$28:$L$28,(1+$B22)^(-DCF!$H$34:$L$34))+DCF!$L$28*C$16*(1+DCF!$C$19)/($B22-DCF!$C$19)*(1+$B22)^(-DCF!$C$42)+DCF!$C$20)/DCF!$C$21</f>
        <v>115.655699223111</v>
      </c>
      <c r="D22" s="58" t="n">
        <f aca="false">(SUMPRODUCT(DCF!$C$33:$G$33,(1+$B22)^(-DCF!$C$34:$G$34))+D$16*SUMPRODUCT(DCF!$H$28:$L$28,(1+$B22)^(-DCF!$H$34:$L$34))+DCF!$L$28*D$16*(1+DCF!$C$19)/($B22-DCF!$C$19)*(1+$B22)^(-DCF!$C$42)+DCF!$C$20)/DCF!$C$21</f>
        <v>131.48262212143</v>
      </c>
      <c r="E22" s="58" t="n">
        <f aca="false">(SUMPRODUCT(DCF!$C$33:$G$33,(1+$B22)^(-DCF!$C$34:$G$34))+E$16*SUMPRODUCT(DCF!$H$28:$L$28,(1+$B22)^(-DCF!$H$34:$L$34))+DCF!$L$28*E$16*(1+DCF!$C$19)/($B22-DCF!$C$19)*(1+$B22)^(-DCF!$C$42)+DCF!$C$20)/DCF!$C$21</f>
        <v>147.309545019749</v>
      </c>
      <c r="F22" s="58" t="n">
        <f aca="false">(SUMPRODUCT(DCF!$C$33:$G$33,(1+$B22)^(-DCF!$C$34:$G$34))+F$16*SUMPRODUCT(DCF!$H$28:$L$28,(1+$B22)^(-DCF!$H$34:$L$34))+DCF!$L$28*F$16*(1+DCF!$C$19)/($B22-DCF!$C$19)*(1+$B22)^(-DCF!$C$42)+DCF!$C$20)/DCF!$C$21</f>
        <v>163.136467918068</v>
      </c>
      <c r="G22" s="58" t="n">
        <f aca="false">(SUMPRODUCT(DCF!$C$33:$G$33,(1+$B22)^(-DCF!$C$34:$G$34))+G$16*SUMPRODUCT(DCF!$H$28:$L$28,(1+$B22)^(-DCF!$H$34:$L$34))+DCF!$L$28*G$16*(1+DCF!$C$19)/($B22-DCF!$C$19)*(1+$B22)^(-DCF!$C$42)+DCF!$C$20)/DCF!$C$21</f>
        <v>178.963390816387</v>
      </c>
    </row>
    <row r="23" customFormat="false" ht="15" hidden="false" customHeight="false" outlineLevel="0" collapsed="false">
      <c r="B23" s="73" t="n">
        <f aca="false">DCF!$C$18+(0.03)</f>
        <v>0.161750463916245</v>
      </c>
      <c r="C23" s="58" t="n">
        <f aca="false">(SUMPRODUCT(DCF!$C$33:$G$33,(1+$B23)^(-DCF!$C$34:$G$34))+C$16*SUMPRODUCT(DCF!$H$28:$L$28,(1+$B23)^(-DCF!$H$34:$L$34))+DCF!$L$28*C$16*(1+DCF!$C$19)/($B23-DCF!$C$19)*(1+$B23)^(-DCF!$C$42)+DCF!$C$20)/DCF!$C$21</f>
        <v>107.279263889393</v>
      </c>
      <c r="D23" s="58" t="n">
        <f aca="false">(SUMPRODUCT(DCF!$C$33:$G$33,(1+$B23)^(-DCF!$C$34:$G$34))+D$16*SUMPRODUCT(DCF!$H$28:$L$28,(1+$B23)^(-DCF!$H$34:$L$34))+DCF!$L$28*D$16*(1+DCF!$C$19)/($B23-DCF!$C$19)*(1+$B23)^(-DCF!$C$42)+DCF!$C$20)/DCF!$C$21</f>
        <v>121.408953374816</v>
      </c>
      <c r="E23" s="58" t="n">
        <f aca="false">(SUMPRODUCT(DCF!$C$33:$G$33,(1+$B23)^(-DCF!$C$34:$G$34))+E$16*SUMPRODUCT(DCF!$H$28:$L$28,(1+$B23)^(-DCF!$H$34:$L$34))+DCF!$L$28*E$16*(1+DCF!$C$19)/($B23-DCF!$C$19)*(1+$B23)^(-DCF!$C$42)+DCF!$C$20)/DCF!$C$21</f>
        <v>135.53864286024</v>
      </c>
      <c r="F23" s="58" t="n">
        <f aca="false">(SUMPRODUCT(DCF!$C$33:$G$33,(1+$B23)^(-DCF!$C$34:$G$34))+F$16*SUMPRODUCT(DCF!$H$28:$L$28,(1+$B23)^(-DCF!$H$34:$L$34))+DCF!$L$28*F$16*(1+DCF!$C$19)/($B23-DCF!$C$19)*(1+$B23)^(-DCF!$C$42)+DCF!$C$20)/DCF!$C$21</f>
        <v>149.668332345663</v>
      </c>
      <c r="G23" s="58" t="n">
        <f aca="false">(SUMPRODUCT(DCF!$C$33:$G$33,(1+$B23)^(-DCF!$C$34:$G$34))+G$16*SUMPRODUCT(DCF!$H$28:$L$28,(1+$B23)^(-DCF!$H$34:$L$34))+DCF!$L$28*G$16*(1+DCF!$C$19)/($B23-DCF!$C$19)*(1+$B23)^(-DCF!$C$42)+DCF!$C$20)/DCF!$C$21</f>
        <v>163.798021831087</v>
      </c>
    </row>
    <row r="24" customFormat="false" ht="15" hidden="false" customHeight="false" outlineLevel="0" collapsed="false">
      <c r="A24" s="0" t="s">
        <v>399</v>
      </c>
      <c r="C24" s="63" t="n">
        <f aca="false">DCF!$G$31</f>
        <v>0.255739550652122</v>
      </c>
    </row>
    <row r="26" customFormat="false" ht="15" hidden="false" customHeight="false" outlineLevel="0" collapsed="false">
      <c r="A26" s="48" t="s">
        <v>400</v>
      </c>
    </row>
    <row r="27" customFormat="false" ht="15" hidden="false" customHeight="false" outlineLevel="0" collapsed="false">
      <c r="B27" s="71" t="s">
        <v>401</v>
      </c>
      <c r="C27" s="72" t="n">
        <v>0.04</v>
      </c>
      <c r="D27" s="72" t="n">
        <v>0.045</v>
      </c>
      <c r="E27" s="72" t="n">
        <v>0.05</v>
      </c>
      <c r="F27" s="72" t="n">
        <v>0.055</v>
      </c>
      <c r="G27" s="72" t="n">
        <v>0.06</v>
      </c>
    </row>
    <row r="28" customFormat="false" ht="15" hidden="false" customHeight="false" outlineLevel="0" collapsed="false">
      <c r="B28" s="75" t="n">
        <v>1.2</v>
      </c>
      <c r="C28" s="58" t="n">
        <f aca="false">(SUMPRODUCT(DCF!$C$33:$L$33,(1+(DCF!$C$17*(DCF!$C$5+$B28*C$27)+(1-DCF!$C$17)*DCF!$C$14))^(-DCF!$C$34:$L$34))+DCF!$L$30*(1+DCF!$C$19)/((DCF!$C$17*(DCF!$C$5+$B28*C$27)+(1-DCF!$C$17)*DCF!$C$14)-DCF!$C$19)*(1+(DCF!$C$17*(DCF!$C$5+$B28*C$27)+(1-DCF!$C$17)*DCF!$C$14))^(-DCF!$C$42)+DCF!$C$20)/DCF!$C$21</f>
        <v>259.9007467053</v>
      </c>
      <c r="D28" s="58" t="n">
        <f aca="false">(SUMPRODUCT(DCF!$C$33:$L$33,(1+(DCF!$C$17*(DCF!$C$5+$B28*D$27)+(1-DCF!$C$17)*DCF!$C$14))^(-DCF!$C$34:$L$34))+DCF!$L$30*(1+DCF!$C$19)/((DCF!$C$17*(DCF!$C$5+$B28*D$27)+(1-DCF!$C$17)*DCF!$C$14)-DCF!$C$19)*(1+(DCF!$C$17*(DCF!$C$5+$B28*D$27)+(1-DCF!$C$17)*DCF!$C$14))^(-DCF!$C$42)+DCF!$C$20)/DCF!$C$21</f>
        <v>238.494889308614</v>
      </c>
      <c r="E28" s="58" t="n">
        <f aca="false">(SUMPRODUCT(DCF!$C$33:$L$33,(1+(DCF!$C$17*(DCF!$C$5+$B28*E$27)+(1-DCF!$C$17)*DCF!$C$14))^(-DCF!$C$34:$L$34))+DCF!$L$30*(1+DCF!$C$19)/((DCF!$C$17*(DCF!$C$5+$B28*E$27)+(1-DCF!$C$17)*DCF!$C$14)-DCF!$C$19)*(1+(DCF!$C$17*(DCF!$C$5+$B28*E$27)+(1-DCF!$C$17)*DCF!$C$14))^(-DCF!$C$42)+DCF!$C$20)/DCF!$C$21</f>
        <v>220.262524810812</v>
      </c>
      <c r="F28" s="58" t="n">
        <f aca="false">(SUMPRODUCT(DCF!$C$33:$L$33,(1+(DCF!$C$17*(DCF!$C$5+$B28*F$27)+(1-DCF!$C$17)*DCF!$C$14))^(-DCF!$C$34:$L$34))+DCF!$L$30*(1+DCF!$C$19)/((DCF!$C$17*(DCF!$C$5+$B28*F$27)+(1-DCF!$C$17)*DCF!$C$14)-DCF!$C$19)*(1+(DCF!$C$17*(DCF!$C$5+$B28*F$27)+(1-DCF!$C$17)*DCF!$C$14))^(-DCF!$C$42)+DCF!$C$20)/DCF!$C$21</f>
        <v>204.554863754159</v>
      </c>
      <c r="G28" s="58" t="n">
        <f aca="false">(SUMPRODUCT(DCF!$C$33:$L$33,(1+(DCF!$C$17*(DCF!$C$5+$B28*G$27)+(1-DCF!$C$17)*DCF!$C$14))^(-DCF!$C$34:$L$34))+DCF!$L$30*(1+DCF!$C$19)/((DCF!$C$17*(DCF!$C$5+$B28*G$27)+(1-DCF!$C$17)*DCF!$C$14)-DCF!$C$19)*(1+(DCF!$C$17*(DCF!$C$5+$B28*G$27)+(1-DCF!$C$17)*DCF!$C$14))^(-DCF!$C$42)+DCF!$C$20)/DCF!$C$21</f>
        <v>190.888148192035</v>
      </c>
    </row>
    <row r="29" customFormat="false" ht="15" hidden="false" customHeight="false" outlineLevel="0" collapsed="false">
      <c r="B29" s="75" t="n">
        <v>1.4</v>
      </c>
      <c r="C29" s="58" t="n">
        <f aca="false">(SUMPRODUCT(DCF!$C$33:$L$33,(1+(DCF!$C$17*(DCF!$C$5+$B29*C$27)+(1-DCF!$C$17)*DCF!$C$14))^(-DCF!$C$34:$L$34))+DCF!$L$30*(1+DCF!$C$19)/((DCF!$C$17*(DCF!$C$5+$B29*C$27)+(1-DCF!$C$17)*DCF!$C$14)-DCF!$C$19)*(1+(DCF!$C$17*(DCF!$C$5+$B29*C$27)+(1-DCF!$C$17)*DCF!$C$14))^(-DCF!$C$42)+DCF!$C$20)/DCF!$C$21</f>
        <v>232.10095149261</v>
      </c>
      <c r="D29" s="58" t="n">
        <f aca="false">(SUMPRODUCT(DCF!$C$33:$L$33,(1+(DCF!$C$17*(DCF!$C$5+$B29*D$27)+(1-DCF!$C$17)*DCF!$C$14))^(-DCF!$C$34:$L$34))+DCF!$L$30*(1+DCF!$C$19)/((DCF!$C$17*(DCF!$C$5+$B29*D$27)+(1-DCF!$C$17)*DCF!$C$14)-DCF!$C$19)*(1+(DCF!$C$17*(DCF!$C$5+$B29*D$27)+(1-DCF!$C$17)*DCF!$C$14))^(-DCF!$C$42)+DCF!$C$20)/DCF!$C$21</f>
        <v>212.126530081756</v>
      </c>
      <c r="E29" s="58" t="n">
        <f aca="false">(SUMPRODUCT(DCF!$C$33:$L$33,(1+(DCF!$C$17*(DCF!$C$5+$B29*E$27)+(1-DCF!$C$17)*DCF!$C$14))^(-DCF!$C$34:$L$34))+DCF!$L$30*(1+DCF!$C$19)/((DCF!$C$17*(DCF!$C$5+$B29*E$27)+(1-DCF!$C$17)*DCF!$C$14)-DCF!$C$19)*(1+(DCF!$C$17*(DCF!$C$5+$B29*E$27)+(1-DCF!$C$17)*DCF!$C$14))^(-DCF!$C$42)+DCF!$C$20)/DCF!$C$21</f>
        <v>195.24163485749</v>
      </c>
      <c r="F29" s="58" t="n">
        <f aca="false">(SUMPRODUCT(DCF!$C$33:$L$33,(1+(DCF!$C$17*(DCF!$C$5+$B29*F$27)+(1-DCF!$C$17)*DCF!$C$14))^(-DCF!$C$34:$L$34))+DCF!$L$30*(1+DCF!$C$19)/((DCF!$C$17*(DCF!$C$5+$B29*F$27)+(1-DCF!$C$17)*DCF!$C$14)-DCF!$C$19)*(1+(DCF!$C$17*(DCF!$C$5+$B29*F$27)+(1-DCF!$C$17)*DCF!$C$14))^(-DCF!$C$42)+DCF!$C$20)/DCF!$C$21</f>
        <v>180.790090742836</v>
      </c>
      <c r="G29" s="58" t="n">
        <f aca="false">(SUMPRODUCT(DCF!$C$33:$L$33,(1+(DCF!$C$17*(DCF!$C$5+$B29*G$27)+(1-DCF!$C$17)*DCF!$C$14))^(-DCF!$C$34:$L$34))+DCF!$L$30*(1+DCF!$C$19)/((DCF!$C$17*(DCF!$C$5+$B29*G$27)+(1-DCF!$C$17)*DCF!$C$14)-DCF!$C$19)*(1+(DCF!$C$17*(DCF!$C$5+$B29*G$27)+(1-DCF!$C$17)*DCF!$C$14))^(-DCF!$C$42)+DCF!$C$20)/DCF!$C$21</f>
        <v>168.288580527682</v>
      </c>
    </row>
    <row r="30" customFormat="false" ht="15" hidden="false" customHeight="false" outlineLevel="0" collapsed="false">
      <c r="B30" s="75" t="n">
        <v>1.6</v>
      </c>
      <c r="C30" s="58" t="n">
        <f aca="false">(SUMPRODUCT(DCF!$C$33:$L$33,(1+(DCF!$C$17*(DCF!$C$5+$B30*C$27)+(1-DCF!$C$17)*DCF!$C$14))^(-DCF!$C$34:$L$34))+DCF!$L$30*(1+DCF!$C$19)/((DCF!$C$17*(DCF!$C$5+$B30*C$27)+(1-DCF!$C$17)*DCF!$C$14)-DCF!$C$19)*(1+(DCF!$C$17*(DCF!$C$5+$B30*C$27)+(1-DCF!$C$17)*DCF!$C$14))^(-DCF!$C$42)+DCF!$C$20)/DCF!$C$21</f>
        <v>209.542856926759</v>
      </c>
      <c r="D30" s="58" t="n">
        <f aca="false">(SUMPRODUCT(DCF!$C$33:$L$33,(1+(DCF!$C$17*(DCF!$C$5+$B30*D$27)+(1-DCF!$C$17)*DCF!$C$14))^(-DCF!$C$34:$L$34))+DCF!$L$30*(1+DCF!$C$19)/((DCF!$C$17*(DCF!$C$5+$B30*D$27)+(1-DCF!$C$17)*DCF!$C$14)-DCF!$C$19)*(1+(DCF!$C$17*(DCF!$C$5+$B30*D$27)+(1-DCF!$C$17)*DCF!$C$14))^(-DCF!$C$42)+DCF!$C$20)/DCF!$C$21</f>
        <v>190.888148192035</v>
      </c>
      <c r="E30" s="58" t="n">
        <f aca="false">(SUMPRODUCT(DCF!$C$33:$L$33,(1+(DCF!$C$17*(DCF!$C$5+$B30*E$27)+(1-DCF!$C$17)*DCF!$C$14))^(-DCF!$C$34:$L$34))+DCF!$L$30*(1+DCF!$C$19)/((DCF!$C$17*(DCF!$C$5+$B30*E$27)+(1-DCF!$C$17)*DCF!$C$14)-DCF!$C$19)*(1+(DCF!$C$17*(DCF!$C$5+$B30*E$27)+(1-DCF!$C$17)*DCF!$C$14))^(-DCF!$C$42)+DCF!$C$20)/DCF!$C$21</f>
        <v>175.21701724997</v>
      </c>
      <c r="F30" s="58" t="n">
        <f aca="false">(SUMPRODUCT(DCF!$C$33:$L$33,(1+(DCF!$C$17*(DCF!$C$5+$B30*F$27)+(1-DCF!$C$17)*DCF!$C$14))^(-DCF!$C$34:$L$34))+DCF!$L$30*(1+DCF!$C$19)/((DCF!$C$17*(DCF!$C$5+$B30*F$27)+(1-DCF!$C$17)*DCF!$C$14)-DCF!$C$19)*(1+(DCF!$C$17*(DCF!$C$5+$B30*F$27)+(1-DCF!$C$17)*DCF!$C$14))^(-DCF!$C$42)+DCF!$C$20)/DCF!$C$21</f>
        <v>161.876567830402</v>
      </c>
      <c r="G30" s="58" t="n">
        <f aca="false">(SUMPRODUCT(DCF!$C$33:$L$33,(1+(DCF!$C$17*(DCF!$C$5+$B30*G$27)+(1-DCF!$C$17)*DCF!$C$14))^(-DCF!$C$34:$L$34))+DCF!$L$30*(1+DCF!$C$19)/((DCF!$C$17*(DCF!$C$5+$B30*G$27)+(1-DCF!$C$17)*DCF!$C$14)-DCF!$C$19)*(1+(DCF!$C$17*(DCF!$C$5+$B30*G$27)+(1-DCF!$C$17)*DCF!$C$14))^(-DCF!$C$42)+DCF!$C$20)/DCF!$C$21</f>
        <v>150.390649540138</v>
      </c>
    </row>
    <row r="31" customFormat="false" ht="15" hidden="false" customHeight="false" outlineLevel="0" collapsed="false">
      <c r="B31" s="75" t="n">
        <v>1.8</v>
      </c>
      <c r="C31" s="58" t="n">
        <f aca="false">(SUMPRODUCT(DCF!$C$33:$L$33,(1+(DCF!$C$17*(DCF!$C$5+$B31*C$27)+(1-DCF!$C$17)*DCF!$C$14))^(-DCF!$C$34:$L$34))+DCF!$L$30*(1+DCF!$C$19)/((DCF!$C$17*(DCF!$C$5+$B31*C$27)+(1-DCF!$C$17)*DCF!$C$14)-DCF!$C$19)*(1+(DCF!$C$17*(DCF!$C$5+$B31*C$27)+(1-DCF!$C$17)*DCF!$C$14))^(-DCF!$C$42)+DCF!$C$20)/DCF!$C$21</f>
        <v>190.888148192035</v>
      </c>
      <c r="D31" s="58" t="n">
        <f aca="false">(SUMPRODUCT(DCF!$C$33:$L$33,(1+(DCF!$C$17*(DCF!$C$5+$B31*D$27)+(1-DCF!$C$17)*DCF!$C$14))^(-DCF!$C$34:$L$34))+DCF!$L$30*(1+DCF!$C$19)/((DCF!$C$17*(DCF!$C$5+$B31*D$27)+(1-DCF!$C$17)*DCF!$C$14)-DCF!$C$19)*(1+(DCF!$C$17*(DCF!$C$5+$B31*D$27)+(1-DCF!$C$17)*DCF!$C$14))^(-DCF!$C$42)+DCF!$C$20)/DCF!$C$21</f>
        <v>173.433186439889</v>
      </c>
      <c r="E31" s="58" t="n">
        <f aca="false">(SUMPRODUCT(DCF!$C$33:$L$33,(1+(DCF!$C$17*(DCF!$C$5+$B31*E$27)+(1-DCF!$C$17)*DCF!$C$14))^(-DCF!$C$34:$L$34))+DCF!$L$30*(1+DCF!$C$19)/((DCF!$C$17*(DCF!$C$5+$B31*E$27)+(1-DCF!$C$17)*DCF!$C$14)-DCF!$C$19)*(1+(DCF!$C$17*(DCF!$C$5+$B31*E$27)+(1-DCF!$C$17)*DCF!$C$14))^(-DCF!$C$42)+DCF!$C$20)/DCF!$C$21</f>
        <v>158.846840417528</v>
      </c>
      <c r="F31" s="58" t="n">
        <f aca="false">(SUMPRODUCT(DCF!$C$33:$L$33,(1+(DCF!$C$17*(DCF!$C$5+$B31*F$27)+(1-DCF!$C$17)*DCF!$C$14))^(-DCF!$C$34:$L$34))+DCF!$L$30*(1+DCF!$C$19)/((DCF!$C$17*(DCF!$C$5+$B31*F$27)+(1-DCF!$C$17)*DCF!$C$14)-DCF!$C$19)*(1+(DCF!$C$17*(DCF!$C$5+$B31*F$27)+(1-DCF!$C$17)*DCF!$C$14))^(-DCF!$C$42)+DCF!$C$20)/DCF!$C$21</f>
        <v>146.48602981682</v>
      </c>
      <c r="G31" s="58" t="n">
        <f aca="false">(SUMPRODUCT(DCF!$C$33:$L$33,(1+(DCF!$C$17*(DCF!$C$5+$B31*G$27)+(1-DCF!$C$17)*DCF!$C$14))^(-DCF!$C$34:$L$34))+DCF!$L$30*(1+DCF!$C$19)/((DCF!$C$17*(DCF!$C$5+$B31*G$27)+(1-DCF!$C$17)*DCF!$C$14)-DCF!$C$19)*(1+(DCF!$C$17*(DCF!$C$5+$B31*G$27)+(1-DCF!$C$17)*DCF!$C$14))^(-DCF!$C$42)+DCF!$C$20)/DCF!$C$21</f>
        <v>135.885614695734</v>
      </c>
    </row>
    <row r="32" customFormat="false" ht="15" hidden="false" customHeight="false" outlineLevel="0" collapsed="false">
      <c r="B32" s="75" t="n">
        <v>2</v>
      </c>
      <c r="C32" s="58" t="n">
        <f aca="false">(SUMPRODUCT(DCF!$C$33:$L$33,(1+(DCF!$C$17*(DCF!$C$5+$B32*C$27)+(1-DCF!$C$17)*DCF!$C$14))^(-DCF!$C$34:$L$34))+DCF!$L$30*(1+DCF!$C$19)/((DCF!$C$17*(DCF!$C$5+$B32*C$27)+(1-DCF!$C$17)*DCF!$C$14)-DCF!$C$19)*(1+(DCF!$C$17*(DCF!$C$5+$B32*C$27)+(1-DCF!$C$17)*DCF!$C$14))^(-DCF!$C$42)+DCF!$C$20)/DCF!$C$21</f>
        <v>175.21701724997</v>
      </c>
      <c r="D32" s="58" t="n">
        <f aca="false">(SUMPRODUCT(DCF!$C$33:$L$33,(1+(DCF!$C$17*(DCF!$C$5+$B32*D$27)+(1-DCF!$C$17)*DCF!$C$14))^(-DCF!$C$34:$L$34))+DCF!$L$30*(1+DCF!$C$19)/((DCF!$C$17*(DCF!$C$5+$B32*D$27)+(1-DCF!$C$17)*DCF!$C$14)-DCF!$C$19)*(1+(DCF!$C$17*(DCF!$C$5+$B32*D$27)+(1-DCF!$C$17)*DCF!$C$14))^(-DCF!$C$42)+DCF!$C$20)/DCF!$C$21</f>
        <v>158.846840417528</v>
      </c>
      <c r="E32" s="58" t="n">
        <f aca="false">(SUMPRODUCT(DCF!$C$33:$L$33,(1+(DCF!$C$17*(DCF!$C$5+$B32*E$27)+(1-DCF!$C$17)*DCF!$C$14))^(-DCF!$C$34:$L$34))+DCF!$L$30*(1+DCF!$C$19)/((DCF!$C$17*(DCF!$C$5+$B32*E$27)+(1-DCF!$C$17)*DCF!$C$14)-DCF!$C$19)*(1+(DCF!$C$17*(DCF!$C$5+$B32*E$27)+(1-DCF!$C$17)*DCF!$C$14))^(-DCF!$C$42)+DCF!$C$20)/DCF!$C$21</f>
        <v>145.228455581484</v>
      </c>
      <c r="F32" s="58" t="n">
        <f aca="false">(SUMPRODUCT(DCF!$C$33:$L$33,(1+(DCF!$C$17*(DCF!$C$5+$B32*F$27)+(1-DCF!$C$17)*DCF!$C$14))^(-DCF!$C$34:$L$34))+DCF!$L$30*(1+DCF!$C$19)/((DCF!$C$17*(DCF!$C$5+$B32*F$27)+(1-DCF!$C$17)*DCF!$C$14)-DCF!$C$19)*(1+(DCF!$C$17*(DCF!$C$5+$B32*F$27)+(1-DCF!$C$17)*DCF!$C$14))^(-DCF!$C$42)+DCF!$C$20)/DCF!$C$21</f>
        <v>133.732521658851</v>
      </c>
      <c r="G32" s="58" t="n">
        <f aca="false">(SUMPRODUCT(DCF!$C$33:$L$33,(1+(DCF!$C$17*(DCF!$C$5+$B32*G$27)+(1-DCF!$C$17)*DCF!$C$14))^(-DCF!$C$34:$L$34))+DCF!$L$30*(1+DCF!$C$19)/((DCF!$C$17*(DCF!$C$5+$B32*G$27)+(1-DCF!$C$17)*DCF!$C$14)-DCF!$C$19)*(1+(DCF!$C$17*(DCF!$C$5+$B32*G$27)+(1-DCF!$C$17)*DCF!$C$14))^(-DCF!$C$42)+DCF!$C$20)/DCF!$C$21</f>
        <v>123.907001961967</v>
      </c>
    </row>
    <row r="33" customFormat="false" ht="15" hidden="false" customHeight="false" outlineLevel="0" collapsed="false">
      <c r="B33" s="75" t="n">
        <v>2.2</v>
      </c>
      <c r="C33" s="58" t="n">
        <f aca="false">(SUMPRODUCT(DCF!$C$33:$L$33,(1+(DCF!$C$17*(DCF!$C$5+$B33*C$27)+(1-DCF!$C$17)*DCF!$C$14))^(-DCF!$C$34:$L$34))+DCF!$L$30*(1+DCF!$C$19)/((DCF!$C$17*(DCF!$C$5+$B33*C$27)+(1-DCF!$C$17)*DCF!$C$14)-DCF!$C$19)*(1+(DCF!$C$17*(DCF!$C$5+$B33*C$27)+(1-DCF!$C$17)*DCF!$C$14))^(-DCF!$C$42)+DCF!$C$20)/DCF!$C$21</f>
        <v>161.876567830402</v>
      </c>
      <c r="D33" s="58" t="n">
        <f aca="false">(SUMPRODUCT(DCF!$C$33:$L$33,(1+(DCF!$C$17*(DCF!$C$5+$B33*D$27)+(1-DCF!$C$17)*DCF!$C$14))^(-DCF!$C$34:$L$34))+DCF!$L$30*(1+DCF!$C$19)/((DCF!$C$17*(DCF!$C$5+$B33*D$27)+(1-DCF!$C$17)*DCF!$C$14)-DCF!$C$19)*(1+(DCF!$C$17*(DCF!$C$5+$B33*D$27)+(1-DCF!$C$17)*DCF!$C$14))^(-DCF!$C$42)+DCF!$C$20)/DCF!$C$21</f>
        <v>146.48602981682</v>
      </c>
      <c r="E33" s="58" t="n">
        <f aca="false">(SUMPRODUCT(DCF!$C$33:$L$33,(1+(DCF!$C$17*(DCF!$C$5+$B33*E$27)+(1-DCF!$C$17)*DCF!$C$14))^(-DCF!$C$34:$L$34))+DCF!$L$30*(1+DCF!$C$19)/((DCF!$C$17*(DCF!$C$5+$B33*E$27)+(1-DCF!$C$17)*DCF!$C$14)-DCF!$C$19)*(1+(DCF!$C$17*(DCF!$C$5+$B33*E$27)+(1-DCF!$C$17)*DCF!$C$14))^(-DCF!$C$42)+DCF!$C$20)/DCF!$C$21</f>
        <v>133.732521658851</v>
      </c>
      <c r="F33" s="58" t="n">
        <f aca="false">(SUMPRODUCT(DCF!$C$33:$L$33,(1+(DCF!$C$17*(DCF!$C$5+$B33*F$27)+(1-DCF!$C$17)*DCF!$C$14))^(-DCF!$C$34:$L$34))+DCF!$L$30*(1+DCF!$C$19)/((DCF!$C$17*(DCF!$C$5+$B33*F$27)+(1-DCF!$C$17)*DCF!$C$14)-DCF!$C$19)*(1+(DCF!$C$17*(DCF!$C$5+$B33*F$27)+(1-DCF!$C$17)*DCF!$C$14))^(-DCF!$C$42)+DCF!$C$20)/DCF!$C$21</f>
        <v>123.002696018026</v>
      </c>
      <c r="G33" s="58" t="n">
        <f aca="false">(SUMPRODUCT(DCF!$C$33:$L$33,(1+(DCF!$C$17*(DCF!$C$5+$B33*G$27)+(1-DCF!$C$17)*DCF!$C$14))^(-DCF!$C$34:$L$34))+DCF!$L$30*(1+DCF!$C$19)/((DCF!$C$17*(DCF!$C$5+$B33*G$27)+(1-DCF!$C$17)*DCF!$C$14)-DCF!$C$19)*(1+(DCF!$C$17*(DCF!$C$5+$B33*G$27)+(1-DCF!$C$17)*DCF!$C$14))^(-DCF!$C$42)+DCF!$C$20)/DCF!$C$21</f>
        <v>113.858639204925</v>
      </c>
    </row>
    <row r="36" customFormat="false" ht="15" hidden="false" customHeight="false" outlineLevel="0" collapsed="false">
      <c r="A36" s="48" t="s">
        <v>402</v>
      </c>
    </row>
    <row r="37" customFormat="false" ht="23.85" hidden="false" customHeight="false" outlineLevel="0" collapsed="false">
      <c r="A37" s="61"/>
      <c r="B37" s="61" t="s">
        <v>403</v>
      </c>
      <c r="C37" s="61" t="s">
        <v>404</v>
      </c>
      <c r="D37" s="61" t="s">
        <v>405</v>
      </c>
    </row>
    <row r="38" customFormat="false" ht="15" hidden="false" customHeight="false" outlineLevel="0" collapsed="false">
      <c r="B38" s="76" t="n">
        <v>6</v>
      </c>
      <c r="C38" s="58" t="n">
        <f aca="false">(B38*Comps!$J$17+Comps!$G$17-Comps!$F$17)/DCF!$C$21</f>
        <v>238.170813743219</v>
      </c>
      <c r="D38" s="63" t="n">
        <f aca="false">C38/DCF!$C$22-1</f>
        <v>-0.606673800235795</v>
      </c>
    </row>
    <row r="39" customFormat="false" ht="15" hidden="false" customHeight="false" outlineLevel="0" collapsed="false">
      <c r="B39" s="76" t="n">
        <v>8</v>
      </c>
      <c r="C39" s="58" t="n">
        <f aca="false">(B39*Comps!$J$17+Comps!$G$17-Comps!$F$17)/DCF!$C$21</f>
        <v>315.574948764316</v>
      </c>
      <c r="D39" s="63" t="n">
        <f aca="false">C39/DCF!$C$22-1</f>
        <v>-0.478845063391879</v>
      </c>
    </row>
    <row r="40" customFormat="false" ht="15" hidden="false" customHeight="false" outlineLevel="0" collapsed="false">
      <c r="B40" s="76" t="n">
        <v>10</v>
      </c>
      <c r="C40" s="58" t="n">
        <f aca="false">(B40*Comps!$J$17+Comps!$G$17-Comps!$F$17)/DCF!$C$21</f>
        <v>392.979083785413</v>
      </c>
      <c r="D40" s="63" t="n">
        <f aca="false">C40/DCF!$C$22-1</f>
        <v>-0.351016326547962</v>
      </c>
    </row>
    <row r="41" customFormat="false" ht="15" hidden="false" customHeight="false" outlineLevel="0" collapsed="false">
      <c r="B41" s="76" t="n">
        <v>12</v>
      </c>
      <c r="C41" s="58" t="n">
        <f aca="false">(B41*Comps!$J$17+Comps!$G$17-Comps!$F$17)/DCF!$C$21</f>
        <v>470.38321880651</v>
      </c>
      <c r="D41" s="63" t="n">
        <f aca="false">C41/DCF!$C$22-1</f>
        <v>-0.223187589704044</v>
      </c>
    </row>
    <row r="42" customFormat="false" ht="15" hidden="false" customHeight="false" outlineLevel="0" collapsed="false">
      <c r="B42" s="76" t="n">
        <v>14</v>
      </c>
      <c r="C42" s="58" t="n">
        <f aca="false">(B42*Comps!$J$17+Comps!$G$17-Comps!$F$17)/DCF!$C$21</f>
        <v>547.787353827607</v>
      </c>
      <c r="D42" s="63" t="n">
        <f aca="false">C42/DCF!$C$22-1</f>
        <v>-0.0953588528601276</v>
      </c>
    </row>
    <row r="43" customFormat="false" ht="15" hidden="false" customHeight="false" outlineLevel="0" collapsed="false">
      <c r="B43" s="76" t="n">
        <v>16</v>
      </c>
      <c r="C43" s="58" t="n">
        <f aca="false">(B43*Comps!$J$17+Comps!$G$17-Comps!$F$17)/DCF!$C$21</f>
        <v>625.191488848704</v>
      </c>
      <c r="D43" s="63" t="n">
        <f aca="false">C43/DCF!$C$22-1</f>
        <v>0.0324698839837896</v>
      </c>
    </row>
    <row r="44" customFormat="false" ht="15" hidden="false" customHeight="false" outlineLevel="0" collapsed="false">
      <c r="B44" s="76" t="n">
        <v>18</v>
      </c>
      <c r="C44" s="58" t="n">
        <f aca="false">(B44*Comps!$J$17+Comps!$G$17-Comps!$F$17)/DCF!$C$21</f>
        <v>702.595623869801</v>
      </c>
      <c r="D44" s="63" t="n">
        <f aca="false">C44/DCF!$C$22-1</f>
        <v>0.160298620827706</v>
      </c>
    </row>
    <row r="46" customFormat="false" ht="15" hidden="false" customHeight="false" outlineLevel="0" collapsed="false">
      <c r="A46" s="48" t="s">
        <v>406</v>
      </c>
      <c r="C46" s="68" t="n">
        <f aca="false">Comps!N17</f>
        <v>15.2373428766735</v>
      </c>
    </row>
  </sheetData>
  <conditionalFormatting sqref="C6:G12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17:G23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8:G33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2" min="2" style="0" width="11"/>
    <col collapsed="false" customWidth="true" hidden="false" outlineLevel="0" max="23" min="23" style="0" width="60"/>
  </cols>
  <sheetData>
    <row r="1" customFormat="false" ht="17.35" hidden="false" customHeight="false" outlineLevel="0" collapsed="false">
      <c r="A1" s="46" t="s">
        <v>407</v>
      </c>
    </row>
    <row r="2" customFormat="false" ht="15" hidden="false" customHeight="false" outlineLevel="0" collapsed="false">
      <c r="A2" s="47" t="s">
        <v>408</v>
      </c>
    </row>
    <row r="4" customFormat="false" ht="30" hidden="false" customHeight="true" outlineLevel="0" collapsed="false">
      <c r="A4" s="61" t="s">
        <v>409</v>
      </c>
      <c r="B4" s="61" t="s">
        <v>410</v>
      </c>
      <c r="C4" s="61" t="s">
        <v>411</v>
      </c>
      <c r="D4" s="61" t="s">
        <v>412</v>
      </c>
      <c r="E4" s="61" t="s">
        <v>413</v>
      </c>
      <c r="F4" s="61" t="s">
        <v>414</v>
      </c>
      <c r="G4" s="61" t="s">
        <v>415</v>
      </c>
      <c r="H4" s="61" t="s">
        <v>416</v>
      </c>
      <c r="I4" s="61" t="s">
        <v>417</v>
      </c>
      <c r="J4" s="61" t="s">
        <v>418</v>
      </c>
      <c r="K4" s="61" t="s">
        <v>419</v>
      </c>
      <c r="L4" s="61" t="s">
        <v>420</v>
      </c>
      <c r="M4" s="61" t="s">
        <v>421</v>
      </c>
      <c r="N4" s="61" t="s">
        <v>422</v>
      </c>
      <c r="O4" s="61" t="s">
        <v>423</v>
      </c>
      <c r="P4" s="61" t="s">
        <v>424</v>
      </c>
      <c r="Q4" s="61" t="s">
        <v>425</v>
      </c>
      <c r="R4" s="61" t="s">
        <v>426</v>
      </c>
      <c r="S4" s="61" t="s">
        <v>427</v>
      </c>
      <c r="T4" s="61" t="s">
        <v>428</v>
      </c>
      <c r="U4" s="61" t="s">
        <v>429</v>
      </c>
      <c r="V4" s="61" t="s">
        <v>430</v>
      </c>
    </row>
    <row r="5" customFormat="false" ht="15" hidden="false" customHeight="false" outlineLevel="0" collapsed="false">
      <c r="A5" s="49" t="s">
        <v>431</v>
      </c>
      <c r="B5" s="49" t="s">
        <v>432</v>
      </c>
      <c r="C5" s="49" t="s">
        <v>433</v>
      </c>
      <c r="D5" s="77" t="n">
        <v>228.52</v>
      </c>
      <c r="E5" s="78" t="n">
        <v>5518072.5</v>
      </c>
      <c r="F5" s="78" t="n">
        <v>33366</v>
      </c>
      <c r="G5" s="78" t="n">
        <v>22443</v>
      </c>
      <c r="H5" s="62" t="n">
        <f aca="false">E5+F5-G5</f>
        <v>5528995.5</v>
      </c>
      <c r="I5" s="78" t="n">
        <v>302969</v>
      </c>
      <c r="J5" s="78" t="n">
        <v>486660</v>
      </c>
      <c r="K5" s="78" t="n">
        <v>197579</v>
      </c>
      <c r="L5" s="78" t="n">
        <v>192879</v>
      </c>
      <c r="M5" s="69" t="n">
        <f aca="false">H5/I5</f>
        <v>18.2493769989669</v>
      </c>
      <c r="N5" s="69" t="n">
        <f aca="false">H5/J5</f>
        <v>11.3611052891136</v>
      </c>
      <c r="O5" s="69" t="n">
        <f aca="false">IF(K5&gt;0,H5/K5,"n.m.")</f>
        <v>27.9837204358763</v>
      </c>
      <c r="P5" s="69" t="n">
        <f aca="false">IF(L5&gt;0,E5/L5,"n.m.")</f>
        <v>28.6089854260962</v>
      </c>
      <c r="Q5" s="54" t="n">
        <f aca="false">J5/I5-1</f>
        <v>0.606302955087814</v>
      </c>
      <c r="R5" s="54" t="n">
        <f aca="false">K5/I5</f>
        <v>0.652142628453736</v>
      </c>
      <c r="S5" s="64" t="n">
        <v>2.23</v>
      </c>
      <c r="T5" s="65" t="n">
        <f aca="false">0.67*S5+0.33</f>
        <v>1.8241</v>
      </c>
      <c r="U5" s="54" t="n">
        <f aca="false">F5/E5</f>
        <v>0.00604667662485406</v>
      </c>
      <c r="V5" s="65" t="n">
        <f aca="false">T5/(1+(1-0.15)*U5)</f>
        <v>1.81477265810051</v>
      </c>
      <c r="W5" s="79" t="s">
        <v>434</v>
      </c>
    </row>
    <row r="6" customFormat="false" ht="15" hidden="false" customHeight="false" outlineLevel="0" collapsed="false">
      <c r="A6" s="49" t="s">
        <v>435</v>
      </c>
      <c r="B6" s="49" t="s">
        <v>436</v>
      </c>
      <c r="C6" s="49" t="s">
        <v>437</v>
      </c>
      <c r="D6" s="77" t="n">
        <v>357.31</v>
      </c>
      <c r="E6" s="78" t="n">
        <v>1705665.7</v>
      </c>
      <c r="F6" s="78" t="n">
        <v>59419</v>
      </c>
      <c r="G6" s="78" t="n">
        <v>23975</v>
      </c>
      <c r="H6" s="62" t="n">
        <f aca="false">E6+F6-G6</f>
        <v>1741109.7</v>
      </c>
      <c r="I6" s="78" t="n">
        <v>89104</v>
      </c>
      <c r="J6" s="78" t="n">
        <v>130200</v>
      </c>
      <c r="K6" s="78" t="n">
        <v>42814</v>
      </c>
      <c r="L6" s="78" t="n">
        <v>38265</v>
      </c>
      <c r="M6" s="69" t="n">
        <f aca="false">H6/I6</f>
        <v>19.5401968486263</v>
      </c>
      <c r="N6" s="69" t="n">
        <f aca="false">H6/J6</f>
        <v>13.3725783410138</v>
      </c>
      <c r="O6" s="69" t="n">
        <f aca="false">IF(K6&gt;0,H6/K6,"n.m.")</f>
        <v>40.6668309431494</v>
      </c>
      <c r="P6" s="69" t="n">
        <f aca="false">IF(L6&gt;0,E6/L6,"n.m.")</f>
        <v>44.5750868940285</v>
      </c>
      <c r="Q6" s="54" t="n">
        <f aca="false">J6/I6-1</f>
        <v>0.461213862452864</v>
      </c>
      <c r="R6" s="54" t="n">
        <f aca="false">K6/I6</f>
        <v>0.480494702819178</v>
      </c>
      <c r="S6" s="64" t="n">
        <v>1.485</v>
      </c>
      <c r="T6" s="65" t="n">
        <f aca="false">0.67*S6+0.33</f>
        <v>1.32495</v>
      </c>
      <c r="U6" s="54" t="n">
        <f aca="false">F6/E6</f>
        <v>0.0348362519103245</v>
      </c>
      <c r="V6" s="65" t="n">
        <f aca="false">T6/(1+(1-0.15)*U6)</f>
        <v>1.28684545832744</v>
      </c>
      <c r="W6" s="79" t="s">
        <v>438</v>
      </c>
    </row>
    <row r="7" customFormat="false" ht="15" hidden="false" customHeight="false" outlineLevel="0" collapsed="false">
      <c r="A7" s="49" t="s">
        <v>439</v>
      </c>
      <c r="B7" s="49" t="s">
        <v>440</v>
      </c>
      <c r="C7" s="49" t="s">
        <v>441</v>
      </c>
      <c r="D7" s="77" t="n">
        <v>102.81</v>
      </c>
      <c r="E7" s="78" t="n">
        <v>540217.8</v>
      </c>
      <c r="F7" s="78" t="n">
        <v>50537</v>
      </c>
      <c r="G7" s="78" t="n">
        <v>29727</v>
      </c>
      <c r="H7" s="62" t="n">
        <f aca="false">E7+F7-G7</f>
        <v>561027.8</v>
      </c>
      <c r="I7" s="78" t="n">
        <v>57032</v>
      </c>
      <c r="J7" s="78" t="n">
        <v>65800</v>
      </c>
      <c r="K7" s="78" t="n">
        <v>-77</v>
      </c>
      <c r="L7" s="78" t="n">
        <v>-11289</v>
      </c>
      <c r="M7" s="69" t="n">
        <f aca="false">H7/I7</f>
        <v>9.83707041660822</v>
      </c>
      <c r="N7" s="69" t="n">
        <f aca="false">H7/J7</f>
        <v>8.52625835866262</v>
      </c>
      <c r="O7" s="69" t="str">
        <f aca="false">IF(K7&gt;0,H7/K7,"n.m.")</f>
        <v>n.m.</v>
      </c>
      <c r="P7" s="69" t="str">
        <f aca="false">IF(L7&gt;0,E7/L7,"n.m.")</f>
        <v>n.m.</v>
      </c>
      <c r="Q7" s="54" t="n">
        <f aca="false">J7/I7-1</f>
        <v>0.153738252209286</v>
      </c>
      <c r="R7" s="54" t="n">
        <f aca="false">K7/I7</f>
        <v>-0.00135011923130874</v>
      </c>
      <c r="S7" s="64" t="n">
        <v>2.354</v>
      </c>
      <c r="T7" s="65" t="n">
        <f aca="false">0.67*S7+0.33</f>
        <v>1.90718</v>
      </c>
      <c r="U7" s="54" t="n">
        <f aca="false">F7/E7</f>
        <v>0.0935493054838252</v>
      </c>
      <c r="V7" s="65" t="n">
        <f aca="false">T7/(1+(1-0.15)*U7)</f>
        <v>1.76669766164058</v>
      </c>
      <c r="W7" s="79" t="s">
        <v>442</v>
      </c>
    </row>
    <row r="8" customFormat="false" ht="15" hidden="false" customHeight="false" outlineLevel="0" collapsed="false">
      <c r="A8" s="49" t="s">
        <v>443</v>
      </c>
      <c r="B8" s="49" t="s">
        <v>444</v>
      </c>
      <c r="C8" s="49" t="s">
        <v>445</v>
      </c>
      <c r="D8" s="77" t="n">
        <v>176.86</v>
      </c>
      <c r="E8" s="78" t="n">
        <v>188858.1</v>
      </c>
      <c r="F8" s="78" t="n">
        <v>14811</v>
      </c>
      <c r="G8" s="78" t="n">
        <v>8304</v>
      </c>
      <c r="H8" s="62" t="n">
        <f aca="false">E8+F8-G8</f>
        <v>195365.1</v>
      </c>
      <c r="I8" s="78" t="n">
        <v>44069</v>
      </c>
      <c r="J8" s="78" t="n">
        <v>42747</v>
      </c>
      <c r="K8" s="78" t="n">
        <v>10219</v>
      </c>
      <c r="L8" s="78" t="n">
        <v>9259</v>
      </c>
      <c r="M8" s="69" t="n">
        <f aca="false">H8/I8</f>
        <v>4.43316390206268</v>
      </c>
      <c r="N8" s="69" t="n">
        <f aca="false">H8/J8</f>
        <v>4.57026457997053</v>
      </c>
      <c r="O8" s="69" t="n">
        <f aca="false">IF(K8&gt;0,H8/K8,"n.m.")</f>
        <v>19.1178295332224</v>
      </c>
      <c r="P8" s="69" t="n">
        <f aca="false">IF(L8&gt;0,E8/L8,"n.m.")</f>
        <v>20.3972459228858</v>
      </c>
      <c r="Q8" s="54" t="n">
        <f aca="false">J8/I8-1</f>
        <v>-0.0299984115818376</v>
      </c>
      <c r="R8" s="54" t="n">
        <f aca="false">K8/I8</f>
        <v>0.231886360026322</v>
      </c>
      <c r="S8" s="64" t="n">
        <v>1.751</v>
      </c>
      <c r="T8" s="65" t="n">
        <f aca="false">0.67*S8+0.33</f>
        <v>1.50317</v>
      </c>
      <c r="U8" s="54" t="n">
        <f aca="false">F8/E8</f>
        <v>0.0784239595759991</v>
      </c>
      <c r="V8" s="65" t="n">
        <f aca="false">T8/(1+(1-0.15)*U8)</f>
        <v>1.40923019962278</v>
      </c>
      <c r="W8" s="79" t="s">
        <v>446</v>
      </c>
    </row>
    <row r="9" customFormat="false" ht="15" hidden="false" customHeight="false" outlineLevel="0" collapsed="false">
      <c r="A9" s="48" t="s">
        <v>447</v>
      </c>
    </row>
    <row r="10" customFormat="false" ht="15" hidden="false" customHeight="false" outlineLevel="0" collapsed="false">
      <c r="A10" s="48" t="s">
        <v>448</v>
      </c>
      <c r="E10" s="62" t="n">
        <f aca="false">MAX(E5:E8)</f>
        <v>5518072.5</v>
      </c>
      <c r="M10" s="69" t="n">
        <f aca="false">MAX(M5:M8)</f>
        <v>19.5401968486263</v>
      </c>
      <c r="N10" s="69" t="n">
        <f aca="false">MAX(N5:N8)</f>
        <v>13.3725783410138</v>
      </c>
      <c r="O10" s="69" t="n">
        <f aca="false">MAX(O5:O8)</f>
        <v>40.6668309431494</v>
      </c>
      <c r="P10" s="69" t="n">
        <f aca="false">MAX(P5:P8)</f>
        <v>44.5750868940285</v>
      </c>
      <c r="Q10" s="54" t="n">
        <f aca="false">MAX(Q5:Q8)</f>
        <v>0.606302955087814</v>
      </c>
      <c r="R10" s="54" t="n">
        <f aca="false">MAX(R5:R8)</f>
        <v>0.652142628453736</v>
      </c>
      <c r="T10" s="65" t="n">
        <f aca="false">MAX(T5:T8)</f>
        <v>1.90718</v>
      </c>
      <c r="V10" s="65" t="n">
        <f aca="false">MAX(V5:V8)</f>
        <v>1.81477265810051</v>
      </c>
    </row>
    <row r="11" customFormat="false" ht="15" hidden="false" customHeight="false" outlineLevel="0" collapsed="false">
      <c r="A11" s="48" t="s">
        <v>449</v>
      </c>
      <c r="E11" s="62" t="n">
        <f aca="false">PERCENTILE(E5:E8,0.75)</f>
        <v>2658767.4</v>
      </c>
      <c r="M11" s="69" t="n">
        <f aca="false">PERCENTILE(M5:M8,0.75)</f>
        <v>18.5720819613818</v>
      </c>
      <c r="N11" s="69" t="n">
        <f aca="false">PERCENTILE(N5:N8,0.75)</f>
        <v>11.8639735520886</v>
      </c>
      <c r="O11" s="69" t="n">
        <f aca="false">PERCENTILE(O5:O8,0.75)</f>
        <v>34.3252756895129</v>
      </c>
      <c r="P11" s="69" t="n">
        <f aca="false">PERCENTILE(P5:P8,0.75)</f>
        <v>36.5920361600623</v>
      </c>
      <c r="Q11" s="54" t="n">
        <f aca="false">PERCENTILE(Q5:Q8,0.75)</f>
        <v>0.497486135611602</v>
      </c>
      <c r="R11" s="54" t="n">
        <f aca="false">PERCENTILE(R5:R8,0.75)</f>
        <v>0.523406684227817</v>
      </c>
      <c r="T11" s="65" t="n">
        <f aca="false">PERCENTILE(T5:T8,0.75)</f>
        <v>1.84487</v>
      </c>
      <c r="V11" s="65" t="n">
        <f aca="false">PERCENTILE(V5:V8,0.75)</f>
        <v>1.77871641075556</v>
      </c>
    </row>
    <row r="12" customFormat="false" ht="15" hidden="false" customHeight="false" outlineLevel="0" collapsed="false">
      <c r="A12" s="48" t="s">
        <v>450</v>
      </c>
      <c r="E12" s="62" t="n">
        <f aca="false">MEDIAN(E5:E8)</f>
        <v>1122941.75</v>
      </c>
      <c r="M12" s="69" t="n">
        <f aca="false">MEDIAN(M5:M8)</f>
        <v>14.0432237077876</v>
      </c>
      <c r="N12" s="69" t="n">
        <f aca="false">MEDIAN(N5:N8)</f>
        <v>9.94368182388808</v>
      </c>
      <c r="O12" s="69" t="n">
        <f aca="false">MEDIAN(O5:O8)</f>
        <v>27.9837204358763</v>
      </c>
      <c r="P12" s="69" t="n">
        <f aca="false">MEDIAN(P5:P8)</f>
        <v>28.6089854260962</v>
      </c>
      <c r="Q12" s="54" t="n">
        <f aca="false">MEDIAN(Q5:Q8)</f>
        <v>0.307476057331075</v>
      </c>
      <c r="R12" s="54" t="n">
        <f aca="false">MEDIAN(R5:R8)</f>
        <v>0.35619053142275</v>
      </c>
      <c r="T12" s="65" t="n">
        <f aca="false">MEDIAN(T5:T8)</f>
        <v>1.663635</v>
      </c>
      <c r="V12" s="65" t="n">
        <f aca="false">MEDIAN(V5:V8)</f>
        <v>1.58796393063168</v>
      </c>
    </row>
    <row r="13" customFormat="false" ht="15" hidden="false" customHeight="false" outlineLevel="0" collapsed="false">
      <c r="A13" s="48" t="s">
        <v>451</v>
      </c>
      <c r="E13" s="62" t="n">
        <f aca="false">PERCENTILE(E5:E8,0.25)</f>
        <v>452377.875</v>
      </c>
      <c r="M13" s="69" t="n">
        <f aca="false">PERCENTILE(M5:M8,0.25)</f>
        <v>8.48609378797183</v>
      </c>
      <c r="N13" s="69" t="n">
        <f aca="false">PERCENTILE(N5:N8,0.25)</f>
        <v>7.53725991398959</v>
      </c>
      <c r="O13" s="69" t="n">
        <f aca="false">PERCENTILE(O5:O8,0.25)</f>
        <v>23.5507749845494</v>
      </c>
      <c r="P13" s="69" t="n">
        <f aca="false">PERCENTILE(P5:P8,0.25)</f>
        <v>24.503115674491</v>
      </c>
      <c r="Q13" s="54" t="n">
        <f aca="false">PERCENTILE(Q5:Q8,0.25)</f>
        <v>0.107804086261505</v>
      </c>
      <c r="R13" s="54" t="n">
        <f aca="false">PERCENTILE(R5:R8,0.25)</f>
        <v>0.173577240211915</v>
      </c>
      <c r="T13" s="65" t="n">
        <f aca="false">PERCENTILE(T5:T8,0.25)</f>
        <v>1.458615</v>
      </c>
      <c r="V13" s="65" t="n">
        <f aca="false">PERCENTILE(V5:V8,0.25)</f>
        <v>1.37863401429895</v>
      </c>
    </row>
    <row r="14" customFormat="false" ht="15" hidden="false" customHeight="false" outlineLevel="0" collapsed="false">
      <c r="A14" s="48" t="s">
        <v>452</v>
      </c>
      <c r="E14" s="62" t="n">
        <f aca="false">MIN(E5:E8)</f>
        <v>188858.1</v>
      </c>
      <c r="M14" s="69" t="n">
        <f aca="false">MIN(M5:M8)</f>
        <v>4.43316390206268</v>
      </c>
      <c r="N14" s="69" t="n">
        <f aca="false">MIN(N5:N8)</f>
        <v>4.57026457997053</v>
      </c>
      <c r="O14" s="69" t="n">
        <f aca="false">MIN(O5:O8)</f>
        <v>19.1178295332224</v>
      </c>
      <c r="P14" s="69" t="n">
        <f aca="false">MIN(P5:P8)</f>
        <v>20.3972459228858</v>
      </c>
      <c r="Q14" s="54" t="n">
        <f aca="false">MIN(Q5:Q8)</f>
        <v>-0.0299984115818376</v>
      </c>
      <c r="R14" s="54" t="n">
        <f aca="false">MIN(R5:R8)</f>
        <v>-0.00135011923130874</v>
      </c>
      <c r="T14" s="65" t="n">
        <f aca="false">MIN(T5:T8)</f>
        <v>1.32495</v>
      </c>
      <c r="V14" s="65" t="n">
        <f aca="false">MIN(V5:V8)</f>
        <v>1.28684545832744</v>
      </c>
    </row>
    <row r="16" customFormat="false" ht="15" hidden="false" customHeight="false" outlineLevel="0" collapsed="false">
      <c r="A16" s="48" t="s">
        <v>453</v>
      </c>
    </row>
    <row r="17" customFormat="false" ht="15" hidden="false" customHeight="false" outlineLevel="0" collapsed="false">
      <c r="A17" s="48" t="s">
        <v>454</v>
      </c>
      <c r="B17" s="49" t="s">
        <v>455</v>
      </c>
      <c r="C17" s="49" t="s">
        <v>441</v>
      </c>
      <c r="D17" s="58" t="n">
        <f aca="false">'DCF Inputs'!C28</f>
        <v>605.53</v>
      </c>
      <c r="E17" s="55" t="n">
        <f aca="false">'DCF Inputs'!C31</f>
        <v>988224.96</v>
      </c>
      <c r="F17" s="55" t="n">
        <f aca="false">'DCF Inputs'!C34</f>
        <v>3226</v>
      </c>
      <c r="G17" s="55" t="n">
        <f aca="false">'DCF Inputs'!C32+'DCF Inputs'!C33</f>
        <v>13111</v>
      </c>
      <c r="H17" s="62" t="n">
        <f aca="false">E17+F17-G17</f>
        <v>978339.96</v>
      </c>
      <c r="I17" s="55" t="n">
        <f aca="false">'Quarterly Hist'!G6+'Quarterly Hist'!H6+'Quarterly Hist'!I6+'Quarterly Hist'!J6</f>
        <v>41305</v>
      </c>
      <c r="J17" s="55" t="n">
        <f aca="false">0.25*'Revenue Model'!G47+0.75*'Revenue Model'!H47</f>
        <v>64206.73</v>
      </c>
      <c r="K17" s="55" t="n">
        <f aca="false">'Quarterly Hist'!G16+'Quarterly Hist'!H16+'Quarterly Hist'!I16+'Quarterly Hist'!J16</f>
        <v>6488</v>
      </c>
      <c r="L17" s="55" t="n">
        <f aca="false">'Quarterly Hist'!G19+'Quarterly Hist'!H19+'Quarterly Hist'!I19+'Quarterly Hist'!J19</f>
        <v>6434</v>
      </c>
      <c r="M17" s="69" t="n">
        <f aca="false">H17/I17</f>
        <v>23.6857513618206</v>
      </c>
      <c r="N17" s="69" t="n">
        <f aca="false">H17/J17</f>
        <v>15.2373428766735</v>
      </c>
      <c r="O17" s="69" t="n">
        <f aca="false">H17/K17</f>
        <v>150.792225647349</v>
      </c>
      <c r="P17" s="69" t="n">
        <f aca="false">E17/L17</f>
        <v>153.594180913895</v>
      </c>
      <c r="Q17" s="54" t="n">
        <f aca="false">J17/I17-1</f>
        <v>0.554454182302385</v>
      </c>
      <c r="R17" s="54" t="n">
        <f aca="false">K17/I17</f>
        <v>0.157075414598717</v>
      </c>
      <c r="S17" s="64" t="n">
        <v>2.515</v>
      </c>
      <c r="T17" s="65" t="n">
        <f aca="false">0.67*S17+0.33</f>
        <v>2.01505</v>
      </c>
      <c r="U17" s="54" t="n">
        <f aca="false">F17/E17</f>
        <v>0.00326443889860867</v>
      </c>
      <c r="W17" s="79" t="s">
        <v>456</v>
      </c>
    </row>
    <row r="18" customFormat="false" ht="15" hidden="false" customHeight="false" outlineLevel="0" collapsed="false">
      <c r="A18" s="48" t="s">
        <v>457</v>
      </c>
      <c r="N18" s="54" t="n">
        <f aca="false">N17/N12-1</f>
        <v>0.532364283827775</v>
      </c>
    </row>
    <row r="20" customFormat="false" ht="15" hidden="false" customHeight="false" outlineLevel="0" collapsed="false">
      <c r="A20" s="48" t="s">
        <v>458</v>
      </c>
    </row>
    <row r="21" customFormat="false" ht="23.85" hidden="false" customHeight="false" outlineLevel="0" collapsed="false">
      <c r="A21" s="61" t="s">
        <v>459</v>
      </c>
      <c r="B21" s="61"/>
      <c r="C21" s="61" t="s">
        <v>403</v>
      </c>
      <c r="D21" s="61" t="s">
        <v>460</v>
      </c>
      <c r="E21" s="61" t="s">
        <v>461</v>
      </c>
      <c r="F21" s="61" t="s">
        <v>462</v>
      </c>
      <c r="G21" s="61" t="s">
        <v>463</v>
      </c>
      <c r="H21" s="61" t="s">
        <v>464</v>
      </c>
      <c r="I21" s="61" t="s">
        <v>465</v>
      </c>
      <c r="J21" s="61" t="s">
        <v>405</v>
      </c>
    </row>
    <row r="22" customFormat="false" ht="15" hidden="false" customHeight="false" outlineLevel="0" collapsed="false">
      <c r="A22" s="48" t="s">
        <v>451</v>
      </c>
      <c r="C22" s="69" t="n">
        <f aca="false">N13</f>
        <v>7.53725991398959</v>
      </c>
      <c r="D22" s="62" t="n">
        <f aca="false">J17</f>
        <v>64206.73</v>
      </c>
      <c r="E22" s="62" t="n">
        <f aca="false">C22*D22</f>
        <v>483942.812237353</v>
      </c>
      <c r="F22" s="62" t="n">
        <f aca="false">G17-F17</f>
        <v>9885</v>
      </c>
      <c r="G22" s="62" t="n">
        <f aca="false">E22+F22</f>
        <v>493827.812237353</v>
      </c>
      <c r="H22" s="55" t="n">
        <f aca="false">'DCF Inputs'!C30</f>
        <v>1659</v>
      </c>
      <c r="I22" s="80" t="n">
        <f aca="false">G22/H22</f>
        <v>297.665950715704</v>
      </c>
      <c r="J22" s="54" t="n">
        <f aca="false">I22/D17-1</f>
        <v>-0.508420803732756</v>
      </c>
    </row>
    <row r="23" customFormat="false" ht="15" hidden="false" customHeight="false" outlineLevel="0" collapsed="false">
      <c r="A23" s="48" t="s">
        <v>450</v>
      </c>
      <c r="C23" s="69" t="n">
        <f aca="false">N12</f>
        <v>9.94368182388808</v>
      </c>
      <c r="D23" s="62" t="n">
        <f aca="false">J17</f>
        <v>64206.73</v>
      </c>
      <c r="E23" s="62" t="n">
        <f aca="false">C23*D23</f>
        <v>638451.29407229</v>
      </c>
      <c r="F23" s="62" t="n">
        <f aca="false">G17-F17</f>
        <v>9885</v>
      </c>
      <c r="G23" s="62" t="n">
        <f aca="false">E23+F23</f>
        <v>648336.29407229</v>
      </c>
      <c r="H23" s="55" t="n">
        <f aca="false">'DCF Inputs'!C30</f>
        <v>1659</v>
      </c>
      <c r="I23" s="67" t="n">
        <f aca="false">G23/H23</f>
        <v>390.799453931458</v>
      </c>
      <c r="J23" s="54" t="n">
        <f aca="false">I23/D17-1</f>
        <v>-0.354615867204831</v>
      </c>
    </row>
    <row r="24" customFormat="false" ht="15" hidden="false" customHeight="false" outlineLevel="0" collapsed="false">
      <c r="A24" s="48" t="s">
        <v>449</v>
      </c>
      <c r="C24" s="69" t="n">
        <f aca="false">N11</f>
        <v>11.8639735520886</v>
      </c>
      <c r="D24" s="62" t="n">
        <f aca="false">J17</f>
        <v>64206.73</v>
      </c>
      <c r="E24" s="62" t="n">
        <f aca="false">C24*D24</f>
        <v>761746.946586095</v>
      </c>
      <c r="F24" s="62" t="n">
        <f aca="false">G17-F17</f>
        <v>9885</v>
      </c>
      <c r="G24" s="62" t="n">
        <f aca="false">E24+F24</f>
        <v>771631.946586095</v>
      </c>
      <c r="H24" s="55" t="n">
        <f aca="false">'DCF Inputs'!C30</f>
        <v>1659</v>
      </c>
      <c r="I24" s="80" t="n">
        <f aca="false">G24/H24</f>
        <v>465.118714036224</v>
      </c>
      <c r="J24" s="54" t="n">
        <f aca="false">I24/D17-1</f>
        <v>-0.231881634210983</v>
      </c>
    </row>
    <row r="26" customFormat="false" ht="15" hidden="false" customHeight="false" outlineLevel="0" collapsed="false">
      <c r="A26" s="81" t="s">
        <v>466</v>
      </c>
    </row>
    <row r="27" customFormat="false" ht="15" hidden="false" customHeight="false" outlineLevel="0" collapsed="false">
      <c r="A27" s="81" t="s">
        <v>467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14"/>
    <col collapsed="false" customWidth="true" hidden="false" outlineLevel="0" max="7" min="7" style="0" width="46"/>
  </cols>
  <sheetData>
    <row r="1" customFormat="false" ht="17.35" hidden="false" customHeight="false" outlineLevel="0" collapsed="false">
      <c r="A1" s="46" t="s">
        <v>468</v>
      </c>
    </row>
    <row r="2" customFormat="false" ht="15" hidden="false" customHeight="false" outlineLevel="0" collapsed="false">
      <c r="A2" s="47" t="s">
        <v>469</v>
      </c>
    </row>
    <row r="4" customFormat="false" ht="15" hidden="false" customHeight="false" outlineLevel="0" collapsed="false">
      <c r="A4" s="61" t="s">
        <v>470</v>
      </c>
      <c r="B4" s="61" t="s">
        <v>471</v>
      </c>
      <c r="C4" s="61" t="s">
        <v>284</v>
      </c>
      <c r="D4" s="61" t="s">
        <v>472</v>
      </c>
      <c r="E4" s="61" t="s">
        <v>473</v>
      </c>
      <c r="F4" s="61" t="s">
        <v>474</v>
      </c>
      <c r="G4" s="61" t="s">
        <v>475</v>
      </c>
    </row>
    <row r="5" customFormat="false" ht="15" hidden="false" customHeight="false" outlineLevel="0" collapsed="false">
      <c r="A5" s="48" t="s">
        <v>476</v>
      </c>
      <c r="B5" s="58" t="n">
        <f aca="false">Sensitivity!D10</f>
        <v>156.136640169473</v>
      </c>
      <c r="C5" s="58" t="n">
        <f aca="false">DCF!C48</f>
        <v>175.907013327128</v>
      </c>
      <c r="D5" s="58" t="n">
        <f aca="false">Sensitivity!F8</f>
        <v>202.290133692695</v>
      </c>
      <c r="E5" s="50" t="n">
        <v>0.5</v>
      </c>
      <c r="F5" s="80" t="n">
        <f aca="false">C5*E5</f>
        <v>87.9535066635641</v>
      </c>
      <c r="G5" s="49" t="s">
        <v>477</v>
      </c>
    </row>
    <row r="6" customFormat="false" ht="15" hidden="false" customHeight="false" outlineLevel="0" collapsed="false">
      <c r="A6" s="48" t="s">
        <v>478</v>
      </c>
      <c r="B6" s="58" t="n">
        <f aca="false">Comps!I22</f>
        <v>297.665950715704</v>
      </c>
      <c r="C6" s="58" t="n">
        <f aca="false">Comps!I23</f>
        <v>390.799453931458</v>
      </c>
      <c r="D6" s="58" t="n">
        <f aca="false">Comps!I24</f>
        <v>465.118714036224</v>
      </c>
      <c r="E6" s="50" t="n">
        <v>0.5</v>
      </c>
      <c r="F6" s="80" t="n">
        <f aca="false">C6*E6</f>
        <v>195.399726965729</v>
      </c>
      <c r="G6" s="49" t="s">
        <v>479</v>
      </c>
    </row>
    <row r="7" customFormat="false" ht="15" hidden="false" customHeight="false" outlineLevel="0" collapsed="false">
      <c r="A7" s="48" t="s">
        <v>480</v>
      </c>
      <c r="B7" s="80" t="n">
        <f aca="false">B5*E5+B6*E6</f>
        <v>226.901295442589</v>
      </c>
      <c r="C7" s="80" t="n">
        <f aca="false">SUM(F5:F6)</f>
        <v>283.353233629293</v>
      </c>
      <c r="D7" s="80" t="n">
        <f aca="false">D5*E5+D6*E6</f>
        <v>333.704423864459</v>
      </c>
      <c r="E7" s="54" t="n">
        <f aca="false">SUM(E5:E6)</f>
        <v>1</v>
      </c>
    </row>
    <row r="9" customFormat="false" ht="15" hidden="false" customHeight="false" outlineLevel="0" collapsed="false">
      <c r="A9" s="48" t="s">
        <v>481</v>
      </c>
      <c r="C9" s="67" t="n">
        <f aca="false">ROUND(C7/5,0)*5</f>
        <v>285</v>
      </c>
    </row>
    <row r="10" customFormat="false" ht="15" hidden="false" customHeight="false" outlineLevel="0" collapsed="false">
      <c r="A10" s="49" t="s">
        <v>482</v>
      </c>
      <c r="C10" s="58" t="n">
        <f aca="false">DCF!$C$22</f>
        <v>605.53</v>
      </c>
    </row>
    <row r="11" customFormat="false" ht="15" hidden="false" customHeight="false" outlineLevel="0" collapsed="false">
      <c r="A11" s="48" t="s">
        <v>483</v>
      </c>
      <c r="C11" s="56" t="n">
        <f aca="false">C9/C10-1</f>
        <v>-0.52933793536241</v>
      </c>
    </row>
    <row r="12" customFormat="false" ht="15" hidden="false" customHeight="false" outlineLevel="0" collapsed="false">
      <c r="A12" s="48" t="s">
        <v>484</v>
      </c>
      <c r="C12" s="82" t="str">
        <f aca="false">IF(C11&gt;0.15,"BUY",IF(C11&lt;-0.1,"SELL","HOLD"))</f>
        <v>SELL</v>
      </c>
    </row>
    <row r="13" customFormat="false" ht="15" hidden="false" customHeight="false" outlineLevel="0" collapsed="false">
      <c r="A13" s="49" t="s">
        <v>485</v>
      </c>
      <c r="C13" s="68" t="n">
        <f aca="false">(C9*DCF!$C$21-DCF!$C$20)/Comps!J17</f>
        <v>7.20999184976404</v>
      </c>
    </row>
    <row r="14" customFormat="false" ht="15" hidden="false" customHeight="false" outlineLevel="0" collapsed="false">
      <c r="A14" s="49" t="s">
        <v>486</v>
      </c>
      <c r="C14" s="68" t="n">
        <f aca="false">C9/'Income Statement'!H65</f>
        <v>33.4037849790621</v>
      </c>
    </row>
    <row r="15" customFormat="false" ht="15" hidden="false" customHeight="false" outlineLevel="0" collapsed="false">
      <c r="A15" s="49" t="s">
        <v>487</v>
      </c>
      <c r="C15" s="68" t="n">
        <f aca="false">C9/'Income Statement'!H67</f>
        <v>25.950797508413</v>
      </c>
    </row>
    <row r="16" customFormat="false" ht="15" hidden="false" customHeight="false" outlineLevel="0" collapsed="false">
      <c r="A16" s="49" t="s">
        <v>488</v>
      </c>
      <c r="C16" s="68" t="n">
        <f aca="false">C10/'Income Statement'!H67</f>
        <v>55.1367944395415</v>
      </c>
    </row>
    <row r="18" customFormat="false" ht="15" hidden="false" customHeight="false" outlineLevel="0" collapsed="false">
      <c r="A18" s="48" t="s">
        <v>489</v>
      </c>
    </row>
    <row r="19" customFormat="false" ht="23.85" hidden="false" customHeight="false" outlineLevel="0" collapsed="false">
      <c r="A19" s="61" t="s">
        <v>490</v>
      </c>
      <c r="B19" s="61" t="s">
        <v>491</v>
      </c>
      <c r="C19" s="61" t="s">
        <v>288</v>
      </c>
      <c r="D19" s="61" t="s">
        <v>492</v>
      </c>
      <c r="E19" s="61" t="s">
        <v>493</v>
      </c>
      <c r="F19" s="61" t="s">
        <v>405</v>
      </c>
      <c r="G19" s="61" t="s">
        <v>494</v>
      </c>
    </row>
    <row r="20" customFormat="false" ht="15" hidden="false" customHeight="false" outlineLevel="0" collapsed="false">
      <c r="A20" s="48" t="s">
        <v>285</v>
      </c>
      <c r="B20" s="50" t="n">
        <v>0.25</v>
      </c>
      <c r="C20" s="55" t="n">
        <f aca="false">DCF!G118</f>
        <v>65405.9</v>
      </c>
      <c r="D20" s="55" t="n">
        <f aca="false">DCF!G120</f>
        <v>11779.9</v>
      </c>
      <c r="E20" s="58" t="n">
        <f aca="false">DCF!C138</f>
        <v>70.9331903129631</v>
      </c>
      <c r="F20" s="54" t="n">
        <f aca="false">E20/$C$10-1</f>
        <v>-0.882857677880595</v>
      </c>
      <c r="G20" s="80" t="n">
        <f aca="false">B20*E20</f>
        <v>17.7332975782408</v>
      </c>
    </row>
    <row r="21" customFormat="false" ht="15" hidden="false" customHeight="false" outlineLevel="0" collapsed="false">
      <c r="A21" s="48" t="s">
        <v>284</v>
      </c>
      <c r="B21" s="50" t="n">
        <v>0.5</v>
      </c>
      <c r="C21" s="55" t="n">
        <f aca="false">DCF!G88</f>
        <v>114511.3</v>
      </c>
      <c r="D21" s="55" t="n">
        <f aca="false">DCF!G90</f>
        <v>29285.1</v>
      </c>
      <c r="E21" s="58" t="n">
        <f aca="false">DCF!C108</f>
        <v>175.906939490441</v>
      </c>
      <c r="F21" s="54" t="n">
        <f aca="false">E21/$C$10-1</f>
        <v>-0.709499216404735</v>
      </c>
      <c r="G21" s="80" t="n">
        <f aca="false">B21*E21</f>
        <v>87.9534697452205</v>
      </c>
    </row>
    <row r="22" customFormat="false" ht="15" hidden="false" customHeight="false" outlineLevel="0" collapsed="false">
      <c r="A22" s="48" t="s">
        <v>283</v>
      </c>
      <c r="B22" s="50" t="n">
        <v>0.25</v>
      </c>
      <c r="C22" s="55" t="n">
        <f aca="false">DCF!G58</f>
        <v>157285.6</v>
      </c>
      <c r="D22" s="55" t="n">
        <f aca="false">DCF!G60</f>
        <v>44813.3</v>
      </c>
      <c r="E22" s="58" t="n">
        <f aca="false">DCF!C78</f>
        <v>280.021904286298</v>
      </c>
      <c r="F22" s="54" t="n">
        <f aca="false">E22/$C$10-1</f>
        <v>-0.537558990824074</v>
      </c>
      <c r="G22" s="80" t="n">
        <f aca="false">B22*E22</f>
        <v>70.0054760715746</v>
      </c>
    </row>
    <row r="23" customFormat="false" ht="15" hidden="false" customHeight="false" outlineLevel="0" collapsed="false">
      <c r="A23" s="48" t="s">
        <v>495</v>
      </c>
      <c r="G23" s="80" t="n">
        <f aca="false">SUM(G20:G22)</f>
        <v>175.692243395036</v>
      </c>
    </row>
    <row r="25" customFormat="false" ht="15" hidden="false" customHeight="false" outlineLevel="0" collapsed="false">
      <c r="A25" s="48" t="s">
        <v>496</v>
      </c>
    </row>
    <row r="26" customFormat="false" ht="15" hidden="false" customHeight="false" outlineLevel="0" collapsed="false">
      <c r="A26" s="61" t="s">
        <v>497</v>
      </c>
      <c r="B26" s="61" t="s">
        <v>471</v>
      </c>
      <c r="C26" s="61" t="s">
        <v>472</v>
      </c>
      <c r="D26" s="61" t="s">
        <v>498</v>
      </c>
    </row>
    <row r="27" customFormat="false" ht="15" hidden="false" customHeight="false" outlineLevel="0" collapsed="false">
      <c r="A27" s="49" t="s">
        <v>499</v>
      </c>
      <c r="B27" s="80" t="n">
        <f aca="false">B5</f>
        <v>156.136640169473</v>
      </c>
      <c r="C27" s="80" t="n">
        <f aca="false">D5</f>
        <v>202.290133692695</v>
      </c>
      <c r="D27" s="80" t="n">
        <f aca="false">(B27+C27)/2</f>
        <v>179.213386931084</v>
      </c>
    </row>
    <row r="28" customFormat="false" ht="15" hidden="false" customHeight="false" outlineLevel="0" collapsed="false">
      <c r="A28" s="49" t="s">
        <v>500</v>
      </c>
      <c r="B28" s="58" t="n">
        <f aca="false">MIN(Sensitivity!C6:G12)</f>
        <v>130.119776310459</v>
      </c>
      <c r="C28" s="58" t="n">
        <f aca="false">MAX(Sensitivity!C6:G12)</f>
        <v>279.63290842334</v>
      </c>
      <c r="D28" s="80" t="n">
        <f aca="false">(B28+C28)/2</f>
        <v>204.876342366899</v>
      </c>
    </row>
    <row r="29" customFormat="false" ht="15" hidden="false" customHeight="false" outlineLevel="0" collapsed="false">
      <c r="A29" s="49" t="s">
        <v>501</v>
      </c>
      <c r="B29" s="80" t="n">
        <f aca="false">E20</f>
        <v>70.9331903129631</v>
      </c>
      <c r="C29" s="80" t="n">
        <f aca="false">E22</f>
        <v>280.021904286298</v>
      </c>
      <c r="D29" s="80" t="n">
        <f aca="false">(B29+C29)/2</f>
        <v>175.477547299631</v>
      </c>
    </row>
    <row r="30" customFormat="false" ht="15" hidden="false" customHeight="false" outlineLevel="0" collapsed="false">
      <c r="A30" s="49" t="s">
        <v>502</v>
      </c>
      <c r="B30" s="80" t="n">
        <f aca="false">B6</f>
        <v>297.665950715704</v>
      </c>
      <c r="C30" s="80" t="n">
        <f aca="false">D6</f>
        <v>465.118714036224</v>
      </c>
      <c r="D30" s="80" t="n">
        <f aca="false">(B30+C30)/2</f>
        <v>381.392332375964</v>
      </c>
    </row>
    <row r="31" customFormat="false" ht="15" hidden="false" customHeight="false" outlineLevel="0" collapsed="false">
      <c r="A31" s="49" t="s">
        <v>503</v>
      </c>
      <c r="B31" s="77" t="n">
        <v>188.22</v>
      </c>
      <c r="C31" s="77" t="n">
        <v>658.52</v>
      </c>
      <c r="D31" s="80" t="n">
        <f aca="false">(B31+C31)/2</f>
        <v>423.37</v>
      </c>
    </row>
    <row r="32" customFormat="false" ht="15" hidden="false" customHeight="false" outlineLevel="0" collapsed="false">
      <c r="A32" s="49" t="s">
        <v>504</v>
      </c>
      <c r="B32" s="80" t="n">
        <f aca="false">C9</f>
        <v>285</v>
      </c>
      <c r="C32" s="80" t="n">
        <f aca="false">C9</f>
        <v>285</v>
      </c>
      <c r="D32" s="80" t="n">
        <f aca="false">(B32+C32)/2</f>
        <v>285</v>
      </c>
    </row>
    <row r="33" customFormat="false" ht="15" hidden="false" customHeight="false" outlineLevel="0" collapsed="false">
      <c r="A33" s="49" t="s">
        <v>505</v>
      </c>
      <c r="B33" s="80" t="n">
        <f aca="false">C10</f>
        <v>605.53</v>
      </c>
      <c r="C33" s="80" t="n">
        <f aca="false">C10</f>
        <v>605.53</v>
      </c>
      <c r="D33" s="80" t="n">
        <f aca="false">(B33+C33)/2</f>
        <v>605.53</v>
      </c>
    </row>
    <row r="35" customFormat="false" ht="15" hidden="false" customHeight="false" outlineLevel="0" collapsed="false">
      <c r="A35" s="47" t="s">
        <v>506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4"/>
    <col collapsed="false" customWidth="true" hidden="false" outlineLevel="0" max="10" min="3" style="1" width="11"/>
  </cols>
  <sheetData>
    <row r="1" customFormat="false" ht="17.25" hidden="false" customHeight="true" outlineLevel="0" collapsed="false">
      <c r="A1" s="2" t="s">
        <v>507</v>
      </c>
    </row>
    <row r="2" customFormat="false" ht="15" hidden="false" customHeight="true" outlineLevel="0" collapsed="false">
      <c r="A2" s="5" t="s">
        <v>508</v>
      </c>
    </row>
    <row r="4" customFormat="false" ht="15" hidden="false" customHeight="true" outlineLevel="0" collapsed="false">
      <c r="A4" s="6" t="s">
        <v>93</v>
      </c>
      <c r="B4" s="6"/>
      <c r="C4" s="7" t="s">
        <v>509</v>
      </c>
      <c r="D4" s="7" t="s">
        <v>510</v>
      </c>
      <c r="E4" s="7" t="s">
        <v>511</v>
      </c>
      <c r="F4" s="7" t="s">
        <v>512</v>
      </c>
      <c r="G4" s="7" t="s">
        <v>513</v>
      </c>
      <c r="H4" s="7" t="s">
        <v>514</v>
      </c>
      <c r="I4" s="7" t="s">
        <v>515</v>
      </c>
      <c r="J4" s="7" t="s">
        <v>516</v>
      </c>
    </row>
    <row r="5" customFormat="false" ht="15" hidden="false" customHeight="true" outlineLevel="0" collapsed="false">
      <c r="A5" s="3" t="s">
        <v>517</v>
      </c>
      <c r="C5" s="83" t="s">
        <v>518</v>
      </c>
      <c r="D5" s="83" t="s">
        <v>519</v>
      </c>
      <c r="E5" s="83" t="s">
        <v>520</v>
      </c>
      <c r="F5" s="83" t="s">
        <v>521</v>
      </c>
      <c r="G5" s="84" t="s">
        <v>522</v>
      </c>
      <c r="H5" s="84" t="s">
        <v>523</v>
      </c>
      <c r="I5" s="84" t="s">
        <v>524</v>
      </c>
      <c r="J5" s="84" t="s">
        <v>441</v>
      </c>
    </row>
    <row r="6" customFormat="false" ht="15" hidden="false" customHeight="true" outlineLevel="0" collapsed="false">
      <c r="A6" s="4" t="s">
        <v>94</v>
      </c>
      <c r="C6" s="85" t="n">
        <v>6819</v>
      </c>
      <c r="D6" s="85" t="n">
        <v>7658</v>
      </c>
      <c r="E6" s="85" t="n">
        <v>7438</v>
      </c>
      <c r="F6" s="85" t="n">
        <v>7685</v>
      </c>
      <c r="G6" s="85" t="n">
        <v>9246</v>
      </c>
      <c r="H6" s="85" t="n">
        <v>10270</v>
      </c>
      <c r="I6" s="85" t="n">
        <v>10253</v>
      </c>
      <c r="J6" s="85" t="n">
        <v>11536</v>
      </c>
    </row>
    <row r="7" customFormat="false" ht="15" hidden="false" customHeight="true" outlineLevel="0" collapsed="false">
      <c r="A7" s="3" t="s">
        <v>95</v>
      </c>
      <c r="C7" s="11" t="n">
        <v>3549</v>
      </c>
      <c r="D7" s="11" t="n">
        <v>3859</v>
      </c>
      <c r="E7" s="11" t="n">
        <v>3674</v>
      </c>
      <c r="F7" s="11" t="n">
        <v>3240</v>
      </c>
      <c r="G7" s="25" t="n">
        <v>4341</v>
      </c>
      <c r="H7" s="25" t="n">
        <v>5380</v>
      </c>
      <c r="I7" s="25" t="n">
        <v>5775</v>
      </c>
      <c r="J7" s="25" t="n">
        <v>6718</v>
      </c>
    </row>
    <row r="8" customFormat="false" ht="15" hidden="false" customHeight="true" outlineLevel="0" collapsed="false">
      <c r="A8" s="3" t="s">
        <v>96</v>
      </c>
      <c r="C8" s="11" t="n">
        <v>1881</v>
      </c>
      <c r="D8" s="11" t="n">
        <v>2313</v>
      </c>
      <c r="E8" s="11" t="n">
        <v>2294</v>
      </c>
      <c r="F8" s="11" t="n">
        <v>2499</v>
      </c>
      <c r="G8" s="25" t="n">
        <v>2750</v>
      </c>
      <c r="H8" s="25" t="n">
        <v>3097</v>
      </c>
      <c r="I8" s="25" t="n">
        <v>2885</v>
      </c>
      <c r="J8" s="25" t="n">
        <v>3062</v>
      </c>
    </row>
    <row r="9" customFormat="false" ht="15" hidden="false" customHeight="true" outlineLevel="0" collapsed="false">
      <c r="A9" s="3" t="s">
        <v>97</v>
      </c>
      <c r="C9" s="11" t="n">
        <v>462</v>
      </c>
      <c r="D9" s="11" t="n">
        <v>563</v>
      </c>
      <c r="E9" s="11" t="n">
        <v>647</v>
      </c>
      <c r="F9" s="11" t="n">
        <v>1122</v>
      </c>
      <c r="G9" s="25" t="n">
        <v>1298</v>
      </c>
      <c r="H9" s="25" t="n">
        <v>843</v>
      </c>
      <c r="I9" s="25" t="n">
        <v>720</v>
      </c>
      <c r="J9" s="25" t="n">
        <v>779</v>
      </c>
    </row>
    <row r="10" customFormat="false" ht="15" hidden="false" customHeight="true" outlineLevel="0" collapsed="false">
      <c r="A10" s="3" t="s">
        <v>98</v>
      </c>
      <c r="C10" s="11" t="n">
        <v>927</v>
      </c>
      <c r="D10" s="11" t="n">
        <v>923</v>
      </c>
      <c r="E10" s="11" t="n">
        <v>823</v>
      </c>
      <c r="F10" s="11" t="n">
        <v>824</v>
      </c>
      <c r="G10" s="25" t="n">
        <v>857</v>
      </c>
      <c r="H10" s="25" t="n">
        <v>950</v>
      </c>
      <c r="I10" s="25" t="n">
        <v>873</v>
      </c>
      <c r="J10" s="25" t="n">
        <v>977</v>
      </c>
    </row>
    <row r="11" customFormat="false" ht="15" hidden="false" customHeight="true" outlineLevel="0" collapsed="false">
      <c r="A11" s="3" t="s">
        <v>525</v>
      </c>
      <c r="C11" s="11" t="n">
        <v>3400</v>
      </c>
      <c r="D11" s="11" t="n">
        <v>3776</v>
      </c>
      <c r="E11" s="11" t="n">
        <v>3702</v>
      </c>
      <c r="F11" s="11" t="n">
        <v>4626</v>
      </c>
      <c r="G11" s="25" t="n">
        <v>4466</v>
      </c>
      <c r="H11" s="25" t="n">
        <v>4693</v>
      </c>
      <c r="I11" s="25" t="n">
        <v>4837</v>
      </c>
      <c r="J11" s="25" t="n">
        <v>5333</v>
      </c>
    </row>
    <row r="12" customFormat="false" ht="15" hidden="false" customHeight="true" outlineLevel="0" collapsed="false">
      <c r="A12" s="4" t="s">
        <v>105</v>
      </c>
      <c r="C12" s="17" t="n">
        <f aca="false">C6-C11</f>
        <v>3419</v>
      </c>
      <c r="D12" s="17" t="n">
        <f aca="false">D6-D11</f>
        <v>3882</v>
      </c>
      <c r="E12" s="17" t="n">
        <f aca="false">E6-E11</f>
        <v>3736</v>
      </c>
      <c r="F12" s="17" t="n">
        <f aca="false">F6-F11</f>
        <v>3059</v>
      </c>
      <c r="G12" s="17" t="n">
        <f aca="false">G6-G11</f>
        <v>4780</v>
      </c>
      <c r="H12" s="17" t="n">
        <f aca="false">H6-H11</f>
        <v>5577</v>
      </c>
      <c r="I12" s="17" t="n">
        <f aca="false">I6-I11</f>
        <v>5416</v>
      </c>
      <c r="J12" s="17" t="n">
        <f aca="false">J6-J11</f>
        <v>6203</v>
      </c>
    </row>
    <row r="13" customFormat="false" ht="15" hidden="false" customHeight="true" outlineLevel="0" collapsed="false">
      <c r="A13" s="3" t="s">
        <v>526</v>
      </c>
      <c r="C13" s="11" t="n">
        <v>1636</v>
      </c>
      <c r="D13" s="11" t="n">
        <v>1712</v>
      </c>
      <c r="E13" s="11" t="n">
        <v>1728</v>
      </c>
      <c r="F13" s="11" t="n">
        <v>1894</v>
      </c>
      <c r="G13" s="25" t="n">
        <v>2139</v>
      </c>
      <c r="H13" s="25" t="n">
        <v>2330</v>
      </c>
      <c r="I13" s="25" t="n">
        <v>2397</v>
      </c>
      <c r="J13" s="25" t="n">
        <v>2528</v>
      </c>
    </row>
    <row r="14" customFormat="false" ht="15" hidden="false" customHeight="true" outlineLevel="0" collapsed="false">
      <c r="A14" s="3" t="s">
        <v>527</v>
      </c>
      <c r="C14" s="11" t="n">
        <v>707</v>
      </c>
      <c r="D14" s="11" t="n">
        <v>781</v>
      </c>
      <c r="E14" s="11" t="n">
        <v>886</v>
      </c>
      <c r="F14" s="11" t="n">
        <v>991</v>
      </c>
      <c r="G14" s="25" t="n">
        <v>1069</v>
      </c>
      <c r="H14" s="25" t="n">
        <v>1198</v>
      </c>
      <c r="I14" s="25" t="n">
        <v>1253</v>
      </c>
      <c r="J14" s="25" t="n">
        <v>1401</v>
      </c>
    </row>
    <row r="15" customFormat="false" ht="15" hidden="false" customHeight="true" outlineLevel="0" collapsed="false">
      <c r="A15" s="3" t="s">
        <v>528</v>
      </c>
      <c r="C15" s="11" t="n">
        <v>2695</v>
      </c>
      <c r="D15" s="11" t="n">
        <v>3011</v>
      </c>
      <c r="E15" s="11" t="n">
        <v>2930</v>
      </c>
      <c r="F15" s="11" t="n">
        <v>3193</v>
      </c>
      <c r="G15" s="25" t="n">
        <v>3510</v>
      </c>
      <c r="H15" s="25" t="n">
        <v>3825</v>
      </c>
      <c r="I15" s="25" t="n">
        <v>3940</v>
      </c>
      <c r="J15" s="25" t="n">
        <v>4213</v>
      </c>
    </row>
    <row r="16" customFormat="false" ht="15" hidden="false" customHeight="true" outlineLevel="0" collapsed="false">
      <c r="A16" s="4" t="s">
        <v>529</v>
      </c>
      <c r="C16" s="85" t="n">
        <v>724</v>
      </c>
      <c r="D16" s="85" t="n">
        <v>871</v>
      </c>
      <c r="E16" s="85" t="n">
        <v>806</v>
      </c>
      <c r="F16" s="85" t="n">
        <v>-134</v>
      </c>
      <c r="G16" s="85" t="n">
        <v>1270</v>
      </c>
      <c r="H16" s="85" t="n">
        <v>1752</v>
      </c>
      <c r="I16" s="85" t="n">
        <v>1476</v>
      </c>
      <c r="J16" s="85" t="n">
        <v>1990</v>
      </c>
    </row>
    <row r="17" customFormat="false" ht="15" hidden="false" customHeight="true" outlineLevel="0" collapsed="false">
      <c r="A17" s="3" t="s">
        <v>530</v>
      </c>
      <c r="C17" s="11" t="n">
        <v>737</v>
      </c>
      <c r="D17" s="11" t="n">
        <v>889</v>
      </c>
      <c r="E17" s="11" t="n">
        <v>825</v>
      </c>
      <c r="F17" s="11" t="n">
        <v>-74</v>
      </c>
      <c r="G17" s="25" t="n">
        <v>1315</v>
      </c>
      <c r="H17" s="25" t="n">
        <v>2074</v>
      </c>
      <c r="I17" s="25" t="n">
        <v>1604</v>
      </c>
      <c r="J17" s="25" t="n">
        <v>2551</v>
      </c>
    </row>
    <row r="18" customFormat="false" ht="15" hidden="false" customHeight="true" outlineLevel="0" collapsed="false">
      <c r="A18" s="3" t="s">
        <v>531</v>
      </c>
      <c r="C18" s="11" t="n">
        <v>-27</v>
      </c>
      <c r="D18" s="11" t="n">
        <v>419</v>
      </c>
      <c r="E18" s="11" t="n">
        <v>123</v>
      </c>
      <c r="F18" s="11" t="n">
        <v>-834</v>
      </c>
      <c r="G18" s="25" t="n">
        <v>153</v>
      </c>
      <c r="H18" s="25" t="n">
        <v>455</v>
      </c>
      <c r="I18" s="25" t="n">
        <v>238</v>
      </c>
      <c r="J18" s="25" t="n">
        <v>252</v>
      </c>
    </row>
    <row r="19" customFormat="false" ht="15" hidden="false" customHeight="true" outlineLevel="0" collapsed="false">
      <c r="A19" s="4" t="s">
        <v>532</v>
      </c>
      <c r="C19" s="85" t="n">
        <v>771</v>
      </c>
      <c r="D19" s="85" t="n">
        <v>482</v>
      </c>
      <c r="E19" s="85" t="n">
        <v>709</v>
      </c>
      <c r="F19" s="85" t="n">
        <v>872</v>
      </c>
      <c r="G19" s="85" t="n">
        <v>1243</v>
      </c>
      <c r="H19" s="85" t="n">
        <v>1511</v>
      </c>
      <c r="I19" s="85" t="n">
        <v>1383</v>
      </c>
      <c r="J19" s="85" t="n">
        <v>2297</v>
      </c>
    </row>
    <row r="20" customFormat="false" ht="15" hidden="false" customHeight="true" outlineLevel="0" collapsed="false">
      <c r="A20" s="3" t="s">
        <v>533</v>
      </c>
      <c r="C20" s="86" t="n">
        <v>0.47</v>
      </c>
      <c r="E20" s="86" t="n">
        <v>0.44</v>
      </c>
      <c r="F20" s="86" t="n">
        <v>0.54</v>
      </c>
      <c r="G20" s="87" t="n">
        <v>0.75</v>
      </c>
      <c r="H20" s="87" t="n">
        <v>0.92</v>
      </c>
      <c r="I20" s="87" t="n">
        <v>0.84</v>
      </c>
      <c r="J20" s="87" t="n">
        <v>1.38</v>
      </c>
    </row>
    <row r="21" customFormat="false" ht="15" hidden="false" customHeight="true" outlineLevel="0" collapsed="false">
      <c r="A21" s="3" t="s">
        <v>534</v>
      </c>
      <c r="C21" s="11" t="n">
        <v>1636</v>
      </c>
      <c r="E21" s="11" t="n">
        <v>1626</v>
      </c>
      <c r="F21" s="11" t="n">
        <v>1630</v>
      </c>
      <c r="G21" s="25" t="n">
        <v>1641</v>
      </c>
      <c r="I21" s="25" t="n">
        <v>1650</v>
      </c>
      <c r="J21" s="25" t="n">
        <v>1659</v>
      </c>
    </row>
    <row r="22" customFormat="false" ht="15" hidden="false" customHeight="true" outlineLevel="0" collapsed="false">
      <c r="A22" s="3" t="s">
        <v>535</v>
      </c>
      <c r="C22" s="11" t="n">
        <v>628</v>
      </c>
      <c r="D22" s="11" t="n">
        <v>1299</v>
      </c>
      <c r="E22" s="11" t="n">
        <v>939</v>
      </c>
      <c r="F22" s="11" t="n">
        <v>2011</v>
      </c>
      <c r="G22" s="25" t="n">
        <v>2159</v>
      </c>
      <c r="H22" s="25" t="n">
        <v>2600</v>
      </c>
      <c r="I22" s="25" t="n">
        <v>2955</v>
      </c>
      <c r="J22" s="25" t="n">
        <v>2366</v>
      </c>
    </row>
    <row r="23" customFormat="false" ht="15" hidden="false" customHeight="true" outlineLevel="0" collapsed="false">
      <c r="A23" s="3" t="s">
        <v>536</v>
      </c>
      <c r="C23" s="11" t="n">
        <v>132</v>
      </c>
      <c r="D23" s="11" t="n">
        <v>208</v>
      </c>
      <c r="E23" s="11" t="n">
        <v>212</v>
      </c>
      <c r="F23" s="11" t="n">
        <v>282</v>
      </c>
      <c r="G23" s="25" t="n">
        <v>258</v>
      </c>
      <c r="H23" s="25" t="n">
        <v>222</v>
      </c>
      <c r="I23" s="25" t="n">
        <v>389</v>
      </c>
      <c r="J23" s="25" t="n">
        <v>808</v>
      </c>
    </row>
    <row r="24" customFormat="false" ht="15" hidden="false" customHeight="true" outlineLevel="0" collapsed="false">
      <c r="A24" s="4" t="s">
        <v>537</v>
      </c>
      <c r="C24" s="17" t="n">
        <f aca="false">C22-C23</f>
        <v>496</v>
      </c>
      <c r="D24" s="17" t="n">
        <f aca="false">D22-D23</f>
        <v>1091</v>
      </c>
      <c r="E24" s="17" t="n">
        <f aca="false">E22-E23</f>
        <v>727</v>
      </c>
      <c r="F24" s="17" t="n">
        <f aca="false">F22-F23</f>
        <v>1729</v>
      </c>
      <c r="G24" s="17" t="n">
        <f aca="false">G22-G23</f>
        <v>1901</v>
      </c>
      <c r="H24" s="17" t="n">
        <f aca="false">H22-H23</f>
        <v>2378</v>
      </c>
      <c r="I24" s="17" t="n">
        <f aca="false">I22-I23</f>
        <v>2566</v>
      </c>
      <c r="J24" s="17" t="n">
        <f aca="false">J22-J23</f>
        <v>1558</v>
      </c>
    </row>
    <row r="25" customFormat="false" ht="15" hidden="false" customHeight="true" outlineLevel="0" collapsed="false">
      <c r="A25" s="3" t="s">
        <v>538</v>
      </c>
      <c r="C25" s="11" t="n">
        <v>351</v>
      </c>
      <c r="D25" s="11" t="n">
        <v>339</v>
      </c>
      <c r="E25" s="11" t="n">
        <v>364</v>
      </c>
      <c r="F25" s="11" t="n">
        <v>369</v>
      </c>
      <c r="G25" s="25" t="n">
        <v>419</v>
      </c>
      <c r="H25" s="25" t="n">
        <v>486</v>
      </c>
      <c r="I25" s="25" t="n">
        <v>487</v>
      </c>
      <c r="J25" s="25" t="n">
        <v>503</v>
      </c>
    </row>
    <row r="26" customFormat="false" ht="15" hidden="false" customHeight="true" outlineLevel="0" collapsed="false">
      <c r="A26" s="3" t="s">
        <v>539</v>
      </c>
      <c r="C26" s="11" t="n">
        <v>250</v>
      </c>
      <c r="D26" s="11" t="n">
        <v>256</v>
      </c>
      <c r="E26" s="11" t="n">
        <v>749</v>
      </c>
      <c r="F26" s="11" t="n">
        <v>478</v>
      </c>
      <c r="G26" s="25" t="n">
        <v>89</v>
      </c>
      <c r="H26" s="25" t="n">
        <v>0</v>
      </c>
      <c r="I26" s="25" t="n">
        <v>221</v>
      </c>
      <c r="J26" s="25" t="n">
        <v>0</v>
      </c>
    </row>
    <row r="27" customFormat="false" ht="15" hidden="false" customHeight="true" outlineLevel="0" collapsed="false">
      <c r="A27" s="3" t="s">
        <v>540</v>
      </c>
      <c r="C27" s="11" t="n">
        <v>3897</v>
      </c>
      <c r="D27" s="11" t="n">
        <v>3787</v>
      </c>
      <c r="E27" s="11" t="n">
        <v>6049</v>
      </c>
      <c r="F27" s="11" t="n">
        <v>4442</v>
      </c>
      <c r="G27" s="25" t="n">
        <v>4808</v>
      </c>
      <c r="H27" s="25" t="n">
        <v>5539</v>
      </c>
      <c r="I27" s="25" t="n">
        <v>5585</v>
      </c>
      <c r="J27" s="25" t="n">
        <v>5086</v>
      </c>
    </row>
    <row r="28" customFormat="false" ht="15" hidden="false" customHeight="true" outlineLevel="0" collapsed="false">
      <c r="A28" s="3" t="s">
        <v>541</v>
      </c>
      <c r="C28" s="11" t="n">
        <v>647</v>
      </c>
      <c r="D28" s="11" t="n">
        <v>1345</v>
      </c>
      <c r="E28" s="11" t="n">
        <v>1261</v>
      </c>
      <c r="F28" s="11" t="n">
        <v>1425</v>
      </c>
      <c r="G28" s="25" t="n">
        <v>2435</v>
      </c>
      <c r="H28" s="25" t="n">
        <v>5013</v>
      </c>
      <c r="I28" s="25" t="n">
        <v>6762</v>
      </c>
      <c r="J28" s="25" t="n">
        <v>8025</v>
      </c>
    </row>
    <row r="29" customFormat="false" ht="15" hidden="false" customHeight="true" outlineLevel="0" collapsed="false">
      <c r="A29" s="3" t="s">
        <v>542</v>
      </c>
      <c r="C29" s="11" t="n">
        <v>5374</v>
      </c>
      <c r="D29" s="11" t="n">
        <v>5734</v>
      </c>
      <c r="E29" s="11" t="n">
        <v>6416</v>
      </c>
      <c r="F29" s="11" t="n">
        <v>6677</v>
      </c>
      <c r="G29" s="25" t="n">
        <v>7313</v>
      </c>
      <c r="H29" s="25" t="n">
        <v>7920</v>
      </c>
      <c r="I29" s="25" t="n">
        <v>8045</v>
      </c>
      <c r="J29" s="25" t="n">
        <v>8468</v>
      </c>
    </row>
    <row r="30" customFormat="false" ht="15" hidden="false" customHeight="true" outlineLevel="0" collapsed="false">
      <c r="A30" s="3" t="s">
        <v>543</v>
      </c>
      <c r="C30" s="11" t="n">
        <v>69636</v>
      </c>
      <c r="D30" s="11" t="n">
        <v>69226</v>
      </c>
      <c r="E30" s="11" t="n">
        <v>71550</v>
      </c>
      <c r="F30" s="11" t="n">
        <v>74820</v>
      </c>
      <c r="G30" s="25" t="n">
        <v>76891</v>
      </c>
      <c r="H30" s="25" t="n">
        <v>76926</v>
      </c>
      <c r="I30" s="25" t="n">
        <v>79642</v>
      </c>
      <c r="J30" s="25" t="n">
        <v>84464</v>
      </c>
    </row>
    <row r="31" customFormat="false" ht="15" hidden="false" customHeight="true" outlineLevel="0" collapsed="false">
      <c r="A31" s="3" t="s">
        <v>544</v>
      </c>
      <c r="C31" s="11" t="n">
        <v>1720</v>
      </c>
      <c r="D31" s="11" t="n">
        <v>1721</v>
      </c>
      <c r="E31" s="11" t="n">
        <v>3217</v>
      </c>
      <c r="F31" s="11" t="n">
        <v>3218</v>
      </c>
      <c r="G31" s="25" t="n">
        <v>3220</v>
      </c>
      <c r="H31" s="25" t="n">
        <v>3222</v>
      </c>
      <c r="I31" s="25" t="n">
        <v>3224</v>
      </c>
      <c r="J31" s="25" t="n">
        <v>3226</v>
      </c>
    </row>
    <row r="32" customFormat="false" ht="15" hidden="false" customHeight="true" outlineLevel="0" collapsed="false">
      <c r="A32" s="3" t="s">
        <v>545</v>
      </c>
      <c r="C32" s="11" t="n">
        <v>56985</v>
      </c>
      <c r="D32" s="11" t="n">
        <v>57568</v>
      </c>
      <c r="E32" s="11" t="n">
        <v>57881</v>
      </c>
      <c r="F32" s="11" t="n">
        <v>59665</v>
      </c>
      <c r="G32" s="25" t="n">
        <v>60790</v>
      </c>
      <c r="H32" s="25" t="n">
        <v>62999</v>
      </c>
      <c r="I32" s="25" t="n">
        <v>64462</v>
      </c>
      <c r="J32" s="25" t="n">
        <v>67224</v>
      </c>
    </row>
    <row r="34" customFormat="false" ht="15" hidden="false" customHeight="true" outlineLevel="0" collapsed="false">
      <c r="A34" s="8" t="s">
        <v>546</v>
      </c>
      <c r="B34" s="9"/>
      <c r="C34" s="9"/>
      <c r="D34" s="9"/>
      <c r="E34" s="9"/>
      <c r="F34" s="9"/>
      <c r="G34" s="9"/>
      <c r="H34" s="9"/>
      <c r="I34" s="9"/>
      <c r="J34" s="9"/>
    </row>
    <row r="35" customFormat="false" ht="15" hidden="false" customHeight="true" outlineLevel="0" collapsed="false">
      <c r="A35" s="3" t="s">
        <v>547</v>
      </c>
      <c r="C35" s="13" t="n">
        <f aca="false">C12/C6</f>
        <v>0.501393166153395</v>
      </c>
      <c r="D35" s="13" t="n">
        <f aca="false">D12/D6</f>
        <v>0.506920867067119</v>
      </c>
      <c r="E35" s="13" t="n">
        <f aca="false">E12/E6</f>
        <v>0.502285560634579</v>
      </c>
      <c r="F35" s="13" t="n">
        <f aca="false">F12/F6</f>
        <v>0.398048145738452</v>
      </c>
      <c r="G35" s="16" t="n">
        <f aca="false">G12/G6</f>
        <v>0.516980315812243</v>
      </c>
      <c r="H35" s="16" t="n">
        <f aca="false">H12/H6</f>
        <v>0.543037974683544</v>
      </c>
      <c r="I35" s="16" t="n">
        <f aca="false">I12/I6</f>
        <v>0.528235638349751</v>
      </c>
      <c r="J35" s="16" t="n">
        <f aca="false">J12/J6</f>
        <v>0.537708044382802</v>
      </c>
    </row>
    <row r="36" customFormat="false" ht="15" hidden="false" customHeight="true" outlineLevel="0" collapsed="false">
      <c r="A36" s="3" t="s">
        <v>548</v>
      </c>
      <c r="C36" s="13" t="n">
        <f aca="false">C16/C6</f>
        <v>0.106173925795571</v>
      </c>
      <c r="D36" s="13" t="n">
        <f aca="false">D16/D6</f>
        <v>0.113737268216244</v>
      </c>
      <c r="E36" s="13" t="n">
        <f aca="false">E16/E6</f>
        <v>0.108362463027696</v>
      </c>
      <c r="F36" s="13" t="n">
        <f aca="false">F16/F6</f>
        <v>-0.0174365647364997</v>
      </c>
      <c r="G36" s="16" t="n">
        <f aca="false">G16/G6</f>
        <v>0.137356694786935</v>
      </c>
      <c r="H36" s="16" t="n">
        <f aca="false">H16/H6</f>
        <v>0.170593962999026</v>
      </c>
      <c r="I36" s="16" t="n">
        <f aca="false">I16/I6</f>
        <v>0.143957865990442</v>
      </c>
      <c r="J36" s="16" t="n">
        <f aca="false">J16/J6</f>
        <v>0.17250346740638</v>
      </c>
    </row>
    <row r="37" customFormat="false" ht="15" hidden="false" customHeight="true" outlineLevel="0" collapsed="false">
      <c r="A37" s="3" t="s">
        <v>549</v>
      </c>
      <c r="G37" s="16" t="n">
        <f aca="false">G6/C6-1</f>
        <v>0.355917289925209</v>
      </c>
      <c r="H37" s="16" t="n">
        <f aca="false">H6/D6-1</f>
        <v>0.341081222251241</v>
      </c>
      <c r="I37" s="16" t="n">
        <f aca="false">I6/E6-1</f>
        <v>0.378461952137671</v>
      </c>
      <c r="J37" s="16" t="n">
        <f aca="false">J6/F6-1</f>
        <v>0.501106050748211</v>
      </c>
    </row>
    <row r="38" customFormat="false" ht="15" hidden="false" customHeight="true" outlineLevel="0" collapsed="false">
      <c r="A38" s="3" t="s">
        <v>550</v>
      </c>
      <c r="G38" s="16" t="n">
        <f aca="false">G7/C7-1</f>
        <v>0.223161453930685</v>
      </c>
      <c r="H38" s="16" t="n">
        <f aca="false">H7/D7-1</f>
        <v>0.394143560507904</v>
      </c>
      <c r="I38" s="16" t="n">
        <f aca="false">I7/E7-1</f>
        <v>0.57185628742515</v>
      </c>
      <c r="J38" s="16" t="n">
        <f aca="false">J7/F7-1</f>
        <v>1.07345679012346</v>
      </c>
    </row>
    <row r="39" customFormat="false" ht="15" hidden="false" customHeight="true" outlineLevel="0" collapsed="false">
      <c r="A39" s="3" t="s">
        <v>551</v>
      </c>
      <c r="C39" s="18" t="n">
        <f aca="false">C7+C8+C9+C10-C6</f>
        <v>0</v>
      </c>
      <c r="D39" s="18" t="n">
        <f aca="false">D7+D8+D9+D10-D6</f>
        <v>0</v>
      </c>
      <c r="E39" s="18" t="n">
        <f aca="false">E7+E8+E9+E10-E6</f>
        <v>0</v>
      </c>
      <c r="F39" s="18" t="n">
        <f aca="false">F7+F8+F9+F10-F6</f>
        <v>0</v>
      </c>
      <c r="G39" s="12" t="n">
        <f aca="false">G7+G8+G9+G10-G6</f>
        <v>0</v>
      </c>
      <c r="H39" s="12" t="n">
        <f aca="false">H7+H8+H9+H10-H6</f>
        <v>0</v>
      </c>
      <c r="I39" s="12" t="n">
        <f aca="false">I7+I8+I9+I10-I6</f>
        <v>0</v>
      </c>
      <c r="J39" s="12" t="n">
        <f aca="false">J7+J8+J9+J10-J6</f>
        <v>0</v>
      </c>
    </row>
    <row r="41" customFormat="false" ht="15" hidden="false" customHeight="true" outlineLevel="0" collapsed="false">
      <c r="A41" s="8" t="s">
        <v>552</v>
      </c>
      <c r="B41" s="9"/>
      <c r="C41" s="9"/>
      <c r="D41" s="9"/>
      <c r="E41" s="9"/>
      <c r="F41" s="9"/>
      <c r="G41" s="9"/>
      <c r="H41" s="9"/>
      <c r="I41" s="9"/>
      <c r="J41" s="9"/>
    </row>
    <row r="42" customFormat="false" ht="15" hidden="false" customHeight="true" outlineLevel="0" collapsed="false">
      <c r="A42" s="3" t="s">
        <v>553</v>
      </c>
      <c r="C42" s="18" t="n">
        <f aca="false">I6+J6</f>
        <v>21789</v>
      </c>
    </row>
    <row r="43" customFormat="false" ht="15" hidden="false" customHeight="true" outlineLevel="0" collapsed="false">
      <c r="A43" s="3" t="s">
        <v>554</v>
      </c>
      <c r="C43" s="11" t="n">
        <v>13000</v>
      </c>
    </row>
    <row r="44" customFormat="false" ht="15" hidden="false" customHeight="true" outlineLevel="0" collapsed="false">
      <c r="A44" s="3" t="s">
        <v>555</v>
      </c>
      <c r="C44" s="23" t="n">
        <f aca="false">'Revenue Model'!G47-C42-C43</f>
        <v>14686.5</v>
      </c>
    </row>
    <row r="45" customFormat="false" ht="15" hidden="false" customHeight="true" outlineLevel="0" collapsed="false">
      <c r="A45" s="3" t="s">
        <v>556</v>
      </c>
      <c r="C45" s="13" t="n">
        <f aca="false">C44/C43-1</f>
        <v>0.129730769230769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8"/>
    <col collapsed="false" customWidth="true" hidden="false" outlineLevel="0" max="11" min="3" style="1" width="11"/>
  </cols>
  <sheetData>
    <row r="1" customFormat="false" ht="17.25" hidden="false" customHeight="true" outlineLevel="0" collapsed="false">
      <c r="A1" s="2" t="s">
        <v>557</v>
      </c>
    </row>
    <row r="4" customFormat="false" ht="15" hidden="false" customHeight="true" outlineLevel="0" collapsed="false">
      <c r="A4" s="6" t="s">
        <v>93</v>
      </c>
      <c r="B4" s="6"/>
      <c r="C4" s="7" t="s">
        <v>25</v>
      </c>
      <c r="D4" s="7" t="s">
        <v>26</v>
      </c>
      <c r="E4" s="7" t="s">
        <v>27</v>
      </c>
      <c r="F4" s="7" t="s">
        <v>28</v>
      </c>
      <c r="G4" s="7" t="s">
        <v>29</v>
      </c>
      <c r="H4" s="7" t="s">
        <v>30</v>
      </c>
      <c r="I4" s="7" t="s">
        <v>31</v>
      </c>
      <c r="J4" s="7" t="s">
        <v>32</v>
      </c>
      <c r="K4" s="7" t="s">
        <v>33</v>
      </c>
    </row>
    <row r="5" customFormat="false" ht="15" hidden="false" customHeight="true" outlineLevel="0" collapsed="false">
      <c r="A5" s="3" t="s">
        <v>558</v>
      </c>
      <c r="C5" s="88" t="b">
        <f aca="false">ABS('Balance Sheet'!C49)&lt;0.5</f>
        <v>1</v>
      </c>
      <c r="D5" s="88" t="b">
        <f aca="false">ABS('Balance Sheet'!D49)&lt;0.5</f>
        <v>1</v>
      </c>
      <c r="E5" s="88" t="b">
        <f aca="false">ABS('Balance Sheet'!E49)&lt;0.5</f>
        <v>1</v>
      </c>
      <c r="F5" s="88" t="b">
        <f aca="false">ABS('Balance Sheet'!F49)&lt;0.5</f>
        <v>1</v>
      </c>
      <c r="G5" s="89" t="b">
        <f aca="false">ABS('Balance Sheet'!G49)&lt;0.5</f>
        <v>1</v>
      </c>
      <c r="H5" s="89" t="b">
        <f aca="false">ABS('Balance Sheet'!H49)&lt;0.5</f>
        <v>1</v>
      </c>
      <c r="I5" s="89" t="b">
        <f aca="false">ABS('Balance Sheet'!I49)&lt;0.5</f>
        <v>1</v>
      </c>
      <c r="J5" s="89" t="b">
        <f aca="false">ABS('Balance Sheet'!J49)&lt;0.5</f>
        <v>1</v>
      </c>
      <c r="K5" s="89" t="b">
        <f aca="false">ABS('Balance Sheet'!K49)&lt;0.5</f>
        <v>1</v>
      </c>
    </row>
    <row r="6" customFormat="false" ht="15" hidden="false" customHeight="true" outlineLevel="0" collapsed="false">
      <c r="A6" s="3" t="s">
        <v>559</v>
      </c>
      <c r="G6" s="89" t="b">
        <f aca="false">ABS('Cash Flow'!G45-'Balance Sheet'!G14)&lt;0.5</f>
        <v>1</v>
      </c>
      <c r="H6" s="89" t="b">
        <f aca="false">ABS('Cash Flow'!H45-'Balance Sheet'!H14)&lt;0.5</f>
        <v>1</v>
      </c>
      <c r="I6" s="89" t="b">
        <f aca="false">ABS('Cash Flow'!I45-'Balance Sheet'!I14)&lt;0.5</f>
        <v>1</v>
      </c>
      <c r="J6" s="89" t="b">
        <f aca="false">ABS('Cash Flow'!J45-'Balance Sheet'!J14)&lt;0.5</f>
        <v>1</v>
      </c>
      <c r="K6" s="89" t="b">
        <f aca="false">ABS('Cash Flow'!K45-'Balance Sheet'!K14)&lt;0.5</f>
        <v>1</v>
      </c>
    </row>
    <row r="7" customFormat="false" ht="15" hidden="false" customHeight="true" outlineLevel="0" collapsed="false">
      <c r="A7" s="3" t="s">
        <v>560</v>
      </c>
      <c r="C7" s="88" t="b">
        <f aca="false">ABS('Revenue Model'!C47-'Revenue Model'!C74)&lt;0.5</f>
        <v>1</v>
      </c>
      <c r="D7" s="88" t="b">
        <f aca="false">ABS('Revenue Model'!D47-'Revenue Model'!D74)&lt;0.5</f>
        <v>1</v>
      </c>
      <c r="E7" s="88" t="b">
        <f aca="false">ABS('Revenue Model'!E47-'Revenue Model'!E74)&lt;0.5</f>
        <v>1</v>
      </c>
      <c r="F7" s="88" t="b">
        <f aca="false">ABS('Revenue Model'!F47-'Revenue Model'!F74)&lt;0.5</f>
        <v>1</v>
      </c>
      <c r="G7" s="89" t="b">
        <f aca="false">ABS('Revenue Model'!G47-'Revenue Model'!G74)&lt;0.5</f>
        <v>1</v>
      </c>
      <c r="H7" s="89" t="b">
        <f aca="false">ABS('Revenue Model'!H47-'Revenue Model'!H74)&lt;0.5</f>
        <v>1</v>
      </c>
      <c r="I7" s="89" t="b">
        <f aca="false">ABS('Revenue Model'!I47-'Revenue Model'!I74)&lt;0.5</f>
        <v>1</v>
      </c>
      <c r="J7" s="89" t="b">
        <f aca="false">ABS('Revenue Model'!J47-'Revenue Model'!J74)&lt;0.5</f>
        <v>1</v>
      </c>
      <c r="K7" s="89" t="b">
        <f aca="false">ABS('Revenue Model'!K47-'Revenue Model'!K74)&lt;0.5</f>
        <v>1</v>
      </c>
    </row>
    <row r="8" customFormat="false" ht="15" hidden="false" customHeight="true" outlineLevel="0" collapsed="false">
      <c r="A8" s="3" t="s">
        <v>561</v>
      </c>
      <c r="C8" s="88" t="b">
        <f aca="false">ABS('Revenue Model'!C47-'Income Statement'!C10)&lt;0.5</f>
        <v>1</v>
      </c>
      <c r="D8" s="88" t="b">
        <f aca="false">ABS('Revenue Model'!D47-'Income Statement'!D10)&lt;0.5</f>
        <v>1</v>
      </c>
      <c r="E8" s="88" t="b">
        <f aca="false">ABS('Revenue Model'!E47-'Income Statement'!E10)&lt;0.5</f>
        <v>1</v>
      </c>
      <c r="F8" s="88" t="b">
        <f aca="false">ABS('Revenue Model'!F47-'Income Statement'!F10)&lt;0.5</f>
        <v>1</v>
      </c>
      <c r="G8" s="89" t="b">
        <f aca="false">ABS('Revenue Model'!G47-'Income Statement'!G10)&lt;0.5</f>
        <v>1</v>
      </c>
      <c r="H8" s="89" t="b">
        <f aca="false">ABS('Revenue Model'!H47-'Income Statement'!H10)&lt;0.5</f>
        <v>1</v>
      </c>
      <c r="I8" s="89" t="b">
        <f aca="false">ABS('Revenue Model'!I47-'Income Statement'!I10)&lt;0.5</f>
        <v>1</v>
      </c>
      <c r="J8" s="89" t="b">
        <f aca="false">ABS('Revenue Model'!J47-'Income Statement'!J10)&lt;0.5</f>
        <v>1</v>
      </c>
      <c r="K8" s="89" t="b">
        <f aca="false">ABS('Revenue Model'!K47-'Income Statement'!K10)&lt;0.5</f>
        <v>1</v>
      </c>
    </row>
    <row r="9" customFormat="false" ht="15" hidden="false" customHeight="true" outlineLevel="0" collapsed="false">
      <c r="A9" s="3" t="s">
        <v>562</v>
      </c>
      <c r="C9" s="88" t="b">
        <f aca="false">ABS('Revenue Model'!C87-1)&lt;0.0001</f>
        <v>1</v>
      </c>
      <c r="D9" s="88" t="b">
        <f aca="false">ABS('Revenue Model'!D87-1)&lt;0.0001</f>
        <v>1</v>
      </c>
      <c r="E9" s="88" t="b">
        <f aca="false">ABS('Revenue Model'!E87-1)&lt;0.0001</f>
        <v>1</v>
      </c>
      <c r="F9" s="88" t="b">
        <f aca="false">ABS('Revenue Model'!F87-1)&lt;0.0001</f>
        <v>1</v>
      </c>
      <c r="G9" s="89" t="b">
        <f aca="false">ABS('Revenue Model'!G87-1)&lt;0.0001</f>
        <v>1</v>
      </c>
      <c r="H9" s="89" t="b">
        <f aca="false">ABS('Revenue Model'!H87-1)&lt;0.0001</f>
        <v>1</v>
      </c>
      <c r="I9" s="89" t="b">
        <f aca="false">ABS('Revenue Model'!I87-1)&lt;0.0001</f>
        <v>1</v>
      </c>
      <c r="J9" s="89" t="b">
        <f aca="false">ABS('Revenue Model'!J87-1)&lt;0.0001</f>
        <v>1</v>
      </c>
      <c r="K9" s="89" t="b">
        <f aca="false">ABS('Revenue Model'!K87-1)&lt;0.0001</f>
        <v>1</v>
      </c>
    </row>
    <row r="11" customFormat="false" ht="15" hidden="false" customHeight="true" outlineLevel="0" collapsed="false">
      <c r="A11" s="8" t="s">
        <v>563</v>
      </c>
      <c r="B11" s="9"/>
      <c r="C11" s="9"/>
      <c r="D11" s="9"/>
      <c r="E11" s="9"/>
      <c r="F11" s="9"/>
      <c r="G11" s="9"/>
      <c r="H11" s="9"/>
      <c r="I11" s="9"/>
      <c r="J11" s="9"/>
      <c r="K11" s="9"/>
    </row>
    <row r="12" customFormat="false" ht="15" hidden="false" customHeight="true" outlineLevel="0" collapsed="false">
      <c r="A12" s="3" t="s">
        <v>564</v>
      </c>
      <c r="C12" s="11" t="n">
        <v>23601</v>
      </c>
      <c r="D12" s="11" t="n">
        <v>22680</v>
      </c>
      <c r="E12" s="11" t="n">
        <v>25785</v>
      </c>
      <c r="F12" s="11" t="n">
        <v>34639</v>
      </c>
    </row>
    <row r="13" customFormat="false" ht="15" hidden="false" customHeight="true" outlineLevel="0" collapsed="false">
      <c r="A13" s="3" t="s">
        <v>565</v>
      </c>
      <c r="C13" s="88" t="b">
        <f aca="false">ABS('Income Statement'!C10-C12)&lt;0.5</f>
        <v>1</v>
      </c>
      <c r="D13" s="88" t="b">
        <f aca="false">ABS('Income Statement'!D10-D12)&lt;0.5</f>
        <v>1</v>
      </c>
      <c r="E13" s="88" t="b">
        <f aca="false">ABS('Income Statement'!E10-E12)&lt;0.5</f>
        <v>1</v>
      </c>
      <c r="F13" s="88" t="b">
        <f aca="false">ABS('Income Statement'!F10-F12)&lt;0.5</f>
        <v>1</v>
      </c>
    </row>
    <row r="14" customFormat="false" ht="15" hidden="false" customHeight="true" outlineLevel="0" collapsed="false">
      <c r="A14" s="3" t="s">
        <v>566</v>
      </c>
      <c r="C14" s="11" t="n">
        <v>10603</v>
      </c>
      <c r="D14" s="11" t="n">
        <v>10460</v>
      </c>
      <c r="E14" s="11" t="n">
        <v>12725</v>
      </c>
      <c r="F14" s="11" t="n">
        <v>17152</v>
      </c>
    </row>
    <row r="15" customFormat="false" ht="15" hidden="false" customHeight="true" outlineLevel="0" collapsed="false">
      <c r="A15" s="3" t="s">
        <v>565</v>
      </c>
      <c r="C15" s="88" t="b">
        <f aca="false">ABS('Income Statement'!C18-C14)&lt;0.5</f>
        <v>1</v>
      </c>
      <c r="D15" s="88" t="b">
        <f aca="false">ABS('Income Statement'!D18-D14)&lt;0.5</f>
        <v>1</v>
      </c>
      <c r="E15" s="88" t="b">
        <f aca="false">ABS('Income Statement'!E18-E14)&lt;0.5</f>
        <v>1</v>
      </c>
      <c r="F15" s="88" t="b">
        <f aca="false">ABS('Income Statement'!F18-F14)&lt;0.5</f>
        <v>1</v>
      </c>
    </row>
    <row r="16" customFormat="false" ht="15" hidden="false" customHeight="true" outlineLevel="0" collapsed="false">
      <c r="A16" s="3" t="s">
        <v>567</v>
      </c>
      <c r="C16" s="11" t="n">
        <v>1264</v>
      </c>
      <c r="D16" s="11" t="n">
        <v>401</v>
      </c>
      <c r="E16" s="11" t="n">
        <v>1900</v>
      </c>
      <c r="F16" s="11" t="n">
        <v>3694</v>
      </c>
    </row>
    <row r="17" customFormat="false" ht="15" hidden="false" customHeight="true" outlineLevel="0" collapsed="false">
      <c r="A17" s="3" t="s">
        <v>565</v>
      </c>
      <c r="C17" s="88" t="b">
        <f aca="false">ABS('Income Statement'!C32-C16)&lt;0.5</f>
        <v>1</v>
      </c>
      <c r="D17" s="88" t="b">
        <f aca="false">ABS('Income Statement'!D32-D16)&lt;0.5</f>
        <v>1</v>
      </c>
      <c r="E17" s="88" t="b">
        <f aca="false">ABS('Income Statement'!E32-E16)&lt;0.5</f>
        <v>1</v>
      </c>
      <c r="F17" s="88" t="b">
        <f aca="false">ABS('Income Statement'!F32-F16)&lt;0.5</f>
        <v>1</v>
      </c>
    </row>
    <row r="18" customFormat="false" ht="15" hidden="false" customHeight="true" outlineLevel="0" collapsed="false">
      <c r="A18" s="3" t="s">
        <v>568</v>
      </c>
      <c r="C18" s="11" t="n">
        <v>1320</v>
      </c>
      <c r="D18" s="11" t="n">
        <v>854</v>
      </c>
      <c r="E18" s="11" t="n">
        <v>1641</v>
      </c>
      <c r="F18" s="11" t="n">
        <v>4335</v>
      </c>
    </row>
    <row r="19" customFormat="false" ht="15" hidden="false" customHeight="true" outlineLevel="0" collapsed="false">
      <c r="A19" s="3" t="s">
        <v>565</v>
      </c>
      <c r="C19" s="88" t="b">
        <f aca="false">ABS('Income Statement'!C56-C18)&lt;0.5</f>
        <v>1</v>
      </c>
      <c r="D19" s="88" t="b">
        <f aca="false">ABS('Income Statement'!D56-D18)&lt;0.5</f>
        <v>1</v>
      </c>
      <c r="E19" s="88" t="b">
        <f aca="false">ABS('Income Statement'!E56-E18)&lt;0.5</f>
        <v>1</v>
      </c>
      <c r="F19" s="88" t="b">
        <f aca="false">ABS('Income Statement'!F56-F18)&lt;0.5</f>
        <v>1</v>
      </c>
    </row>
    <row r="20" customFormat="false" ht="15" hidden="false" customHeight="true" outlineLevel="0" collapsed="false">
      <c r="A20" s="3" t="s">
        <v>569</v>
      </c>
      <c r="C20" s="11" t="n">
        <v>0.84</v>
      </c>
      <c r="D20" s="11" t="n">
        <v>0.53</v>
      </c>
      <c r="E20" s="11" t="n">
        <v>1</v>
      </c>
      <c r="F20" s="11" t="n">
        <v>2.65</v>
      </c>
    </row>
    <row r="21" customFormat="false" ht="15" hidden="false" customHeight="true" outlineLevel="0" collapsed="false">
      <c r="A21" s="3" t="s">
        <v>565</v>
      </c>
      <c r="C21" s="88" t="b">
        <f aca="false">ABS('Income Statement'!C65-C20)&lt;0.006</f>
        <v>1</v>
      </c>
      <c r="D21" s="88" t="b">
        <f aca="false">ABS('Income Statement'!D65-D20)&lt;0.006</f>
        <v>1</v>
      </c>
      <c r="E21" s="88" t="b">
        <f aca="false">ABS('Income Statement'!E65-E20)&lt;0.006</f>
        <v>1</v>
      </c>
      <c r="F21" s="88" t="b">
        <f aca="false">ABS('Income Statement'!F65-F20)&lt;0.006</f>
        <v>1</v>
      </c>
    </row>
    <row r="22" customFormat="false" ht="15" hidden="false" customHeight="true" outlineLevel="0" collapsed="false">
      <c r="A22" s="3" t="s">
        <v>570</v>
      </c>
      <c r="C22" s="11" t="n">
        <v>3565</v>
      </c>
      <c r="D22" s="11" t="n">
        <v>1667</v>
      </c>
      <c r="E22" s="11" t="n">
        <v>3041</v>
      </c>
      <c r="F22" s="11" t="n">
        <v>7709</v>
      </c>
    </row>
    <row r="23" customFormat="false" ht="15" hidden="false" customHeight="true" outlineLevel="0" collapsed="false">
      <c r="A23" s="3" t="s">
        <v>565</v>
      </c>
      <c r="C23" s="88" t="b">
        <f aca="false">ABS('Cash Flow'!C21-C22)&lt;0.5</f>
        <v>1</v>
      </c>
      <c r="D23" s="88" t="b">
        <f aca="false">ABS('Cash Flow'!D21-D22)&lt;0.5</f>
        <v>1</v>
      </c>
      <c r="E23" s="88" t="b">
        <f aca="false">ABS('Cash Flow'!E21-E22)&lt;0.5</f>
        <v>1</v>
      </c>
      <c r="F23" s="88" t="b">
        <f aca="false">ABS('Cash Flow'!F21-F22)&lt;0.5</f>
        <v>1</v>
      </c>
    </row>
    <row r="24" customFormat="false" ht="15" hidden="false" customHeight="true" outlineLevel="0" collapsed="false">
      <c r="A24" s="3" t="s">
        <v>571</v>
      </c>
      <c r="C24" s="11" t="n">
        <v>1999</v>
      </c>
      <c r="D24" s="11" t="n">
        <v>-1423</v>
      </c>
      <c r="E24" s="11" t="n">
        <v>-1101</v>
      </c>
      <c r="F24" s="11" t="n">
        <v>-5533</v>
      </c>
    </row>
    <row r="25" customFormat="false" ht="15" hidden="false" customHeight="true" outlineLevel="0" collapsed="false">
      <c r="A25" s="3" t="s">
        <v>565</v>
      </c>
      <c r="C25" s="88" t="b">
        <f aca="false">ABS('Cash Flow'!C29-C24)&lt;0.5</f>
        <v>1</v>
      </c>
      <c r="D25" s="88" t="b">
        <f aca="false">ABS('Cash Flow'!D29-D24)&lt;0.5</f>
        <v>1</v>
      </c>
      <c r="E25" s="88" t="b">
        <f aca="false">ABS('Cash Flow'!E29-E24)&lt;0.5</f>
        <v>1</v>
      </c>
      <c r="F25" s="88" t="b">
        <f aca="false">ABS('Cash Flow'!F29-F24)&lt;0.5</f>
        <v>1</v>
      </c>
    </row>
    <row r="26" customFormat="false" ht="15" hidden="false" customHeight="true" outlineLevel="0" collapsed="false">
      <c r="A26" s="3" t="s">
        <v>572</v>
      </c>
      <c r="C26" s="11" t="n">
        <v>-3264</v>
      </c>
      <c r="D26" s="11" t="n">
        <v>-1146</v>
      </c>
      <c r="E26" s="11" t="n">
        <v>-2062</v>
      </c>
      <c r="F26" s="11" t="n">
        <v>-431</v>
      </c>
    </row>
    <row r="27" customFormat="false" ht="15" hidden="false" customHeight="true" outlineLevel="0" collapsed="false">
      <c r="A27" s="3" t="s">
        <v>565</v>
      </c>
      <c r="C27" s="88" t="b">
        <f aca="false">ABS('Cash Flow'!C41-C26)&lt;0.5</f>
        <v>1</v>
      </c>
      <c r="D27" s="88" t="b">
        <f aca="false">ABS('Cash Flow'!D41-D26)&lt;0.5</f>
        <v>1</v>
      </c>
      <c r="E27" s="88" t="b">
        <f aca="false">ABS('Cash Flow'!E41-E26)&lt;0.5</f>
        <v>1</v>
      </c>
      <c r="F27" s="88" t="b">
        <f aca="false">ABS('Cash Flow'!F41-F26)&lt;0.5</f>
        <v>1</v>
      </c>
    </row>
    <row r="28" customFormat="false" ht="15" hidden="false" customHeight="true" outlineLevel="0" collapsed="false">
      <c r="A28" s="3" t="s">
        <v>573</v>
      </c>
      <c r="C28" s="11" t="n">
        <v>67580</v>
      </c>
      <c r="D28" s="11" t="n">
        <v>67885</v>
      </c>
      <c r="E28" s="11" t="n">
        <v>69226</v>
      </c>
      <c r="F28" s="11" t="n">
        <v>76926</v>
      </c>
    </row>
    <row r="29" customFormat="false" ht="15" hidden="false" customHeight="true" outlineLevel="0" collapsed="false">
      <c r="A29" s="3" t="s">
        <v>565</v>
      </c>
      <c r="C29" s="88" t="b">
        <f aca="false">ABS('Balance Sheet'!C26-C28)&lt;0.5</f>
        <v>1</v>
      </c>
      <c r="D29" s="88" t="b">
        <f aca="false">ABS('Balance Sheet'!D26-D28)&lt;0.5</f>
        <v>1</v>
      </c>
      <c r="E29" s="88" t="b">
        <f aca="false">ABS('Balance Sheet'!E26-E28)&lt;0.5</f>
        <v>1</v>
      </c>
      <c r="F29" s="88" t="b">
        <f aca="false">ABS('Balance Sheet'!F26-F28)&lt;0.5</f>
        <v>1</v>
      </c>
    </row>
    <row r="30" customFormat="false" ht="15" hidden="false" customHeight="true" outlineLevel="0" collapsed="false">
      <c r="A30" s="3" t="s">
        <v>574</v>
      </c>
      <c r="C30" s="11" t="n">
        <v>54750</v>
      </c>
      <c r="D30" s="11" t="n">
        <v>55892</v>
      </c>
      <c r="E30" s="11" t="n">
        <v>57568</v>
      </c>
      <c r="F30" s="11" t="n">
        <v>62999</v>
      </c>
    </row>
    <row r="31" customFormat="false" ht="15" hidden="false" customHeight="true" outlineLevel="0" collapsed="false">
      <c r="A31" s="3" t="s">
        <v>565</v>
      </c>
      <c r="C31" s="88" t="b">
        <f aca="false">ABS('Balance Sheet'!C47-C30)&lt;0.5</f>
        <v>1</v>
      </c>
      <c r="D31" s="88" t="b">
        <f aca="false">ABS('Balance Sheet'!D47-D30)&lt;0.5</f>
        <v>1</v>
      </c>
      <c r="E31" s="88" t="b">
        <f aca="false">ABS('Balance Sheet'!E47-E30)&lt;0.5</f>
        <v>1</v>
      </c>
      <c r="F31" s="88" t="b">
        <f aca="false">ABS('Balance Sheet'!F47-F30)&lt;0.5</f>
        <v>1</v>
      </c>
    </row>
    <row r="32" customFormat="false" ht="15" hidden="false" customHeight="true" outlineLevel="0" collapsed="false">
      <c r="A32" s="3" t="s">
        <v>575</v>
      </c>
      <c r="C32" s="11" t="n">
        <v>15019</v>
      </c>
      <c r="D32" s="11" t="n">
        <v>16768</v>
      </c>
      <c r="E32" s="11" t="n">
        <v>19049</v>
      </c>
      <c r="F32" s="11" t="n">
        <v>26947</v>
      </c>
    </row>
    <row r="33" customFormat="false" ht="15" hidden="false" customHeight="true" outlineLevel="0" collapsed="false">
      <c r="A33" s="3" t="s">
        <v>565</v>
      </c>
      <c r="C33" s="88" t="b">
        <f aca="false">ABS('Balance Sheet'!C19-C32)&lt;0.5</f>
        <v>1</v>
      </c>
      <c r="D33" s="88" t="b">
        <f aca="false">ABS('Balance Sheet'!D19-D32)&lt;0.5</f>
        <v>1</v>
      </c>
      <c r="E33" s="88" t="b">
        <f aca="false">ABS('Balance Sheet'!E19-E32)&lt;0.5</f>
        <v>1</v>
      </c>
      <c r="F33" s="88" t="b">
        <f aca="false">ABS('Balance Sheet'!F19-F32)&lt;0.5</f>
        <v>1</v>
      </c>
    </row>
    <row r="34" customFormat="false" ht="15" hidden="false" customHeight="true" outlineLevel="0" collapsed="false">
      <c r="A34" s="3" t="s">
        <v>576</v>
      </c>
      <c r="C34" s="11" t="n">
        <v>6369</v>
      </c>
      <c r="D34" s="11" t="n">
        <v>6689</v>
      </c>
      <c r="E34" s="11" t="n">
        <v>7281</v>
      </c>
      <c r="F34" s="11" t="n">
        <v>9455</v>
      </c>
    </row>
    <row r="35" customFormat="false" ht="15" hidden="false" customHeight="true" outlineLevel="0" collapsed="false">
      <c r="A35" s="3" t="s">
        <v>565</v>
      </c>
      <c r="C35" s="88" t="b">
        <f aca="false">ABS('Balance Sheet'!C33-C34)&lt;0.5</f>
        <v>1</v>
      </c>
      <c r="D35" s="88" t="b">
        <f aca="false">ABS('Balance Sheet'!D33-D34)&lt;0.5</f>
        <v>1</v>
      </c>
      <c r="E35" s="88" t="b">
        <f aca="false">ABS('Balance Sheet'!E33-E34)&lt;0.5</f>
        <v>1</v>
      </c>
      <c r="F35" s="88" t="b">
        <f aca="false">ABS('Balance Sheet'!F33-F34)&lt;0.5</f>
        <v>1</v>
      </c>
    </row>
    <row r="36" customFormat="false" ht="15" hidden="false" customHeight="true" outlineLevel="0" collapsed="false">
      <c r="A36" s="3" t="s">
        <v>577</v>
      </c>
      <c r="C36" s="11" t="n">
        <v>6043</v>
      </c>
      <c r="D36" s="11" t="n">
        <v>6496</v>
      </c>
      <c r="E36" s="11" t="n">
        <v>12579</v>
      </c>
      <c r="F36" s="11" t="n">
        <v>16635</v>
      </c>
    </row>
    <row r="37" customFormat="false" ht="15" hidden="false" customHeight="true" outlineLevel="0" collapsed="false">
      <c r="A37" s="3" t="s">
        <v>565</v>
      </c>
      <c r="C37" s="88" t="b">
        <f aca="false">ABS('Revenue Model'!C12-C36)&lt;0.5</f>
        <v>1</v>
      </c>
      <c r="D37" s="88" t="b">
        <f aca="false">ABS('Revenue Model'!D12-D36)&lt;0.5</f>
        <v>1</v>
      </c>
      <c r="E37" s="88" t="b">
        <f aca="false">ABS('Revenue Model'!E12-E36)&lt;0.5</f>
        <v>1</v>
      </c>
      <c r="F37" s="88" t="b">
        <f aca="false">ABS('Revenue Model'!F12-F36)&lt;0.5</f>
        <v>1</v>
      </c>
    </row>
    <row r="38" customFormat="false" ht="15" hidden="false" customHeight="true" outlineLevel="0" collapsed="false">
      <c r="A38" s="3" t="s">
        <v>578</v>
      </c>
      <c r="C38" s="11" t="n">
        <v>6201</v>
      </c>
      <c r="D38" s="11" t="n">
        <v>4651</v>
      </c>
      <c r="E38" s="11" t="n">
        <v>7054</v>
      </c>
      <c r="F38" s="11" t="n">
        <v>10640</v>
      </c>
    </row>
    <row r="39" customFormat="false" ht="15" hidden="false" customHeight="true" outlineLevel="0" collapsed="false">
      <c r="A39" s="3" t="s">
        <v>565</v>
      </c>
      <c r="C39" s="88" t="b">
        <f aca="false">ABS('Revenue Model'!C21-C38)&lt;0.5</f>
        <v>1</v>
      </c>
      <c r="D39" s="88" t="b">
        <f aca="false">ABS('Revenue Model'!D21-D38)&lt;0.5</f>
        <v>1</v>
      </c>
      <c r="E39" s="88" t="b">
        <f aca="false">ABS('Revenue Model'!E21-E38)&lt;0.5</f>
        <v>1</v>
      </c>
      <c r="F39" s="88" t="b">
        <f aca="false">ABS('Revenue Model'!F21-F38)&lt;0.5</f>
        <v>1</v>
      </c>
    </row>
    <row r="40" customFormat="false" ht="15" hidden="false" customHeight="true" outlineLevel="0" collapsed="false">
      <c r="A40" s="3" t="s">
        <v>579</v>
      </c>
      <c r="C40" s="11" t="n">
        <v>6805</v>
      </c>
      <c r="D40" s="11" t="n">
        <v>6212</v>
      </c>
      <c r="E40" s="11" t="n">
        <v>2595</v>
      </c>
      <c r="F40" s="11" t="n">
        <v>3910</v>
      </c>
    </row>
    <row r="41" customFormat="false" ht="15" hidden="false" customHeight="true" outlineLevel="0" collapsed="false">
      <c r="A41" s="3" t="s">
        <v>565</v>
      </c>
      <c r="C41" s="88" t="b">
        <f aca="false">ABS('Revenue Model'!C30-C40)&lt;0.5</f>
        <v>1</v>
      </c>
      <c r="D41" s="88" t="b">
        <f aca="false">ABS('Revenue Model'!D30-D40)&lt;0.5</f>
        <v>1</v>
      </c>
      <c r="E41" s="88" t="b">
        <f aca="false">ABS('Revenue Model'!E30-E40)&lt;0.5</f>
        <v>1</v>
      </c>
      <c r="F41" s="88" t="b">
        <f aca="false">ABS('Revenue Model'!F30-F40)&lt;0.5</f>
        <v>1</v>
      </c>
    </row>
    <row r="42" customFormat="false" ht="15" hidden="false" customHeight="true" outlineLevel="0" collapsed="false">
      <c r="A42" s="3" t="s">
        <v>580</v>
      </c>
      <c r="C42" s="11" t="n">
        <v>4552</v>
      </c>
      <c r="D42" s="11" t="n">
        <v>5321</v>
      </c>
      <c r="E42" s="11" t="n">
        <v>3557</v>
      </c>
      <c r="F42" s="11" t="n">
        <v>3454</v>
      </c>
    </row>
    <row r="43" customFormat="false" ht="15" hidden="false" customHeight="true" outlineLevel="0" collapsed="false">
      <c r="A43" s="3" t="s">
        <v>565</v>
      </c>
      <c r="C43" s="88" t="b">
        <f aca="false">ABS('Revenue Model'!C39-C42)&lt;0.5</f>
        <v>1</v>
      </c>
      <c r="D43" s="88" t="b">
        <f aca="false">ABS('Revenue Model'!D39-D42)&lt;0.5</f>
        <v>1</v>
      </c>
      <c r="E43" s="88" t="b">
        <f aca="false">ABS('Revenue Model'!E39-E42)&lt;0.5</f>
        <v>1</v>
      </c>
      <c r="F43" s="88" t="b">
        <f aca="false">ABS('Revenue Model'!F39-F42)&lt;0.5</f>
        <v>1</v>
      </c>
    </row>
    <row r="45" customFormat="false" ht="15" hidden="false" customHeight="true" outlineLevel="0" collapsed="false">
      <c r="A45" s="3" t="s">
        <v>581</v>
      </c>
      <c r="C45" s="88" t="b">
        <f aca="false">SUMPRODUCT(ABS('Quarterly Hist'!C39:J39))&lt;0.5</f>
        <v>1</v>
      </c>
    </row>
    <row r="47" customFormat="false" ht="15" hidden="false" customHeight="true" outlineLevel="0" collapsed="false">
      <c r="A47" s="4" t="s">
        <v>582</v>
      </c>
      <c r="C47" s="4" t="str">
        <f aca="false">IF(COUNTIF(C5:K46,FALSE())=0,"OK","ERROR")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2026-10-14T08:05:50Z</dcterms:created>
  <dc:creator>openpyxl</dc:creator>
  <dc:description/>
  <dc:language>en-US</dc:language>
  <cp:lastModifiedBy/>
  <dcterms:modified xsi:type="dcterms:W3CDTF">2026-10-14T08:12:25Z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