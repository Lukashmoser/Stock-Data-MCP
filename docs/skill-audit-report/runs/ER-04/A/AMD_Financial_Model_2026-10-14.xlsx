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venue Model" sheetId="1" state="visible" r:id="rId3"/>
    <sheet name="Income Statement" sheetId="2" state="visible" r:id="rId4"/>
    <sheet name="Cash Flow Statement" sheetId="3" state="visible" r:id="rId5"/>
    <sheet name="Balance Sheet" sheetId="4" state="visible" r:id="rId6"/>
    <sheet name="Scenarios" sheetId="5" state="visible" r:id="rId7"/>
    <sheet name="DCF Inputs" sheetId="6" state="visible" r:id="rId8"/>
    <sheet name="DCF" sheetId="7" state="visible" r:id="rId9"/>
    <sheet name="Sensitivity" sheetId="8" state="visible" r:id="rId10"/>
    <sheet name="Comps" sheetId="9" state="visible" r:id="rId11"/>
    <sheet name="Valuation Summary" sheetId="10" state="visible" r:id="rId12"/>
    <sheet name="Quarterly Hist" sheetId="11" state="visible" r:id="rId13"/>
    <sheet name="Notes &amp; Sources" sheetId="12" state="visible" r:id="rId14"/>
  </sheets>
  <definedNames>
    <definedName function="false" hidden="false" name="DCF_Value" vbProcedure="false">DCF!$C$51</definedName>
    <definedName function="false" hidden="false" name="DilutedEPS" vbProcedure="false">'Income Statement'!$C$66:$J$66</definedName>
    <definedName function="false" hidden="false" name="EBIT" vbProcedure="false">'Income Statement'!$C$31:$J$31</definedName>
    <definedName function="false" hidden="false" name="PriceTarget" vbProcedure="false">'Valuation Summary'!$D$16</definedName>
    <definedName function="false" hidden="false" name="Revenue" vbProcedure="false">'Income Statement'!$C$9:$J$9</definedName>
    <definedName function="false" hidden="false" name="ScenarioSel" vbProcedure="false">Scenarios!$C$4</definedName>
    <definedName function="false" hidden="false" name="TerminalGrowth" vbProcedure="false">DCF!$C$21</definedName>
    <definedName function="false" hidden="false" name="UFCF" vbProcedure="false">'DCF Inputs'!$F$16:$J$16</definedName>
    <definedName function="false" hidden="false" name="WACC" vbProcedure="false">DCF!$C$20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0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9" authorId="0">
      <text>
        <r>
          <rPr>
            <sz val="10"/>
            <rFont val="Arial"/>
            <family val="2"/>
          </rPr>
          <t xml:space="preserve">Static output: DCF value per share with Scenarios!C4 = 3 (Bear), recalculated 2026-10-14. Re-run if model inputs change.</t>
        </r>
      </text>
    </comment>
    <comment ref="E9" authorId="0">
      <text>
        <r>
          <rPr>
            <sz val="10"/>
            <rFont val="Arial"/>
            <family val="2"/>
          </rPr>
          <t xml:space="preserve">Static output: DCF value per share with Scenarios!C4 = 1 (Bull), recalculated 2026-10-14. Re-run if model inputs change.</t>
        </r>
      </text>
    </comment>
  </commentList>
</comments>
</file>

<file path=xl/sharedStrings.xml><?xml version="1.0" encoding="utf-8"?>
<sst xmlns="http://schemas.openxmlformats.org/spreadsheetml/2006/main" count="793" uniqueCount="590">
  <si>
    <t xml:space="preserve">AMD - Revenue Model</t>
  </si>
  <si>
    <t xml:space="preserve">USD millions. Historical segment data from 10-K FY2025 segment note; projections driven by the active scenario on the Scenarios tab.</t>
  </si>
  <si>
    <t xml:space="preserve">USD millions</t>
  </si>
  <si>
    <t xml:space="preserve">FY2023A</t>
  </si>
  <si>
    <t xml:space="preserve">FY2024A</t>
  </si>
  <si>
    <t xml:space="preserve">FY2025A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</si>
  <si>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</si>
  <si>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</si>
  <si>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</si>
  <si>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</si>
  <si>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</si>
  <si>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Notes / sources</t>
  </si>
  <si>
    <t xml:space="preserve">REVENUE BY SEGMENT / PRODUCT</t>
  </si>
  <si>
    <t xml:space="preserve">Data Center</t>
  </si>
  <si>
    <t xml:space="preserve">   Data Center AI - Instinct GPUs / Helios racks (est.)</t>
  </si>
  <si>
    <t xml:space="preserve">ESTIMATE: AMD does not disclose the GPU/CPU split. FY2023 ~400 (MI300 launch Dec-2023), FY2024 &gt;5,000 per mgmt commentary (model knowledge), FY2025 ~6,500 est. (net of MI308 export-control impact).</t>
  </si>
  <si>
    <t xml:space="preserve">      YoY growth %</t>
  </si>
  <si>
    <t xml:space="preserve">   Server CPU (EPYC), DPU/NIC &amp; other Data Center (derived)</t>
  </si>
  <si>
    <t xml:space="preserve">Historical = reported Data Center segment revenue less estimated AI GPU revenue.</t>
  </si>
  <si>
    <t xml:space="preserve">   Data Center - reported segment revenue</t>
  </si>
  <si>
    <t xml:space="preserve">Source: AMD 10-K FY2025, Note: Segment Reporting (XBRL R52/R54), https://www.sec.gov/Archives/edgar/data/2488/000000248826000018/R52.htm</t>
  </si>
  <si>
    <t xml:space="preserve">Data Center total</t>
  </si>
  <si>
    <t xml:space="preserve">   YoY growth %</t>
  </si>
  <si>
    <t xml:space="preserve">   % of total revenue</t>
  </si>
  <si>
    <t xml:space="preserve">   AI GPU share of Data Center %</t>
  </si>
  <si>
    <t xml:space="preserve">Client &amp; Gaming</t>
  </si>
  <si>
    <t xml:space="preserve">   Client - Ryzen desktop &amp; notebook CPUs/APUs</t>
  </si>
  <si>
    <t xml:space="preserve">   Gaming - semi-custom console SoCs &amp; Radeon GPUs</t>
  </si>
  <si>
    <t xml:space="preserve">Client &amp; Gaming total (reportable segment)</t>
  </si>
  <si>
    <t xml:space="preserve">Embedded</t>
  </si>
  <si>
    <t xml:space="preserve">   Embedded - Versal/Zynq adaptive SoCs, FPGAs, embedded x86</t>
  </si>
  <si>
    <t xml:space="preserve">Mix memo</t>
  </si>
  <si>
    <t xml:space="preserve">   Client % of total</t>
  </si>
  <si>
    <t xml:space="preserve">   Gaming % of total</t>
  </si>
  <si>
    <t xml:space="preserve">   Data Center AI % of total</t>
  </si>
  <si>
    <t xml:space="preserve">TOTAL NET REVENUE</t>
  </si>
  <si>
    <t xml:space="preserve">   Total revenue growth %</t>
  </si>
  <si>
    <t xml:space="preserve">   Check: reported net revenue (10-K)</t>
  </si>
  <si>
    <t xml:space="preserve">Source: AMD Form 10-K FY2025 (filed 2026-02-04), Item 8, https://www.sec.gov/Archives/edgar/data/2488/000000248826000018/amd-20251227.htm</t>
  </si>
  <si>
    <t xml:space="preserve">   Check: segment sum less reported (should be 0)</t>
  </si>
  <si>
    <t xml:space="preserve">SEGMENT OPERATING INCOME (historical, as reported)</t>
  </si>
  <si>
    <t xml:space="preserve">   Data Center operating income</t>
  </si>
  <si>
    <t xml:space="preserve">      Data Center operating margin %</t>
  </si>
  <si>
    <t xml:space="preserve">   Client &amp; Gaming operating income</t>
  </si>
  <si>
    <t xml:space="preserve">      Client &amp; Gaming operating margin %</t>
  </si>
  <si>
    <t xml:space="preserve">   Embedded operating income</t>
  </si>
  <si>
    <t xml:space="preserve">      Embedded operating margin %</t>
  </si>
  <si>
    <t xml:space="preserve">   All Other (amortization, SBC, restructuring, other)</t>
  </si>
  <si>
    <t xml:space="preserve">Total operating income</t>
  </si>
  <si>
    <t xml:space="preserve">REVENUE BY GEOGRAPHY (billing location of customer, per 10-K)</t>
  </si>
  <si>
    <t xml:space="preserve">United States</t>
  </si>
  <si>
    <t xml:space="preserve">   % of total revenue (projection input)</t>
  </si>
  <si>
    <t xml:space="preserve">Projected mix is an assumption (FY2025A mix, nudged toward US as hyperscale/AI-lab racks ramp).</t>
  </si>
  <si>
    <t xml:space="preserve">   United States revenue</t>
  </si>
  <si>
    <t xml:space="preserve">Source: AMD 10-K FY2025 Segment Reporting - External Customers by Geographic Region (XBRL R54)</t>
  </si>
  <si>
    <t xml:space="preserve">China (incl. Hong Kong)</t>
  </si>
  <si>
    <t xml:space="preserve">   China (incl. Hong Kong) revenue</t>
  </si>
  <si>
    <t xml:space="preserve">Taiwan</t>
  </si>
  <si>
    <t xml:space="preserve">   Taiwan revenue</t>
  </si>
  <si>
    <t xml:space="preserve">Singapore</t>
  </si>
  <si>
    <t xml:space="preserve">   Singapore revenue</t>
  </si>
  <si>
    <t xml:space="preserve">Other countries (incl. Japan, Europe, RoW)</t>
  </si>
  <si>
    <t xml:space="preserve">Projection = 1 minus the named regions (plug).</t>
  </si>
  <si>
    <t xml:space="preserve">   Other countries revenue</t>
  </si>
  <si>
    <t xml:space="preserve">TOTAL REVENUE BY GEOGRAPHY</t>
  </si>
  <si>
    <t xml:space="preserve">   Check: geography total less segment total (should be 0)</t>
  </si>
  <si>
    <t xml:space="preserve">AMD - Income Statement (GAAP)</t>
  </si>
  <si>
    <t xml:space="preserve">USD millions except per-share. FY ends last Saturday of December. Historical per 10-K FY2025 / FY2024; projections driven by Scenarios tab.</t>
  </si>
  <si>
    <t xml:space="preserve">REVENUE</t>
  </si>
  <si>
    <t xml:space="preserve">   Data Center</t>
  </si>
  <si>
    <t xml:space="preserve">   Client &amp; Gaming</t>
  </si>
  <si>
    <t xml:space="preserve">   Embedded</t>
  </si>
  <si>
    <t xml:space="preserve">Net revenue</t>
  </si>
  <si>
    <t xml:space="preserve">COST OF SALES</t>
  </si>
  <si>
    <t xml:space="preserve">   Cost of sales (ex-amortization)</t>
  </si>
  <si>
    <t xml:space="preserve">      % of revenue</t>
  </si>
  <si>
    <t xml:space="preserve">   Amortization of acquisition-related intangibles (COGS)</t>
  </si>
  <si>
    <t xml:space="preserve">Projection input: H1 FY2026A COGS amortization 521; declining as Xilinx intangibles roll off (estimate).</t>
  </si>
  <si>
    <t xml:space="preserve">Total cost of sales</t>
  </si>
  <si>
    <t xml:space="preserve">GROSS PROFIT</t>
  </si>
  <si>
    <t xml:space="preserve">   Gross margin % (GAAP)</t>
  </si>
  <si>
    <t xml:space="preserve">   Gross margin % ex-amortization</t>
  </si>
  <si>
    <t xml:space="preserve">OPERATING EXPENSES</t>
  </si>
  <si>
    <t xml:space="preserve">   Research and development</t>
  </si>
  <si>
    <t xml:space="preserve">   Marketing, general &amp; administrative (net of licensing gain)</t>
  </si>
  <si>
    <t xml:space="preserve">FY2023/FY2024 shown net of licensing gain (34 / 48) to match FY2025 10-K presentation.</t>
  </si>
  <si>
    <t xml:space="preserve">   Amortization of acquisition-related intangibles (opex)</t>
  </si>
  <si>
    <t xml:space="preserve">Projection input: H1 FY2026A opex amortization 574 (estimate of run-off).</t>
  </si>
  <si>
    <t xml:space="preserve">   Restructuring charges</t>
  </si>
  <si>
    <t xml:space="preserve">Total operating expenses</t>
  </si>
  <si>
    <t xml:space="preserve">OPERATING INCOME (EBIT)</t>
  </si>
  <si>
    <t xml:space="preserve">   Operating margin %</t>
  </si>
  <si>
    <t xml:space="preserve">   Check: reported operating income</t>
  </si>
  <si>
    <t xml:space="preserve">   Check: difference (should be 0)</t>
  </si>
  <si>
    <t xml:space="preserve">EBITDA &amp; NON-GAAP BRIDGE (memo)</t>
  </si>
  <si>
    <t xml:space="preserve">   Depreciation &amp; amortization of PP&amp;E (from cash flow)</t>
  </si>
  <si>
    <t xml:space="preserve">   Amortization of acquisition-related intangibles (total)</t>
  </si>
  <si>
    <t xml:space="preserve">EBITDA</t>
  </si>
  <si>
    <t xml:space="preserve">   EBITDA margin %</t>
  </si>
  <si>
    <t xml:space="preserve">   Stock-based compensation (from cash flow)</t>
  </si>
  <si>
    <t xml:space="preserve">   Adjusted operating income (EBIT + amortization + SBC + restructuring)</t>
  </si>
  <si>
    <t xml:space="preserve">Approximation of AMD non-GAAP operating income (FY2025 reported non-GAAP 7,768 also excludes MI308 inventory charges and other items).</t>
  </si>
  <si>
    <t xml:space="preserve">      Adjusted operating margin %</t>
  </si>
  <si>
    <t xml:space="preserve">BELOW THE LINE</t>
  </si>
  <si>
    <t xml:space="preserve">   Interest expense</t>
  </si>
  <si>
    <t xml:space="preserve">      Interest rate on beginning total debt %</t>
  </si>
  <si>
    <t xml:space="preserve">Uses prior-year-end debt to avoid circularity.</t>
  </si>
  <si>
    <t xml:space="preserve">   Other income (expense), net</t>
  </si>
  <si>
    <t xml:space="preserve">FY2025A includes 341 gain on long-term investments (non-recurring).</t>
  </si>
  <si>
    <t xml:space="preserve">      Yield on beginning cash + short-term investments %</t>
  </si>
  <si>
    <t xml:space="preserve">Income before income taxes and equity income</t>
  </si>
  <si>
    <t xml:space="preserve">   Income tax provision (benefit)</t>
  </si>
  <si>
    <t xml:space="preserve">      Effective tax rate %</t>
  </si>
  <si>
    <t xml:space="preserve">H1 FY2026A ETR 11.8%; FY2023/FY2025 included valuation-allowance and other discrete benefits. Pillar Two / FDII changes could move this.</t>
  </si>
  <si>
    <t xml:space="preserve">   Equity income in investee</t>
  </si>
  <si>
    <t xml:space="preserve">Income from continuing operations</t>
  </si>
  <si>
    <t xml:space="preserve">   Income from discontinued operations, net of tax</t>
  </si>
  <si>
    <t xml:space="preserve">ZT Systems manufacturing business sold to Sanmina (2025). H1 FY2026A +3 ignored in projections.</t>
  </si>
  <si>
    <t xml:space="preserve">NET INCOME</t>
  </si>
  <si>
    <t xml:space="preserve">   Net margin %</t>
  </si>
  <si>
    <t xml:space="preserve">   Check: reported net income</t>
  </si>
  <si>
    <t xml:space="preserve">SHARES &amp; EPS</t>
  </si>
  <si>
    <t xml:space="preserve">   Diluted weighted-average shares (m)</t>
  </si>
  <si>
    <t xml:space="preserve">   Basic weighted-average shares (m)</t>
  </si>
  <si>
    <t xml:space="preserve">      Net diluted share change % (SBC issuance net of buybacks)</t>
  </si>
  <si>
    <t xml:space="preserve">FY2026 reflects Q2 FY2026A diluted count 1,659. OpenAI warrant (up to 160m shares) NOT included - see Notes.</t>
  </si>
  <si>
    <t xml:space="preserve">   Basic EPS (USD)</t>
  </si>
  <si>
    <t xml:space="preserve">Historical EPS as reported.</t>
  </si>
  <si>
    <t xml:space="preserve">   Diluted EPS (USD)</t>
  </si>
  <si>
    <t xml:space="preserve">      Diluted EPS growth %</t>
  </si>
  <si>
    <t xml:space="preserve">   Adjusted diluted EPS (memo, after-tax add-back of amortization + SBC)</t>
  </si>
  <si>
    <t xml:space="preserve">Approximation only; historical uses 13% tax on add-backs. AMD reported non-GAAP EPS FY2025 = 4.17.</t>
  </si>
  <si>
    <t xml:space="preserve">AMD - Cash Flow Statement</t>
  </si>
  <si>
    <t xml:space="preserve">USD millions. Historical per 10-K FY2025 (Item 8); projections link to Income Statement / Balance Sheet drivers.</t>
  </si>
  <si>
    <t xml:space="preserve">OPERATING ACTIVITIES</t>
  </si>
  <si>
    <t xml:space="preserve">Net income</t>
  </si>
  <si>
    <t xml:space="preserve">   Less: income from discontinued operations</t>
  </si>
  <si>
    <t xml:space="preserve">   Depreciation &amp; amortization (PP&amp;E and other)</t>
  </si>
  <si>
    <t xml:space="preserve">      D&amp;A as % of beginning net PP&amp;E</t>
  </si>
  <si>
    <t xml:space="preserve">FY2025A 41.6%; H1 FY2026A annualised ~37% of opening PP&amp;E.</t>
  </si>
  <si>
    <t xml:space="preserve">   Amortization of acquisition-related intangibles</t>
  </si>
  <si>
    <t xml:space="preserve">Historical cash-flow amortization line (includes small non-intangible items vs. P&amp;L amortization).</t>
  </si>
  <si>
    <t xml:space="preserve">   Stock-based compensation</t>
  </si>
  <si>
    <t xml:space="preserve">      SBC % of revenue</t>
  </si>
  <si>
    <t xml:space="preserve">H1 FY2026A 4.5%.</t>
  </si>
  <si>
    <t xml:space="preserve">   Deferred income taxes</t>
  </si>
  <si>
    <t xml:space="preserve">   (Gains) losses on investments, net</t>
  </si>
  <si>
    <t xml:space="preserve">   Other non-cash items (incl. contract-manufacturer inventory loss)</t>
  </si>
  <si>
    <t xml:space="preserve">   Changes in operating assets and liabilities:</t>
  </si>
  <si>
    <t xml:space="preserve">      Accounts receivable, net</t>
  </si>
  <si>
    <t xml:space="preserve">      Inventories</t>
  </si>
  <si>
    <t xml:space="preserve">      Prepaid expenses and other assets</t>
  </si>
  <si>
    <t xml:space="preserve">      Accounts payable</t>
  </si>
  <si>
    <t xml:space="preserve">      Accrued and other liabilities</t>
  </si>
  <si>
    <t xml:space="preserve">Cash from operations - continuing</t>
  </si>
  <si>
    <t xml:space="preserve">   Cash from operations - discontinued</t>
  </si>
  <si>
    <t xml:space="preserve">NET CASH FROM OPERATING ACTIVITIES</t>
  </si>
  <si>
    <t xml:space="preserve">INVESTING ACTIVITIES</t>
  </si>
  <si>
    <t xml:space="preserve">   Purchases of property and equipment (capex)</t>
  </si>
  <si>
    <t xml:space="preserve">      Capex % of revenue</t>
  </si>
  <si>
    <t xml:space="preserve">H1 FY2026A 5.5% (1,197 / 21,789) as rack-scale/test capacity builds.</t>
  </si>
  <si>
    <t xml:space="preserve">   Purchases of short-term investments</t>
  </si>
  <si>
    <t xml:space="preserve">Projection default: short-term investments held flat; excess cash accumulates in cash &amp; equivalents.</t>
  </si>
  <si>
    <t xml:space="preserve">   Proceeds from maturities &amp; sales of short-term investments</t>
  </si>
  <si>
    <t xml:space="preserve">   Acquisitions, net of cash acquired</t>
  </si>
  <si>
    <t xml:space="preserve">No M&amp;A assumed in projections.</t>
  </si>
  <si>
    <t xml:space="preserve">   Purchases of long-term / equity-method investments</t>
  </si>
  <si>
    <t xml:space="preserve">   Other investing</t>
  </si>
  <si>
    <t xml:space="preserve">Cash from investing - continuing</t>
  </si>
  <si>
    <t xml:space="preserve">   Cash from investing - discontinued (Sanmina divestiture)</t>
  </si>
  <si>
    <t xml:space="preserve">NET CASH FROM INVESTING ACTIVITIES</t>
  </si>
  <si>
    <t xml:space="preserve">FINANCING ACTIVITIES</t>
  </si>
  <si>
    <t xml:space="preserve">   Proceeds from debt / commercial paper issuance</t>
  </si>
  <si>
    <t xml:space="preserve">   Repayment of debt / commercial paper</t>
  </si>
  <si>
    <t xml:space="preserve">FY2026: current portion (874) assumed repaid without refinancing; maturities thereafter not modelled (assumption).</t>
  </si>
  <si>
    <t xml:space="preserve">   Proceeds from employee equity plans</t>
  </si>
  <si>
    <t xml:space="preserve">   Repurchases of common stock</t>
  </si>
  <si>
    <t xml:space="preserve">Buyback assumption (H1 FY2026A 221). Scenario-independent.</t>
  </si>
  <si>
    <t xml:space="preserve">   Tax withholding on employee equity plans</t>
  </si>
  <si>
    <t xml:space="preserve">   Other financing (incl. contingent consideration)</t>
  </si>
  <si>
    <t xml:space="preserve">NET CASH FROM FINANCING ACTIVITIES</t>
  </si>
  <si>
    <t xml:space="preserve">NET CHANGE IN CASH</t>
  </si>
  <si>
    <t xml:space="preserve">   Beginning cash (incl. restricted cash)</t>
  </si>
  <si>
    <t xml:space="preserve">FY2026E opening uses balance-sheet cash 5,539 (excludes 17 restricted cash in prepaid).</t>
  </si>
  <si>
    <t xml:space="preserve">Ending cash (incl. restricted cash)</t>
  </si>
  <si>
    <t xml:space="preserve">   Check: reported ending cash incl. restricted</t>
  </si>
  <si>
    <t xml:space="preserve">FREE CASH FLOW</t>
  </si>
  <si>
    <t xml:space="preserve">Free cash flow (CFO continuing + capex)</t>
  </si>
  <si>
    <t xml:space="preserve">Matches AMD's non-GAAP FCF definition (FY2025 reported 5,519).</t>
  </si>
  <si>
    <t xml:space="preserve">   FCF margin %</t>
  </si>
  <si>
    <t xml:space="preserve">   FCF per diluted share (USD)</t>
  </si>
  <si>
    <t xml:space="preserve">   FCF less SBC</t>
  </si>
  <si>
    <t xml:space="preserve">AMD - Balance Sheet</t>
  </si>
  <si>
    <t xml:space="preserve">USD millions. FY2023 per 10-K FY2024; FY2024-FY2025 per 10-K FY2025 (FY2025 line-item presentation). Cash is the model plug via the cash flow statement.</t>
  </si>
  <si>
    <t xml:space="preserve">ASSETS</t>
  </si>
  <si>
    <t xml:space="preserve">   Cash and cash equivalents</t>
  </si>
  <si>
    <t xml:space="preserve">   Short-term investments</t>
  </si>
  <si>
    <t xml:space="preserve">   Accounts receivable, net</t>
  </si>
  <si>
    <t xml:space="preserve">      DSO (days of revenue)</t>
  </si>
  <si>
    <t xml:space="preserve">   Inventories</t>
  </si>
  <si>
    <t xml:space="preserve">      DIO (days of cost of sales ex-amortization)</t>
  </si>
  <si>
    <t xml:space="preserve">FY2025A 175.7 days; inventory build ahead of MI450/Helios ramp expected to turn.</t>
  </si>
  <si>
    <t xml:space="preserve">   Prepaid expenses and other current assets</t>
  </si>
  <si>
    <t xml:space="preserve">FY2023 = prepaid 2,312 + other receivables 9 (FY2025 presentation).</t>
  </si>
  <si>
    <t xml:space="preserve">Total current assets</t>
  </si>
  <si>
    <t xml:space="preserve">   Property and equipment, net</t>
  </si>
  <si>
    <t xml:space="preserve">   Goodwill</t>
  </si>
  <si>
    <t xml:space="preserve">   Acquisition-related intangibles, net</t>
  </si>
  <si>
    <t xml:space="preserve">   Deferred tax assets, net</t>
  </si>
  <si>
    <t xml:space="preserve">   Other non-current assets (incl. ROU assets, equity-method investment)</t>
  </si>
  <si>
    <t xml:space="preserve">FY2023 = ROU 633 + equity-method 99 + other 2,805; FY2024 = 623 + 149 + 3,146.</t>
  </si>
  <si>
    <t xml:space="preserve">TOTAL ASSETS</t>
  </si>
  <si>
    <t xml:space="preserve">LIABILITIES</t>
  </si>
  <si>
    <t xml:space="preserve">   Accounts payable</t>
  </si>
  <si>
    <t xml:space="preserve">FY2023/FY2024 include 'accounts payable, other' (363 / 476) to match FY2025 presentation.</t>
  </si>
  <si>
    <t xml:space="preserve">      DPO (days of cost of sales ex-amortization)</t>
  </si>
  <si>
    <t xml:space="preserve">FY2025A 65.0; Q2 FY2026A payables 5,359 (elevated).</t>
  </si>
  <si>
    <t xml:space="preserve">   Accrued liabilities</t>
  </si>
  <si>
    <t xml:space="preserve">   Current portion of long-term debt, net</t>
  </si>
  <si>
    <t xml:space="preserve">   Other current liabilities</t>
  </si>
  <si>
    <t xml:space="preserve">Total current liabilities</t>
  </si>
  <si>
    <t xml:space="preserve">   Long-term debt, net of current portion</t>
  </si>
  <si>
    <t xml:space="preserve">   Long-term operating lease liabilities</t>
  </si>
  <si>
    <t xml:space="preserve">   Deferred tax liabilities</t>
  </si>
  <si>
    <t xml:space="preserve">   Other long-term liabilities</t>
  </si>
  <si>
    <t xml:space="preserve">TOTAL LIABILITIES</t>
  </si>
  <si>
    <t xml:space="preserve">STOCKHOLDERS' EQUITY</t>
  </si>
  <si>
    <t xml:space="preserve">   Common stock + additional paid-in capital</t>
  </si>
  <si>
    <t xml:space="preserve">Common stock (17) + APIC. Tax withholding charged to APIC in projections (historically to treasury).</t>
  </si>
  <si>
    <t xml:space="preserve">   Treasury stock</t>
  </si>
  <si>
    <t xml:space="preserve">AMD retired 7,655 of treasury stock in Q2 FY2026 (reclass within equity, no effect on total); not modelled.</t>
  </si>
  <si>
    <t xml:space="preserve">   Retained earnings</t>
  </si>
  <si>
    <t xml:space="preserve">   Accumulated other comprehensive loss</t>
  </si>
  <si>
    <t xml:space="preserve">TOTAL STOCKHOLDERS' EQUITY</t>
  </si>
  <si>
    <t xml:space="preserve">TOTAL LIABILITIES + EQUITY</t>
  </si>
  <si>
    <t xml:space="preserve">BALANCE CHECK (assets - liabilities - equity)</t>
  </si>
  <si>
    <t xml:space="preserve">Balance status</t>
  </si>
  <si>
    <t xml:space="preserve">   Check: reported total assets</t>
  </si>
  <si>
    <t xml:space="preserve">   Check: reported total equity</t>
  </si>
  <si>
    <t xml:space="preserve">KEY BALANCE SHEET METRICS</t>
  </si>
  <si>
    <t xml:space="preserve">   Total debt</t>
  </si>
  <si>
    <t xml:space="preserve">   Cash + short-term investments</t>
  </si>
  <si>
    <t xml:space="preserve">   Net cash (debt)</t>
  </si>
  <si>
    <t xml:space="preserve">   Current ratio (x)</t>
  </si>
  <si>
    <t xml:space="preserve">   Debt / equity (x)</t>
  </si>
  <si>
    <t xml:space="preserve">   Operating net working capital (AR + inventory + prepaid - AP - accrued - other CL)</t>
  </si>
  <si>
    <t xml:space="preserve">   ROIC (NOPAT / (equity + debt - cash &amp; STI)), %</t>
  </si>
  <si>
    <t xml:space="preserve">Historical uses 15% notional tax. Invested capital includes ~42bn of goodwill/intangibles, depressing ROIC.</t>
  </si>
  <si>
    <t xml:space="preserve">AMD - Scenarios (Bull / Base / Bear)</t>
  </si>
  <si>
    <t xml:space="preserve">USD millions. Blue = input. Change cell C4 to switch the scenario that flows through all three statements.</t>
  </si>
  <si>
    <t xml:space="preserve">ACTIVE SCENARIO (1 = Bull, 2 = Base, 3 = Bear)</t>
  </si>
  <si>
    <t xml:space="preserve">Scenario drivers</t>
  </si>
  <si>
    <t xml:space="preserve">Data Center AI (Instinct/Helios) revenue growth</t>
  </si>
  <si>
    <t xml:space="preserve">   Bull</t>
  </si>
  <si>
    <t xml:space="preserve">   Base</t>
  </si>
  <si>
    <t xml:space="preserve">Bull: OpenAI 6 GW + Anthropic 2 GW ramp on schedule, MI500 share gains. Base: 1 GW OpenAI + Anthropic/Meta/Oracle Helios in H2 2026, slower ramp than mgmt &gt;80% CAGR target. Bear: Helios delays/customer pauses.</t>
  </si>
  <si>
    <t xml:space="preserve">   Bear</t>
  </si>
  <si>
    <t xml:space="preserve">   Active (feeds model)</t>
  </si>
  <si>
    <t xml:space="preserve">Server CPU &amp; other Data Center revenue growth</t>
  </si>
  <si>
    <t xml:space="preserve">EPYC Venice share gains toward &gt;50% (mgmt target) + agentic-AI CPU demand; bear = Arm/Intel pressure.</t>
  </si>
  <si>
    <t xml:space="preserve">Client revenue growth</t>
  </si>
  <si>
    <t xml:space="preserve">FY2026 anchored on H1 2026 Client 5,952 (Q1 est. 2,890 + Q2 3,062).</t>
  </si>
  <si>
    <t xml:space="preserve">Gaming revenue growth</t>
  </si>
  <si>
    <t xml:space="preserve">Late console cycle in 2026; next-gen Sony/Microsoft console ramp assumed FY2028.</t>
  </si>
  <si>
    <t xml:space="preserve">Embedded revenue growth</t>
  </si>
  <si>
    <t xml:space="preserve">Cyclical recovery after FY2024-25 inventory correction; Q2 FY2026 +19% YoY.</t>
  </si>
  <si>
    <t xml:space="preserve">Cost of sales ex-amortization, % of revenue</t>
  </si>
  <si>
    <t xml:space="preserve">FY2025A 47.5%; Q2 FY2026A 44.0%. Rack-scale pass-through content (bear) dilutes margin.</t>
  </si>
  <si>
    <t xml:space="preserve">R&amp;D, % of revenue</t>
  </si>
  <si>
    <t xml:space="preserve">FY2025A 23.4%; H1 FY2026A 22.6%.</t>
  </si>
  <si>
    <t xml:space="preserve">MG&amp;A, % of revenue</t>
  </si>
  <si>
    <t xml:space="preserve">FY2025A 12.0%; H1 FY2026A 12.2%.</t>
  </si>
  <si>
    <t xml:space="preserve">Memo: incremental net working capital, % of revenue change (compact scenario FCF only)</t>
  </si>
  <si>
    <t xml:space="preserve">Simplified assumption for the side-by-side scenario outputs below; the active scenario's full 3-statement FCF is on the Cash Flow Statement tab.</t>
  </si>
  <si>
    <t xml:space="preserve">SIDE-BY-SIDE SCENARIO OUTPUTS (compact recomputation of all three cases)</t>
  </si>
  <si>
    <t xml:space="preserve">Bull case</t>
  </si>
  <si>
    <t xml:space="preserve">   Data Center AI revenue</t>
  </si>
  <si>
    <t xml:space="preserve">   Server CPU &amp; other DC revenue</t>
  </si>
  <si>
    <t xml:space="preserve">   Client revenue</t>
  </si>
  <si>
    <t xml:space="preserve">   Gaming revenue</t>
  </si>
  <si>
    <t xml:space="preserve">   Embedded revenue</t>
  </si>
  <si>
    <t xml:space="preserve">Total revenue</t>
  </si>
  <si>
    <t xml:space="preserve">   Revenue growth %</t>
  </si>
  <si>
    <t xml:space="preserve">   Operating income (GAAP)</t>
  </si>
  <si>
    <t xml:space="preserve">   Net income (uses active-case interest/other income and tax rate)</t>
  </si>
  <si>
    <t xml:space="preserve">   Free cash flow (simplified)</t>
  </si>
  <si>
    <t xml:space="preserve">Base case</t>
  </si>
  <si>
    <t xml:space="preserve">Bear case</t>
  </si>
  <si>
    <t xml:space="preserve">SCENARIO SUMMARY (FY2030E unless stated)</t>
  </si>
  <si>
    <t xml:space="preserve">Metric</t>
  </si>
  <si>
    <t xml:space="preserve">Bull</t>
  </si>
  <si>
    <t xml:space="preserve">Base</t>
  </si>
  <si>
    <t xml:space="preserve">Bear</t>
  </si>
  <si>
    <t xml:space="preserve">FY2030E revenue</t>
  </si>
  <si>
    <t xml:space="preserve">Revenue CAGR FY2025A-FY2030E %</t>
  </si>
  <si>
    <t xml:space="preserve">FY2026E revenue</t>
  </si>
  <si>
    <t xml:space="preserve">FY2026E operating margin %</t>
  </si>
  <si>
    <t xml:space="preserve">FY2030E operating income</t>
  </si>
  <si>
    <t xml:space="preserve">FY2030E operating margin %</t>
  </si>
  <si>
    <t xml:space="preserve">FY2030E net income</t>
  </si>
  <si>
    <t xml:space="preserve">FY2030E diluted EPS (USD)</t>
  </si>
  <si>
    <t xml:space="preserve">FY2030E free cash flow</t>
  </si>
  <si>
    <t xml:space="preserve">FY2030E FCF margin %</t>
  </si>
  <si>
    <t xml:space="preserve">Cumulative FCF FY2026E-FY2030E</t>
  </si>
  <si>
    <t xml:space="preserve">Tie-out: active case revenue in compact model less 3-statement model, FY2030E (should be 0)</t>
  </si>
  <si>
    <t xml:space="preserve">Tie-out: active case operating income, FY2030E (should be 0)</t>
  </si>
  <si>
    <t xml:space="preserve">Bull: MI450/Helios ships on schedule in H2 2026; OpenAI tranches beyond 1 GW and Anthropic 2 GW ramp; MI500 (2027) keeps pace with Nvidia; EPYC passes 50% server revenue share; console refresh FY2028.</t>
  </si>
  <si>
    <t xml:space="preserve">Base: H2 2026 ramp per Q3 FY2026 guide (~13,000), FY2026E revenue ~49bn; AI GPU growth decelerates from ~170% to 20% by FY2030; margins expand on mix and opex leverage but stay below mgmt's &gt;35% non-GAAP operating margin target on a GAAP basis.</t>
  </si>
  <si>
    <t xml:space="preserve">Bear: rack-scale delays and customer pauses (AI-lab funding), custom-ASIC share gains, export-control tightening; rack pass-through content holds cost of sales at ~47% of revenue; little opex leverage.</t>
  </si>
  <si>
    <t xml:space="preserve">AMD - DCF Inputs (prepared for Task 3)</t>
  </si>
  <si>
    <t xml:space="preserve">USD millions. Unlevered free cash flow from the active scenario. SBC treated as a cash expense (not added back).</t>
  </si>
  <si>
    <t xml:space="preserve">UNLEVERED FREE CASH FLOW</t>
  </si>
  <si>
    <t xml:space="preserve">Revenue</t>
  </si>
  <si>
    <t xml:space="preserve">EBIT (GAAP operating income)</t>
  </si>
  <si>
    <t xml:space="preserve">   Tax rate %</t>
  </si>
  <si>
    <t xml:space="preserve">   Less: taxes on EBIT</t>
  </si>
  <si>
    <t xml:space="preserve">NOPAT</t>
  </si>
  <si>
    <t xml:space="preserve">   Add: D&amp;A (PP&amp;E)</t>
  </si>
  <si>
    <t xml:space="preserve">   Add: amortization of acquisition-related intangibles</t>
  </si>
  <si>
    <t xml:space="preserve">   Less: capex</t>
  </si>
  <si>
    <t xml:space="preserve">   Less: increase in operating net working capital</t>
  </si>
  <si>
    <t xml:space="preserve">   UFCF margin %</t>
  </si>
  <si>
    <t xml:space="preserve">   Memo: SBC (not added back)</t>
  </si>
  <si>
    <t xml:space="preserve">TERMINAL YEAR (FY2030E) METRICS</t>
  </si>
  <si>
    <t xml:space="preserve">FY2030E EBITDA</t>
  </si>
  <si>
    <t xml:space="preserve">FY2030E EBIT</t>
  </si>
  <si>
    <t xml:space="preserve">FY2030E unlevered FCF</t>
  </si>
  <si>
    <t xml:space="preserve">CAPITAL STRUCTURE &amp; MARKET DATA (for equity bridge)</t>
  </si>
  <si>
    <t xml:space="preserve">Share price (USD), 2026-10-13 close</t>
  </si>
  <si>
    <t xml:space="preserve">Source: stockevents.app/en/stock/AMD (accessed 2026-10-14).</t>
  </si>
  <si>
    <t xml:space="preserve">Diluted shares (m), Q2 FY2026 weighted average</t>
  </si>
  <si>
    <t xml:space="preserve">Source: 10-Q Q2 FY2026 (filed 2026-08-05).</t>
  </si>
  <si>
    <t xml:space="preserve">Market capitalisation (USD m)</t>
  </si>
  <si>
    <t xml:space="preserve">Price x diluted shares.</t>
  </si>
  <si>
    <t xml:space="preserve">Total debt, 2026-06-27</t>
  </si>
  <si>
    <t xml:space="preserve">Source: 10-Q Q2 FY2026 (875 current + 2,351 long-term).</t>
  </si>
  <si>
    <t xml:space="preserve">Cash + short-term investments, 2026-06-27</t>
  </si>
  <si>
    <t xml:space="preserve">Source: 10-Q Q2 FY2026.</t>
  </si>
  <si>
    <t xml:space="preserve">Enterprise value (USD m)</t>
  </si>
  <si>
    <t xml:space="preserve">Market cap + debt - cash &amp; STI.</t>
  </si>
  <si>
    <t xml:space="preserve">EV / FY2026E revenue (x)</t>
  </si>
  <si>
    <t xml:space="preserve">EV / FY2026E EBITDA (x)</t>
  </si>
  <si>
    <t xml:space="preserve">P/E FY2026E diluted (x)</t>
  </si>
  <si>
    <t xml:space="preserve">OpenAI warrant - potential shares (m), not in share count</t>
  </si>
  <si>
    <t xml:space="preserve">Source: AMD/OpenAI press release 2025-10-06; vests on deployment + share-price milestones.</t>
  </si>
  <si>
    <t xml:space="preserve">AMD - Discounted Cash Flow (two-stage, mid-year convention)</t>
  </si>
  <si>
    <t xml:space="preserve">USD millions except per-share. Valuation date 2026-10-13. Stage 1 = FY2026E-FY2030E from model (active scenario); Stage 2 = FY2031E-FY2035E fade; Gordon-growth terminal value.</t>
  </si>
  <si>
    <t xml:space="preserve">WACC</t>
  </si>
  <si>
    <t xml:space="preserve">Risk-free rate (US 10-year Treasury, 2026-10-13)</t>
  </si>
  <si>
    <t xml:space="preserve">Source: US Treasury Daily Par Yield Curve, 10 Yr = 5.21% on 2026-10-13 (home.treasury.gov).</t>
  </si>
  <si>
    <t xml:space="preserve">AMD raw beta (5Y monthly vs. S&amp;P 500)</t>
  </si>
  <si>
    <t xml:space="preserve">Source: stockanalysis.com AMD statistics (accessed 2026-10-14).</t>
  </si>
  <si>
    <t xml:space="preserve">Blume-adjusted beta (0.67 x raw + 0.33)</t>
  </si>
  <si>
    <t xml:space="preserve">Adjusts raw beta toward 1.0.</t>
  </si>
  <si>
    <t xml:space="preserve">Peer median raw beta (NVDA, AVGO, INTC, QCOM)</t>
  </si>
  <si>
    <t xml:space="preserve">From Comps tab.</t>
  </si>
  <si>
    <t xml:space="preserve">Selected beta (average of Blume-adjusted and peer median)</t>
  </si>
  <si>
    <t xml:space="preserve">Equity risk premium</t>
  </si>
  <si>
    <t xml:space="preserve">Assumption: 5.0% (mid of the 4.5-5.5% range commonly used).</t>
  </si>
  <si>
    <t xml:space="preserve">Cost of equity (CAPM)</t>
  </si>
  <si>
    <t xml:space="preserve">Credit spread over Treasury (A-rated)</t>
  </si>
  <si>
    <t xml:space="preserve">Assumption.</t>
  </si>
  <si>
    <t xml:space="preserve">Pre-tax cost of debt</t>
  </si>
  <si>
    <t xml:space="preserve">Tax rate</t>
  </si>
  <si>
    <t xml:space="preserve">Model long-run ETR.</t>
  </si>
  <si>
    <t xml:space="preserve">After-tax cost of debt</t>
  </si>
  <si>
    <t xml:space="preserve">Market value of equity (USD m)</t>
  </si>
  <si>
    <t xml:space="preserve">Price 605.53 x 1,659m diluted shares.</t>
  </si>
  <si>
    <t xml:space="preserve">Debt (USD m, book)</t>
  </si>
  <si>
    <t xml:space="preserve">Total debt 2026-06-27.</t>
  </si>
  <si>
    <t xml:space="preserve">Weight of equity</t>
  </si>
  <si>
    <t xml:space="preserve">Weight of debt</t>
  </si>
  <si>
    <t xml:space="preserve">Terminal growth rate</t>
  </si>
  <si>
    <t xml:space="preserve">Assumption: 3.0% nominal (below long-run nominal GDP + secular compute demand).</t>
  </si>
  <si>
    <t xml:space="preserve">Fraction of FY2026E remaining after valuation date</t>
  </si>
  <si>
    <t xml:space="preserve">2026-10-13 to FY-end 2026-12-26 = ~74 days / 365.</t>
  </si>
  <si>
    <t xml:space="preserve">Terminal (FY2035E) unlevered FCF margin</t>
  </si>
  <si>
    <t xml:space="preserve">Assumption: stage-2 margin glides linearly from FY2030E level to 30%.</t>
  </si>
  <si>
    <t xml:space="preserve">FY2031E</t>
  </si>
  <si>
    <t xml:space="preserve">FY2032E</t>
  </si>
  <si>
    <t xml:space="preserve">FY2033E</t>
  </si>
  <si>
    <t xml:space="preserve">FY2034E</t>
  </si>
  <si>
    <t xml:space="preserve">FY2035E</t>
  </si>
  <si>
    <t xml:space="preserve">Notes</t>
  </si>
  <si>
    <t xml:space="preserve">Stage</t>
  </si>
  <si>
    <t xml:space="preserve">1</t>
  </si>
  <si>
    <t xml:space="preserve">2</t>
  </si>
  <si>
    <t xml:space="preserve">Revenue growth %</t>
  </si>
  <si>
    <t xml:space="preserve">Stage 2 growth fade (inputs): 12% / 10% / 8% / 6% / 4.5%.</t>
  </si>
  <si>
    <t xml:space="preserve">Unlevered FCF margin %</t>
  </si>
  <si>
    <t xml:space="preserve">Unlevered free cash flow</t>
  </si>
  <si>
    <t xml:space="preserve">Stage 1 from 'DCF Inputs' (NOPAT + D&amp;A + amortization - capex - change in NWC; SBC treated as a cash cost).</t>
  </si>
  <si>
    <t xml:space="preserve">Fraction of year valued</t>
  </si>
  <si>
    <t xml:space="preserve">UFCF valued</t>
  </si>
  <si>
    <t xml:space="preserve">Discount period (years, mid-year)</t>
  </si>
  <si>
    <t xml:space="preserve">Mid-year convention; FY2026E stub discounted at half the stub.</t>
  </si>
  <si>
    <t xml:space="preserve">Discount factor</t>
  </si>
  <si>
    <t xml:space="preserve">PV of UFCF</t>
  </si>
  <si>
    <t xml:space="preserve">Stage-2 step (k)</t>
  </si>
  <si>
    <t xml:space="preserve">ENTERPRISE VALUE TO EQUITY VALUE</t>
  </si>
  <si>
    <t xml:space="preserve">Sum of PV of UFCF (FY2026E stub - FY2035E)</t>
  </si>
  <si>
    <t xml:space="preserve">Terminal value at end-FY2035E (Gordon growth)</t>
  </si>
  <si>
    <t xml:space="preserve">Discount period for terminal value (years)</t>
  </si>
  <si>
    <t xml:space="preserve">PV of terminal value</t>
  </si>
  <si>
    <t xml:space="preserve">Enterprise value</t>
  </si>
  <si>
    <t xml:space="preserve">Terminal value as % of EV</t>
  </si>
  <si>
    <t xml:space="preserve">Implied terminal multiple of FY2035E UFCF (x)</t>
  </si>
  <si>
    <t xml:space="preserve">Plus: cash + short-term investments (2026-06-27)</t>
  </si>
  <si>
    <t xml:space="preserve">Less: total debt (2026-06-27)</t>
  </si>
  <si>
    <t xml:space="preserve">Equity value</t>
  </si>
  <si>
    <t xml:space="preserve">Diluted shares (m)</t>
  </si>
  <si>
    <t xml:space="preserve">DCF value per share (USD)</t>
  </si>
  <si>
    <t xml:space="preserve">Current share price (USD, 2026-10-13)</t>
  </si>
  <si>
    <t xml:space="preserve">Implied upside / (downside) %</t>
  </si>
  <si>
    <t xml:space="preserve">Memo: value per share incl. OpenAI warrant (160m sh., no proceeds)</t>
  </si>
  <si>
    <t xml:space="preserve">SANITY CHECKS</t>
  </si>
  <si>
    <t xml:space="preserve">Implied EV / FY2026E revenue at DCF value (x)</t>
  </si>
  <si>
    <t xml:space="preserve">Implied P/E on FY2027E GAAP EPS at DCF value (x)</t>
  </si>
  <si>
    <t xml:space="preserve">Market EV / FY2026E revenue at current price (x)</t>
  </si>
  <si>
    <t xml:space="preserve">Note: see Sensitivity tab for the WACC at which the DCF equals the current price.</t>
  </si>
  <si>
    <t xml:space="preserve">AMD - DCF Sensitivity Analysis</t>
  </si>
  <si>
    <t xml:space="preserve">DCF value per share (USD). Every cell recomputes the full two-stage DCF from the DCF tab. Base case outlined in the centre.</t>
  </si>
  <si>
    <t xml:space="preserve">TABLE 1: WACC (rows) vs. TERMINAL GROWTH (columns) - value per share (USD)</t>
  </si>
  <si>
    <t xml:space="preserve">WACC \ g</t>
  </si>
  <si>
    <t xml:space="preserve">TABLE 2: WACC (rows) vs. TERMINAL FY2035E UFCF MARGIN (columns) - value per share (USD)</t>
  </si>
  <si>
    <t xml:space="preserve">WACC \ margin</t>
  </si>
  <si>
    <t xml:space="preserve">TABLE 3: EV / NTM REVENUE MULTIPLE (rows) vs. AMD NTM REVENUE SCENARIO (columns) - value per share (USD)</t>
  </si>
  <si>
    <t xml:space="preserve">Multiple \ case</t>
  </si>
  <si>
    <t xml:space="preserve">NTM revenue (USD m)</t>
  </si>
  <si>
    <t xml:space="preserve">IMPLIED-WACC CHECK: DCF value per share at lower discount rates (base terminal growth)</t>
  </si>
  <si>
    <t xml:space="preserve">Value/sh</t>
  </si>
  <si>
    <t xml:space="preserve">Current price for reference (USD)</t>
  </si>
  <si>
    <t xml:space="preserve">AMD - Trading Comparables (NVDA, AVGO, INTC, QCOM)</t>
  </si>
  <si>
    <t xml:space="preserve">USD millions except per-share. Market data at 2026-10-13 close; LTM financials and estimates per stockanalysis.com (S&amp;P Global Market Intelligence), accessed 2026-10-14.</t>
  </si>
  <si>
    <t xml:space="preserve">Ticker</t>
  </si>
  <si>
    <t xml:space="preserve">Company</t>
  </si>
  <si>
    <t xml:space="preserve">Price (USD)</t>
  </si>
  <si>
    <t xml:space="preserve">Market cap</t>
  </si>
  <si>
    <t xml:space="preserve">LTM revenue</t>
  </si>
  <si>
    <t xml:space="preserve">LTM EBITDA</t>
  </si>
  <si>
    <t xml:space="preserve">LTM net income</t>
  </si>
  <si>
    <t xml:space="preserve">Beta (5Y raw)</t>
  </si>
  <si>
    <t xml:space="preserve">Current FY rev. (cons.)</t>
  </si>
  <si>
    <t xml:space="preserve">Next FY rev. (est.)</t>
  </si>
  <si>
    <t xml:space="preserve">Weight on current FY in NTM</t>
  </si>
  <si>
    <t xml:space="preserve">NTM revenue</t>
  </si>
  <si>
    <t xml:space="preserve">EV / LTM revenue</t>
  </si>
  <si>
    <t xml:space="preserve">EV / NTM revenue</t>
  </si>
  <si>
    <t xml:space="preserve">EV / LTM EBITDA</t>
  </si>
  <si>
    <t xml:space="preserve">LTM P/E</t>
  </si>
  <si>
    <t xml:space="preserve">Forward P/E (cons.)</t>
  </si>
  <si>
    <t xml:space="preserve">LTM EBITDA margin</t>
  </si>
  <si>
    <t xml:space="preserve">NTM revenue growth vs LTM</t>
  </si>
  <si>
    <t xml:space="preserve">NVDA</t>
  </si>
  <si>
    <t xml:space="preserve">NVIDIA Corp.</t>
  </si>
  <si>
    <t xml:space="preserve">FY ends late Jan. Current FY = FY2027 (Jan-2027) consensus 411.65bn. Next FY (FY2028) ESTIMATE = +50% (mgmt outlook implies ~70% per S&amp;P Global 2026-09-04; haircut applied). NTM = 1/3 FY27 + 2/3 FY28.</t>
  </si>
  <si>
    <t xml:space="preserve">AVGO</t>
  </si>
  <si>
    <t xml:space="preserve">Broadcom Inc.</t>
  </si>
  <si>
    <t xml:space="preserve">FY ends Oct-31. FY2026 consensus 105.97bn (nearly complete). FY2027 ESTIMATE 157bn = ~115bn AI semiconductor revenue target (Sentisense 2026-09-08) + ~42bn non-AI. NTM = FY2027.</t>
  </si>
  <si>
    <t xml:space="preserve">INTC</t>
  </si>
  <si>
    <t xml:space="preserve">Intel Corp.</t>
  </si>
  <si>
    <t xml:space="preserve">FY ends Dec. FY2026 consensus 63.13bn; FY2027 ESTIMATE +8%. NTM = 0.2 x FY26 + 0.8 x FY27. LTM net loss -&gt; P/E n/m.</t>
  </si>
  <si>
    <t xml:space="preserve">QCOM</t>
  </si>
  <si>
    <t xml:space="preserve">QUALCOMM Inc.</t>
  </si>
  <si>
    <t xml:space="preserve">FY ends late Sep. FY2026 (Sep-2026) consensus 42.88bn; FY2027 ESTIMATE +4%. NTM = FY2027.</t>
  </si>
  <si>
    <t xml:space="preserve">STATISTICAL SUMMARY (peer set, n = 4)</t>
  </si>
  <si>
    <t xml:space="preserve">Maximum</t>
  </si>
  <si>
    <t xml:space="preserve">75th percentile</t>
  </si>
  <si>
    <t xml:space="preserve">Median</t>
  </si>
  <si>
    <t xml:space="preserve">25th percentile</t>
  </si>
  <si>
    <t xml:space="preserve">Minimum</t>
  </si>
  <si>
    <t xml:space="preserve">TARGET: AMD (model base case; market data 2026-10-13)</t>
  </si>
  <si>
    <t xml:space="preserve">AMD</t>
  </si>
  <si>
    <t xml:space="preserve">Advanced Micro Devices</t>
  </si>
  <si>
    <t xml:space="preserve">LTM revenue = Q3 FY25 9,246 (FY25 less H1 less Q4) + Q4 FY25 10,270 + Q1 FY26 10,253 + Q2 FY26 11,536. LTM NI = H2 FY25 (4,335-1,581) + H1 FY26 3,680. LTM EBITDA 9,560 and beta 2.45 per stockanalysis.com. NTM revenue = 0.25 x FY2026E + 0.75 x FY2027E (model base case). Forward P/E 54.53 per stockanalysis (consensus non-GAAP).</t>
  </si>
  <si>
    <t xml:space="preserve">COMPS-IMPLIED VALUE FOR AMD - EV / NTM REVENUE (primary multiple)</t>
  </si>
  <si>
    <t xml:space="preserve">Multiple (x)</t>
  </si>
  <si>
    <t xml:space="preserve">AMD NTM revenue</t>
  </si>
  <si>
    <t xml:space="preserve">Implied EV</t>
  </si>
  <si>
    <t xml:space="preserve">Plus: net cash</t>
  </si>
  <si>
    <t xml:space="preserve">Value / share (USD)</t>
  </si>
  <si>
    <t xml:space="preserve">vs. price</t>
  </si>
  <si>
    <t xml:space="preserve">Peer 25th percentile</t>
  </si>
  <si>
    <t xml:space="preserve">Peer Median</t>
  </si>
  <si>
    <t xml:space="preserve">Peer 75th percentile</t>
  </si>
  <si>
    <t xml:space="preserve">CROSS-CHECK (not weighted): PEER MEDIAN FORWARD P/E x AMD NTM ADJUSTED EPS</t>
  </si>
  <si>
    <t xml:space="preserve">Peer median forward P/E (x)</t>
  </si>
  <si>
    <t xml:space="preserve">AMD NTM adjusted EPS (model, 0.25 x FY26E + 0.75 x FY27E)</t>
  </si>
  <si>
    <t xml:space="preserve">Implied value per share (USD)</t>
  </si>
  <si>
    <t xml:space="preserve">Peer median EV/LTM EBITDA x AMD LTM EBITDA -&gt; value per share (USD)</t>
  </si>
  <si>
    <t xml:space="preserve">Peer rationale: NVDA = direct AI GPU/rack competitor and market-share leader; INTC = x86 CPU duopoly peer (server and client); AVGO = custom AI ASIC + networking competitor for hyperscaler budgets; QCOM = Arm PC entrant and diversified fabless SoC peer. Peer set as specified by the user.</t>
  </si>
  <si>
    <t xml:space="preserve">Primary multiple = EV/NTM revenue because AMD's GAAP earnings are depressed by ~2.2bn/yr of Xilinx/ZT amortization and margins are still ramping; P/E and EV/EBITDA shown as cross-checks only.</t>
  </si>
  <si>
    <t xml:space="preserve">AMD - Valuation Summary, Price Target &amp; Rating</t>
  </si>
  <si>
    <t xml:space="preserve">USD per share unless stated. Football-field ranges; weights are inputs (blue).</t>
  </si>
  <si>
    <t xml:space="preserve">Method</t>
  </si>
  <si>
    <t xml:space="preserve">Low</t>
  </si>
  <si>
    <t xml:space="preserve">High</t>
  </si>
  <si>
    <t xml:space="preserve">Weight</t>
  </si>
  <si>
    <t xml:space="preserve">Weighted</t>
  </si>
  <si>
    <t xml:space="preserve">Basis</t>
  </si>
  <si>
    <t xml:space="preserve">DCF (two-stage, base case)</t>
  </si>
  <si>
    <t xml:space="preserve">Low = WACC +1pt / g -0.5pt; High = WACC -1pt / g +0.5pt (Sensitivity Table 1).</t>
  </si>
  <si>
    <t xml:space="preserve">Trading comps - EV / NTM revenue</t>
  </si>
  <si>
    <t xml:space="preserve">Peer 25th / median / 75th percentile EV/NTM revenue (NVDA, AVGO, INTC, QCOM) x AMD NTM revenue (model base).</t>
  </si>
  <si>
    <t xml:space="preserve">Cross-check: peer median forward P/E x NTM adj. EPS</t>
  </si>
  <si>
    <t xml:space="preserve">Not weighted.</t>
  </si>
  <si>
    <t xml:space="preserve">Cross-check: peer median EV/LTM EBITDA</t>
  </si>
  <si>
    <t xml:space="preserve">Scenario DCF (Bear / Base / Bull)</t>
  </si>
  <si>
    <t xml:space="preserve">Bear and Bull values are static outputs from flipping Scenarios!C4 and recalculating (see note).</t>
  </si>
  <si>
    <t xml:space="preserve">52-week trading range (reference)</t>
  </si>
  <si>
    <t xml:space="preserve">Source: stockevents.app (accessed 2026-10-14).</t>
  </si>
  <si>
    <t xml:space="preserve">Consensus price target (reference)</t>
  </si>
  <si>
    <t xml:space="preserve">Source: stockanalysis.com AMD forecast (average of analysts, accessed 2026-10-14).</t>
  </si>
  <si>
    <t xml:space="preserve">PRICE TARGET &amp; RATING</t>
  </si>
  <si>
    <t xml:space="preserve">Check: sum of weights</t>
  </si>
  <si>
    <t xml:space="preserve">Weighted value per share (USD)</t>
  </si>
  <si>
    <t xml:space="preserve">12-month price target (rounded to nearest USD 5)</t>
  </si>
  <si>
    <t xml:space="preserve">Current price (USD, 2026-10-13 close)</t>
  </si>
  <si>
    <t xml:space="preserve">BUY threshold (upside above)</t>
  </si>
  <si>
    <t xml:space="preserve">SELL threshold (downside below)</t>
  </si>
  <si>
    <t xml:space="preserve">Rating</t>
  </si>
  <si>
    <t xml:space="preserve">Weights: DCF 50% (intrinsic, captures the multi-year AI ramp) / trading comps 50% (market-relative). No precedent transactions: AMD (~USD 1tn market cap) is not a plausible takeover target and no comparable-scale semiconductor control transactions exist.</t>
  </si>
  <si>
    <t xml:space="preserve">Rating rule: BUY if 12-month upside &gt; +15%; SELL if &lt; -15%; otherwise HOLD. Price target is not rolled forward (present-value basis).</t>
  </si>
  <si>
    <t xml:space="preserve">AMD - Quarterly Historical (last 4 reported quarters used)</t>
  </si>
  <si>
    <t xml:space="preserve">USD millions. Q2 figures per 10-Q Q2 FY2026 (filed 2026-08-05); Q1 = six months less Q2. Q1 FY2026 segment split partly estimated.</t>
  </si>
  <si>
    <t xml:space="preserve">Q1 FY2025A</t>
  </si>
  <si>
    <t xml:space="preserve">Q2 FY2025A</t>
  </si>
  <si>
    <t xml:space="preserve">Q1 FY2026A</t>
  </si>
  <si>
    <t xml:space="preserve">Q2 FY2026A</t>
  </si>
  <si>
    <t xml:space="preserve">SEGMENT REVENUE</t>
  </si>
  <si>
    <t xml:space="preserve">Q1/Q2 FY2025 and Q1 FY2026 from earnings releases (model knowledge / derived); Q1 FY2026 DC = total less Client 2,890 (est.), Gaming 718 (est.), Embedded 873.</t>
  </si>
  <si>
    <t xml:space="preserve">   Client</t>
  </si>
  <si>
    <t xml:space="preserve">   Gaming</t>
  </si>
  <si>
    <t xml:space="preserve">   Check: reported net revenue</t>
  </si>
  <si>
    <t xml:space="preserve">   YoY revenue growth %</t>
  </si>
  <si>
    <t xml:space="preserve">   Data Center YoY growth %</t>
  </si>
  <si>
    <t xml:space="preserve">INCOME STATEMENT</t>
  </si>
  <si>
    <t xml:space="preserve">   Amortization (COGS)</t>
  </si>
  <si>
    <t xml:space="preserve">Gross profit</t>
  </si>
  <si>
    <t xml:space="preserve">   Gross margin %</t>
  </si>
  <si>
    <t xml:space="preserve">   Marketing, general &amp; administrative</t>
  </si>
  <si>
    <t xml:space="preserve">   Amortization (opex)</t>
  </si>
  <si>
    <t xml:space="preserve">Operating income (loss)</t>
  </si>
  <si>
    <t xml:space="preserve">Pre-tax income</t>
  </si>
  <si>
    <t xml:space="preserve">   Discontinued operations, net of tax</t>
  </si>
  <si>
    <t xml:space="preserve">   Diluted shares (m)</t>
  </si>
  <si>
    <t xml:space="preserve">Q1 FY2025 / Q1 FY2026 diluted shares derived (approximate).</t>
  </si>
  <si>
    <t xml:space="preserve">   Diluted EPS (USD, reported)</t>
  </si>
  <si>
    <t xml:space="preserve">Q1 EPS = 6M less Q2 (approximate; Q1 FY2026 reported 0.84 per 6M 2.22 - Q2 1.38).</t>
  </si>
  <si>
    <t xml:space="preserve">CASH FLOW (quarterly)</t>
  </si>
  <si>
    <t xml:space="preserve">   Cash from operations - continuing</t>
  </si>
  <si>
    <t xml:space="preserve">Q2 FY2025 continuing = 6M 2,401 - Q1 939.</t>
  </si>
  <si>
    <t xml:space="preserve">   Capex</t>
  </si>
  <si>
    <t xml:space="preserve">Free cash flow</t>
  </si>
  <si>
    <t xml:space="preserve">BALANCE SHEET (quarter-end)</t>
  </si>
  <si>
    <t xml:space="preserve">2026-03-28</t>
  </si>
  <si>
    <t xml:space="preserve">2026-06-27</t>
  </si>
  <si>
    <t xml:space="preserve">   Deferred tax assets</t>
  </si>
  <si>
    <t xml:space="preserve">   Other non-current assets</t>
  </si>
  <si>
    <t xml:space="preserve">Total assets</t>
  </si>
  <si>
    <t xml:space="preserve">   Current portion of long-term debt</t>
  </si>
  <si>
    <t xml:space="preserve">   Long-term debt, net</t>
  </si>
  <si>
    <t xml:space="preserve">Total liabilities</t>
  </si>
  <si>
    <t xml:space="preserve">   Total stockholders' equity</t>
  </si>
  <si>
    <t xml:space="preserve">Q2 FY2026 equity reflects retirement of treasury stock (no change in total).</t>
  </si>
  <si>
    <t xml:space="preserve">Balance check (should be 0)</t>
  </si>
  <si>
    <t xml:space="preserve">AMD FINANCIAL MODEL - NOTES &amp; SOURCES</t>
  </si>
  <si>
    <t xml:space="preserve">Prepared 2026-10-14. Units: USD millions except per-share (USD) and share counts (millions). Percentages stored as fractions.</t>
  </si>
  <si>
    <t xml:space="preserve">COLOUR CODE: blue = hardcoded input / reported historical; black = formula; green = link to another sheet; yellow = scenario selector (Scenarios!C4); grey fill = projection input.</t>
  </si>
  <si>
    <t xml:space="preserve">SOURCES</t>
  </si>
  <si>
    <t xml:space="preserve">1. Form 10-K FY2025 (fiscal year ended 2025-12-27), filed 2026-02-04, accession 0000002488-26-000018: income statement (XBRL R3), balance sheet (R5), equity (R7), cash flows (R8), segments (R52), geography (R54). https://www.sec.gov/Archives/edgar/data/2488/000000248826000018/</t>
  </si>
  <si>
    <t xml:space="preserve">2. Form 10-K FY2024, filed 2025-02-05, accession 0000002488-25-000012: FY2023 balance sheet (R5) and FY2022/FY2023 income statement (R3). https://www.sec.gov/Archives/edgar/data/2488/000000248825000012/</t>
  </si>
  <si>
    <t xml:space="preserve">3. Form 10-Q Q2 FY2026 (quarter ended 2026-06-27), filed 2026-08-05, accession 0000002488-26-000123: income statement (R2), balance sheet (R4), cash flows (R6), equity (R7).</t>
  </si>
  <si>
    <t xml:space="preserve">4. Form 10-Q Q1 FY2026 (quarter ended 2026-03-28), filed 2026-05-06, accession 0000002488-26-000076: balance sheet (R4), cash flows (R6).</t>
  </si>
  <si>
    <t xml:space="preserve">5. AMD Q2 FY2026 earnings release (2026-08-04) - segment revenue, Q3 FY2026 guidance (~13,000 +/- 300). https://ir.amd.com/news-events/press-releases/detail/1295/</t>
  </si>
  <si>
    <t xml:space="preserve">6. AMD Q1 FY2026 earnings release via HPCwire - Q1 FY2026 segment revenue (rounded). https://www.hpcwire.com/off-the-wire/amd-reports-1st-quarter-2026-financial-results/</t>
  </si>
  <si>
    <t xml:space="preserve">7. Share price 605.53 (2026-10-13 close): https://stockevents.app/en/stock/AMD</t>
  </si>
  <si>
    <t xml:space="preserve">8. Task 1 research document: AMD_Research_Document_2026-10-14.md (business context, OpenAI 6 GW / Anthropic 2 GW, long-term targets).</t>
  </si>
  <si>
    <t xml:space="preserve">KEY MODELLING CHOICES / ESTIMATES</t>
  </si>
  <si>
    <t xml:space="preserve">- Historical years: FY2023A-FY2025A (3 years, full three statements). FY2022 revenue (23,601) used only as a reference. Quarterly history: Q1 FY2025-Q2 FY2026 (4 quarters) on the Quarterly Hist tab.</t>
  </si>
  <si>
    <t xml:space="preserve">- Data Center AI GPU vs. server CPU split is an ESTIMATE (AMD does not disclose): FY2023 400, FY2024 5,000, FY2025 6,500.</t>
  </si>
  <si>
    <t xml:space="preserve">- Q1 FY2026 Client (2,890) and Gaming (718) derived from rounded YoY growth in the earnings release; Q1 FY2026 Data Center (5,772) is the residual. Q1/Q2 FY2025 segment revenue from model knowledge.</t>
  </si>
  <si>
    <t xml:space="preserve">- Balance sheet line items harmonised to the FY2025 10-K presentation (other receivables in prepaid; ROU and equity-method investment in other non-current assets; accounts payable 'other' in AP). Common stock combined with APIC.</t>
  </si>
  <si>
    <t xml:space="preserve">- MG&amp;A for FY2023/FY2024 shown net of licensing gain (34 / 48), as presented in the FY2025 10-K.</t>
  </si>
  <si>
    <t xml:space="preserve">- Projections: short-term investments, goodwill, deferred taxes, lease and other long-term liabilities held flat; no M&amp;A; current debt (874) repaid in FY2026 with no refinancing; buybacks 1,500 / 3,000 / 5,000 / 7,000 / 9,000.</t>
  </si>
  <si>
    <t xml:space="preserve">- Interest expense and other income use prior-year-end balances (no circular references).</t>
  </si>
  <si>
    <t xml:space="preserve">- OpenAI warrant (up to 160m shares) excluded from diluted shares; would dilute EPS by up to ~9% if fully vested.</t>
  </si>
  <si>
    <t xml:space="preserve">- Treasury stock retirement in Q2 FY2026 (7,655) is a reclassification within equity and is not modelled in the annual roll-forward.</t>
  </si>
  <si>
    <t xml:space="preserve">- A 10-K/A for FY2025 (accession 0000002488-26-000021) exists; its content/filing date was not reviewed. Figures here come from the original 10-K.</t>
  </si>
  <si>
    <t xml:space="preserve">- Discontinued operations (ZT Systems manufacturing, sold to Sanmina) included in historical net income and cash flow; none projected.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</si>
</sst>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;\(#,##0\);\-"/>
    <numFmt numFmtId="166" formatCode="0.0%;\(0.0%\);\-"/>
    <numFmt numFmtId="167" formatCode="0.00;\(0.00\);\-"/>
    <numFmt numFmtId="168" formatCode="#,##0.0;\(#,##0.0\);\-"/>
    <numFmt numFmtId="169" formatCode="@"/>
    <numFmt numFmtId="170" formatCode="0.0\x"/>
    <numFmt numFmtId="171" formatCode="0.00\x"/>
    <numFmt numFmtId="172" formatCode="0.00"/>
    <numFmt numFmtId="173" formatCode="0.000"/>
    <numFmt numFmtId="174" formatCode="0"/>
    <numFmt numFmtId="175" formatCode="\$#,##0.00;&quot;($&quot;#,##0.00\);\-"/>
    <numFmt numFmtId="176" formatCode="\$#,##0.00;&quot;($&quot;#,##0.00\);\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>
        <color rgb="FF808080"/>
      </top>
      <bottom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1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10" min="2" style="1" width="12"/>
    <col collapsed="false" customWidth="true" hidden="false" outlineLevel="0" max="11" min="11" style="1" width="70"/>
  </cols>
  <sheetData>
    <row r="1" customFormat="false" ht="17.25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customFormat="false" ht="15" hidden="false" customHeight="true" outlineLevel="0" collapsed="false">
      <c r="A2" s="4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15" hidden="false" customHeight="true" outlineLevel="0" collapsed="false">
      <c r="A4" s="5" t="s">
        <v>2</v>
      </c>
      <c r="B4" s="5"/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  <c r="K4" s="5" t="s">
        <v>11</v>
      </c>
    </row>
    <row r="5" customFormat="false" ht="15" hidden="false" customHeight="true" outlineLevel="0" collapsed="false">
      <c r="A5" s="7" t="s">
        <v>12</v>
      </c>
      <c r="B5" s="8"/>
      <c r="C5" s="8"/>
      <c r="D5" s="8"/>
      <c r="E5" s="8"/>
      <c r="F5" s="8"/>
      <c r="G5" s="8"/>
      <c r="H5" s="8"/>
      <c r="I5" s="8"/>
      <c r="J5" s="8"/>
      <c r="K5" s="8"/>
    </row>
    <row r="6" customFormat="false" ht="15" hidden="false" customHeight="true" outlineLevel="0" collapsed="false">
      <c r="A6" s="9" t="s">
        <v>13</v>
      </c>
      <c r="B6" s="3"/>
      <c r="C6" s="3"/>
      <c r="D6" s="3"/>
      <c r="E6" s="3"/>
      <c r="F6" s="3"/>
      <c r="G6" s="3"/>
      <c r="H6" s="3"/>
      <c r="I6" s="3"/>
      <c r="J6" s="3"/>
      <c r="K6" s="3"/>
    </row>
    <row r="7" customFormat="false" ht="15" hidden="false" customHeight="true" outlineLevel="0" collapsed="false">
      <c r="A7" s="10" t="s">
        <v>14</v>
      </c>
      <c r="B7" s="3"/>
      <c r="C7" s="11" t="n">
        <v>400</v>
      </c>
      <c r="D7" s="11" t="n">
        <v>5000</v>
      </c>
      <c r="E7" s="11" t="n">
        <v>6500</v>
      </c>
      <c r="F7" s="12" t="n">
        <f aca="false">E7*(1+F8)</f>
        <v>17550</v>
      </c>
      <c r="G7" s="12" t="n">
        <f aca="false">F7*(1+G8)</f>
        <v>33345</v>
      </c>
      <c r="H7" s="12" t="n">
        <f aca="false">G7*(1+H8)</f>
        <v>48350.25</v>
      </c>
      <c r="I7" s="12" t="n">
        <f aca="false">H7*(1+I8)</f>
        <v>62855.325</v>
      </c>
      <c r="J7" s="12" t="n">
        <f aca="false">I7*(1+J8)</f>
        <v>75426.39</v>
      </c>
      <c r="K7" s="4" t="s">
        <v>15</v>
      </c>
    </row>
    <row r="8" customFormat="false" ht="15" hidden="false" customHeight="true" outlineLevel="0" collapsed="false">
      <c r="A8" s="10" t="s">
        <v>16</v>
      </c>
      <c r="B8" s="3"/>
      <c r="C8" s="3"/>
      <c r="D8" s="13" t="n">
        <f aca="false">D7/C7-1</f>
        <v>11.5</v>
      </c>
      <c r="E8" s="13" t="n">
        <f aca="false">E7/D7-1</f>
        <v>0.3</v>
      </c>
      <c r="F8" s="14" t="n">
        <f aca="false">Scenarios!F11</f>
        <v>1.7</v>
      </c>
      <c r="G8" s="14" t="n">
        <f aca="false">Scenarios!G11</f>
        <v>0.9</v>
      </c>
      <c r="H8" s="14" t="n">
        <f aca="false">Scenarios!H11</f>
        <v>0.45</v>
      </c>
      <c r="I8" s="14" t="n">
        <f aca="false">Scenarios!I11</f>
        <v>0.3</v>
      </c>
      <c r="J8" s="14" t="n">
        <f aca="false">Scenarios!J11</f>
        <v>0.2</v>
      </c>
      <c r="K8" s="3"/>
    </row>
    <row r="9" customFormat="false" ht="15" hidden="false" customHeight="true" outlineLevel="0" collapsed="false">
      <c r="A9" s="10" t="s">
        <v>17</v>
      </c>
      <c r="B9" s="3"/>
      <c r="C9" s="12" t="n">
        <f aca="false">C11-C7</f>
        <v>6096</v>
      </c>
      <c r="D9" s="12" t="n">
        <f aca="false">D11-D7</f>
        <v>7579</v>
      </c>
      <c r="E9" s="12" t="n">
        <f aca="false">E11-E7</f>
        <v>10135</v>
      </c>
      <c r="F9" s="12" t="n">
        <f aca="false">E9*(1+F10)</f>
        <v>12364.7</v>
      </c>
      <c r="G9" s="12" t="n">
        <f aca="false">F9*(1+G10)</f>
        <v>14590.346</v>
      </c>
      <c r="H9" s="12" t="n">
        <f aca="false">G9*(1+H10)</f>
        <v>16632.99444</v>
      </c>
      <c r="I9" s="12" t="n">
        <f aca="false">H9*(1+I10)</f>
        <v>18628.9537728</v>
      </c>
      <c r="J9" s="12" t="n">
        <f aca="false">I9*(1+J10)</f>
        <v>20491.84915008</v>
      </c>
      <c r="K9" s="4" t="s">
        <v>18</v>
      </c>
    </row>
    <row r="10" customFormat="false" ht="15" hidden="false" customHeight="true" outlineLevel="0" collapsed="false">
      <c r="A10" s="10" t="s">
        <v>16</v>
      </c>
      <c r="B10" s="3"/>
      <c r="C10" s="3"/>
      <c r="D10" s="13" t="n">
        <f aca="false">D9/C9-1</f>
        <v>0.243274278215223</v>
      </c>
      <c r="E10" s="13" t="n">
        <f aca="false">E9/D9-1</f>
        <v>0.337247658002375</v>
      </c>
      <c r="F10" s="14" t="n">
        <f aca="false">Scenarios!F16</f>
        <v>0.22</v>
      </c>
      <c r="G10" s="14" t="n">
        <f aca="false">Scenarios!G16</f>
        <v>0.18</v>
      </c>
      <c r="H10" s="14" t="n">
        <f aca="false">Scenarios!H16</f>
        <v>0.14</v>
      </c>
      <c r="I10" s="14" t="n">
        <f aca="false">Scenarios!I16</f>
        <v>0.12</v>
      </c>
      <c r="J10" s="14" t="n">
        <f aca="false">Scenarios!J16</f>
        <v>0.1</v>
      </c>
      <c r="K10" s="3"/>
    </row>
    <row r="11" customFormat="false" ht="15" hidden="false" customHeight="true" outlineLevel="0" collapsed="false">
      <c r="A11" s="10" t="s">
        <v>19</v>
      </c>
      <c r="B11" s="3"/>
      <c r="C11" s="11" t="n">
        <v>6496</v>
      </c>
      <c r="D11" s="11" t="n">
        <v>12579</v>
      </c>
      <c r="E11" s="11" t="n">
        <v>16635</v>
      </c>
      <c r="F11" s="3"/>
      <c r="G11" s="3"/>
      <c r="H11" s="3"/>
      <c r="I11" s="3"/>
      <c r="J11" s="3"/>
      <c r="K11" s="4" t="s">
        <v>20</v>
      </c>
    </row>
    <row r="12" customFormat="false" ht="15" hidden="false" customHeight="true" outlineLevel="0" collapsed="false">
      <c r="A12" s="15" t="s">
        <v>21</v>
      </c>
      <c r="B12" s="3"/>
      <c r="C12" s="16" t="n">
        <f aca="false">C11</f>
        <v>6496</v>
      </c>
      <c r="D12" s="16" t="n">
        <f aca="false">D11</f>
        <v>12579</v>
      </c>
      <c r="E12" s="16" t="n">
        <f aca="false">E11</f>
        <v>16635</v>
      </c>
      <c r="F12" s="16" t="n">
        <f aca="false">F7+F9</f>
        <v>29914.7</v>
      </c>
      <c r="G12" s="16" t="n">
        <f aca="false">G7+G9</f>
        <v>47935.346</v>
      </c>
      <c r="H12" s="16" t="n">
        <f aca="false">H7+H9</f>
        <v>64983.24444</v>
      </c>
      <c r="I12" s="16" t="n">
        <f aca="false">I7+I9</f>
        <v>81484.2787728</v>
      </c>
      <c r="J12" s="16" t="n">
        <f aca="false">J7+J9</f>
        <v>95918.23915008</v>
      </c>
      <c r="K12" s="3"/>
    </row>
    <row r="13" customFormat="false" ht="15" hidden="false" customHeight="true" outlineLevel="0" collapsed="false">
      <c r="A13" s="10" t="s">
        <v>22</v>
      </c>
      <c r="B13" s="3"/>
      <c r="C13" s="3"/>
      <c r="D13" s="13" t="n">
        <f aca="false">D12/C12-1</f>
        <v>0.936422413793103</v>
      </c>
      <c r="E13" s="13" t="n">
        <f aca="false">E12/D12-1</f>
        <v>0.322442165513952</v>
      </c>
      <c r="F13" s="13" t="n">
        <f aca="false">F12/E12-1</f>
        <v>0.798298767658551</v>
      </c>
      <c r="G13" s="13" t="n">
        <f aca="false">G12/F12-1</f>
        <v>0.602401026919876</v>
      </c>
      <c r="H13" s="13" t="n">
        <f aca="false">H12/G12-1</f>
        <v>0.355643587927789</v>
      </c>
      <c r="I13" s="13" t="n">
        <f aca="false">I12/H12-1</f>
        <v>0.253927523548561</v>
      </c>
      <c r="J13" s="13" t="n">
        <f aca="false">J12/I12-1</f>
        <v>0.17713797795923</v>
      </c>
      <c r="K13" s="3"/>
    </row>
    <row r="14" customFormat="false" ht="15" hidden="false" customHeight="true" outlineLevel="0" collapsed="false">
      <c r="A14" s="10" t="s">
        <v>23</v>
      </c>
      <c r="B14" s="3"/>
      <c r="C14" s="13" t="n">
        <f aca="false">C12/C37</f>
        <v>0.28641975308642</v>
      </c>
      <c r="D14" s="13" t="n">
        <f aca="false">D12/D37</f>
        <v>0.487841768470041</v>
      </c>
      <c r="E14" s="13" t="n">
        <f aca="false">E12/E37</f>
        <v>0.480239036923699</v>
      </c>
      <c r="F14" s="13" t="n">
        <f aca="false">F12/F37</f>
        <v>0.608248349183396</v>
      </c>
      <c r="G14" s="13" t="n">
        <f aca="false">G12/G37</f>
        <v>0.699957455276495</v>
      </c>
      <c r="H14" s="13" t="n">
        <f aca="false">H12/H37</f>
        <v>0.743990377050817</v>
      </c>
      <c r="I14" s="13" t="n">
        <f aca="false">I12/I37</f>
        <v>0.775626948984992</v>
      </c>
      <c r="J14" s="13" t="n">
        <f aca="false">J12/J37</f>
        <v>0.799794758852226</v>
      </c>
      <c r="K14" s="3"/>
    </row>
    <row r="15" customFormat="false" ht="15" hidden="false" customHeight="true" outlineLevel="0" collapsed="false">
      <c r="A15" s="10" t="s">
        <v>24</v>
      </c>
      <c r="B15" s="3"/>
      <c r="C15" s="13" t="n">
        <f aca="false">C7/C12</f>
        <v>0.061576354679803</v>
      </c>
      <c r="D15" s="13" t="n">
        <f aca="false">D7/D12</f>
        <v>0.397487876619763</v>
      </c>
      <c r="E15" s="13" t="n">
        <f aca="false">E7/E12</f>
        <v>0.390742410580102</v>
      </c>
      <c r="F15" s="13" t="n">
        <f aca="false">F7/F12</f>
        <v>0.586668092944272</v>
      </c>
      <c r="G15" s="13" t="n">
        <f aca="false">G7/G12</f>
        <v>0.695624477186417</v>
      </c>
      <c r="H15" s="13" t="n">
        <f aca="false">H7/H12</f>
        <v>0.744041797492006</v>
      </c>
      <c r="I15" s="13" t="n">
        <f aca="false">I7/I12</f>
        <v>0.7713797795923</v>
      </c>
      <c r="J15" s="13" t="n">
        <f aca="false">J7/J12</f>
        <v>0.786361287158148</v>
      </c>
      <c r="K15" s="3"/>
    </row>
    <row r="16" customFormat="false" ht="1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customFormat="false" ht="15" hidden="false" customHeight="true" outlineLevel="0" collapsed="false">
      <c r="A17" s="9" t="s">
        <v>25</v>
      </c>
      <c r="B17" s="3"/>
      <c r="C17" s="3"/>
      <c r="D17" s="3"/>
      <c r="E17" s="3"/>
      <c r="F17" s="3"/>
      <c r="G17" s="3"/>
      <c r="H17" s="3"/>
      <c r="I17" s="3"/>
      <c r="J17" s="3"/>
      <c r="K17" s="3"/>
    </row>
    <row r="18" customFormat="false" ht="15" hidden="false" customHeight="true" outlineLevel="0" collapsed="false">
      <c r="A18" s="10" t="s">
        <v>26</v>
      </c>
      <c r="B18" s="3"/>
      <c r="C18" s="11" t="n">
        <v>4651</v>
      </c>
      <c r="D18" s="11" t="n">
        <v>7054</v>
      </c>
      <c r="E18" s="11" t="n">
        <v>10640</v>
      </c>
      <c r="F18" s="12" t="n">
        <f aca="false">E18*(1+F19)</f>
        <v>12236</v>
      </c>
      <c r="G18" s="12" t="n">
        <f aca="false">F18*(1+G19)</f>
        <v>12970.16</v>
      </c>
      <c r="H18" s="12" t="n">
        <f aca="false">G18*(1+H19)</f>
        <v>13618.668</v>
      </c>
      <c r="I18" s="12" t="n">
        <f aca="false">H18*(1+I19)</f>
        <v>14299.6014</v>
      </c>
      <c r="J18" s="12" t="n">
        <f aca="false">I18*(1+J19)</f>
        <v>14871.585456</v>
      </c>
      <c r="K18" s="4" t="s">
        <v>20</v>
      </c>
    </row>
    <row r="19" customFormat="false" ht="15" hidden="false" customHeight="true" outlineLevel="0" collapsed="false">
      <c r="A19" s="10" t="s">
        <v>16</v>
      </c>
      <c r="B19" s="3"/>
      <c r="C19" s="3"/>
      <c r="D19" s="13" t="n">
        <f aca="false">D18/C18-1</f>
        <v>0.516663083207912</v>
      </c>
      <c r="E19" s="13" t="n">
        <f aca="false">E18/D18-1</f>
        <v>0.508364048766657</v>
      </c>
      <c r="F19" s="14" t="n">
        <f aca="false">Scenarios!F21</f>
        <v>0.15</v>
      </c>
      <c r="G19" s="14" t="n">
        <f aca="false">Scenarios!G21</f>
        <v>0.06</v>
      </c>
      <c r="H19" s="14" t="n">
        <f aca="false">Scenarios!H21</f>
        <v>0.05</v>
      </c>
      <c r="I19" s="14" t="n">
        <f aca="false">Scenarios!I21</f>
        <v>0.05</v>
      </c>
      <c r="J19" s="14" t="n">
        <f aca="false">Scenarios!J21</f>
        <v>0.04</v>
      </c>
      <c r="K19" s="3"/>
    </row>
    <row r="20" customFormat="false" ht="15" hidden="false" customHeight="true" outlineLevel="0" collapsed="false">
      <c r="A20" s="10" t="s">
        <v>27</v>
      </c>
      <c r="B20" s="3"/>
      <c r="C20" s="11" t="n">
        <v>6212</v>
      </c>
      <c r="D20" s="11" t="n">
        <v>2595</v>
      </c>
      <c r="E20" s="11" t="n">
        <v>3910</v>
      </c>
      <c r="F20" s="12" t="n">
        <f aca="false">E20*(1+F21)</f>
        <v>3128</v>
      </c>
      <c r="G20" s="12" t="n">
        <f aca="false">F20*(1+G21)</f>
        <v>3284.4</v>
      </c>
      <c r="H20" s="12" t="n">
        <f aca="false">G20*(1+H21)</f>
        <v>4105.5</v>
      </c>
      <c r="I20" s="12" t="n">
        <f aca="false">H20*(1+I21)</f>
        <v>4310.775</v>
      </c>
      <c r="J20" s="12" t="n">
        <f aca="false">I20*(1+J21)</f>
        <v>3879.6975</v>
      </c>
      <c r="K20" s="4" t="s">
        <v>20</v>
      </c>
    </row>
    <row r="21" customFormat="false" ht="15" hidden="false" customHeight="true" outlineLevel="0" collapsed="false">
      <c r="A21" s="10" t="s">
        <v>16</v>
      </c>
      <c r="B21" s="3"/>
      <c r="C21" s="3"/>
      <c r="D21" s="13" t="n">
        <f aca="false">D20/C20-1</f>
        <v>-0.582260141661301</v>
      </c>
      <c r="E21" s="13" t="n">
        <f aca="false">E20/D20-1</f>
        <v>0.506743737957611</v>
      </c>
      <c r="F21" s="14" t="n">
        <f aca="false">Scenarios!F26</f>
        <v>-0.2</v>
      </c>
      <c r="G21" s="14" t="n">
        <f aca="false">Scenarios!G26</f>
        <v>0.05</v>
      </c>
      <c r="H21" s="14" t="n">
        <f aca="false">Scenarios!H26</f>
        <v>0.25</v>
      </c>
      <c r="I21" s="14" t="n">
        <f aca="false">Scenarios!I26</f>
        <v>0.05</v>
      </c>
      <c r="J21" s="14" t="n">
        <f aca="false">Scenarios!J26</f>
        <v>-0.1</v>
      </c>
      <c r="K21" s="3"/>
    </row>
    <row r="22" customFormat="false" ht="15" hidden="false" customHeight="true" outlineLevel="0" collapsed="false">
      <c r="A22" s="15" t="s">
        <v>28</v>
      </c>
      <c r="B22" s="3"/>
      <c r="C22" s="16" t="n">
        <f aca="false">C18+C20</f>
        <v>10863</v>
      </c>
      <c r="D22" s="16" t="n">
        <f aca="false">D18+D20</f>
        <v>9649</v>
      </c>
      <c r="E22" s="16" t="n">
        <f aca="false">E18+E20</f>
        <v>14550</v>
      </c>
      <c r="F22" s="16" t="n">
        <f aca="false">F18+F20</f>
        <v>15364</v>
      </c>
      <c r="G22" s="16" t="n">
        <f aca="false">G18+G20</f>
        <v>16254.56</v>
      </c>
      <c r="H22" s="16" t="n">
        <f aca="false">H18+H20</f>
        <v>17724.168</v>
      </c>
      <c r="I22" s="16" t="n">
        <f aca="false">I18+I20</f>
        <v>18610.3764</v>
      </c>
      <c r="J22" s="16" t="n">
        <f aca="false">J18+J20</f>
        <v>18751.282956</v>
      </c>
      <c r="K22" s="3"/>
    </row>
    <row r="23" customFormat="false" ht="15" hidden="false" customHeight="true" outlineLevel="0" collapsed="false">
      <c r="A23" s="10" t="s">
        <v>22</v>
      </c>
      <c r="B23" s="3"/>
      <c r="C23" s="3"/>
      <c r="D23" s="13" t="n">
        <f aca="false">D22/C22-1</f>
        <v>-0.111755500322195</v>
      </c>
      <c r="E23" s="13" t="n">
        <f aca="false">E22/D22-1</f>
        <v>0.507928282723598</v>
      </c>
      <c r="F23" s="13" t="n">
        <f aca="false">F22/E22-1</f>
        <v>0.0559450171821305</v>
      </c>
      <c r="G23" s="13" t="n">
        <f aca="false">G22/F22-1</f>
        <v>0.0579640718562875</v>
      </c>
      <c r="H23" s="13" t="n">
        <f aca="false">H22/G22-1</f>
        <v>0.0904120443740095</v>
      </c>
      <c r="I23" s="13" t="n">
        <f aca="false">I22/H22-1</f>
        <v>0.05</v>
      </c>
      <c r="J23" s="13" t="n">
        <f aca="false">J22/I22-1</f>
        <v>0.00757139742751267</v>
      </c>
      <c r="K23" s="3"/>
    </row>
    <row r="24" customFormat="false" ht="15" hidden="false" customHeight="true" outlineLevel="0" collapsed="false">
      <c r="A24" s="10" t="s">
        <v>23</v>
      </c>
      <c r="B24" s="3"/>
      <c r="C24" s="13" t="n">
        <f aca="false">C22/C37</f>
        <v>0.478968253968254</v>
      </c>
      <c r="D24" s="13" t="n">
        <f aca="false">D22/D37</f>
        <v>0.374209811906147</v>
      </c>
      <c r="E24" s="13" t="n">
        <f aca="false">E22/E37</f>
        <v>0.420046768093767</v>
      </c>
      <c r="F24" s="13" t="n">
        <f aca="false">F22/F37</f>
        <v>0.312392490543234</v>
      </c>
      <c r="G24" s="13" t="n">
        <f aca="false">G22/G37</f>
        <v>0.237350961318587</v>
      </c>
      <c r="H24" s="13" t="n">
        <f aca="false">H22/H37</f>
        <v>0.202923238857478</v>
      </c>
      <c r="I24" s="13" t="n">
        <f aca="false">I22/I37</f>
        <v>0.177147171012486</v>
      </c>
      <c r="J24" s="13" t="n">
        <f aca="false">J22/J37</f>
        <v>0.156353765069627</v>
      </c>
      <c r="K24" s="3"/>
    </row>
    <row r="25" customFormat="false" ht="1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customFormat="false" ht="15" hidden="false" customHeight="true" outlineLevel="0" collapsed="false">
      <c r="A26" s="9" t="s">
        <v>29</v>
      </c>
      <c r="B26" s="3"/>
      <c r="C26" s="3"/>
      <c r="D26" s="3"/>
      <c r="E26" s="3"/>
      <c r="F26" s="3"/>
      <c r="G26" s="3"/>
      <c r="H26" s="3"/>
      <c r="I26" s="3"/>
      <c r="J26" s="3"/>
      <c r="K26" s="3"/>
    </row>
    <row r="27" customFormat="false" ht="15" hidden="false" customHeight="true" outlineLevel="0" collapsed="false">
      <c r="A27" s="10" t="s">
        <v>30</v>
      </c>
      <c r="B27" s="3"/>
      <c r="C27" s="11" t="n">
        <v>5321</v>
      </c>
      <c r="D27" s="11" t="n">
        <v>3557</v>
      </c>
      <c r="E27" s="11" t="n">
        <v>3454</v>
      </c>
      <c r="F27" s="12" t="n">
        <f aca="false">E27*(1+F28)</f>
        <v>3903.02</v>
      </c>
      <c r="G27" s="12" t="n">
        <f aca="false">F27*(1+G28)</f>
        <v>4293.322</v>
      </c>
      <c r="H27" s="12" t="n">
        <f aca="false">G27*(1+H28)</f>
        <v>4636.78776</v>
      </c>
      <c r="I27" s="12" t="n">
        <f aca="false">H27*(1+I28)</f>
        <v>4961.3629032</v>
      </c>
      <c r="J27" s="12" t="n">
        <f aca="false">I27*(1+J28)</f>
        <v>5259.044677392</v>
      </c>
      <c r="K27" s="4" t="s">
        <v>20</v>
      </c>
    </row>
    <row r="28" customFormat="false" ht="15" hidden="false" customHeight="true" outlineLevel="0" collapsed="false">
      <c r="A28" s="10" t="s">
        <v>16</v>
      </c>
      <c r="B28" s="3"/>
      <c r="C28" s="3"/>
      <c r="D28" s="13" t="n">
        <f aca="false">D27/C27-1</f>
        <v>-0.33151663221199</v>
      </c>
      <c r="E28" s="13" t="n">
        <f aca="false">E27/D27-1</f>
        <v>-0.0289569862243464</v>
      </c>
      <c r="F28" s="14" t="n">
        <f aca="false">Scenarios!F31</f>
        <v>0.13</v>
      </c>
      <c r="G28" s="14" t="n">
        <f aca="false">Scenarios!G31</f>
        <v>0.1</v>
      </c>
      <c r="H28" s="14" t="n">
        <f aca="false">Scenarios!H31</f>
        <v>0.08</v>
      </c>
      <c r="I28" s="14" t="n">
        <f aca="false">Scenarios!I31</f>
        <v>0.07</v>
      </c>
      <c r="J28" s="14" t="n">
        <f aca="false">Scenarios!J31</f>
        <v>0.06</v>
      </c>
      <c r="K28" s="3"/>
    </row>
    <row r="29" customFormat="false" ht="15" hidden="false" customHeight="true" outlineLevel="0" collapsed="false">
      <c r="A29" s="10" t="s">
        <v>23</v>
      </c>
      <c r="B29" s="3"/>
      <c r="C29" s="13" t="n">
        <f aca="false">C27/C37</f>
        <v>0.234611992945326</v>
      </c>
      <c r="D29" s="13" t="n">
        <f aca="false">D27/D37</f>
        <v>0.137948419623812</v>
      </c>
      <c r="E29" s="13" t="n">
        <f aca="false">E27/E37</f>
        <v>0.0997141949825341</v>
      </c>
      <c r="F29" s="13" t="n">
        <f aca="false">F27/F37</f>
        <v>0.0793591602733699</v>
      </c>
      <c r="G29" s="13" t="n">
        <f aca="false">G27/G37</f>
        <v>0.0626915834049178</v>
      </c>
      <c r="H29" s="13" t="n">
        <f aca="false">H27/H37</f>
        <v>0.0530863840917053</v>
      </c>
      <c r="I29" s="13" t="n">
        <f aca="false">I27/I37</f>
        <v>0.0472258800025224</v>
      </c>
      <c r="J29" s="13" t="n">
        <f aca="false">J27/J37</f>
        <v>0.043851476078148</v>
      </c>
      <c r="K29" s="3"/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customFormat="false" ht="15" hidden="false" customHeight="true" outlineLevel="0" collapsed="false">
      <c r="A31" s="9" t="s">
        <v>31</v>
      </c>
      <c r="B31" s="3"/>
      <c r="C31" s="3"/>
      <c r="D31" s="3"/>
      <c r="E31" s="3"/>
      <c r="F31" s="3"/>
      <c r="G31" s="3"/>
      <c r="H31" s="3"/>
      <c r="I31" s="3"/>
      <c r="J31" s="3"/>
      <c r="K31" s="3"/>
    </row>
    <row r="32" customFormat="false" ht="15" hidden="false" customHeight="true" outlineLevel="0" collapsed="false">
      <c r="A32" s="10" t="s">
        <v>32</v>
      </c>
      <c r="B32" s="3"/>
      <c r="C32" s="13" t="n">
        <f aca="false">C18/C37</f>
        <v>0.205070546737213</v>
      </c>
      <c r="D32" s="13" t="n">
        <f aca="false">D18/D37</f>
        <v>0.273569904983518</v>
      </c>
      <c r="E32" s="13" t="n">
        <f aca="false">E18/E37</f>
        <v>0.307168220791593</v>
      </c>
      <c r="F32" s="13" t="n">
        <f aca="false">F18/F37</f>
        <v>0.248791624205091</v>
      </c>
      <c r="G32" s="13" t="n">
        <f aca="false">G18/G37</f>
        <v>0.189391773413485</v>
      </c>
      <c r="H32" s="13" t="n">
        <f aca="false">H18/H37</f>
        <v>0.155919545531542</v>
      </c>
      <c r="I32" s="13" t="n">
        <f aca="false">I18/I37</f>
        <v>0.136114062401026</v>
      </c>
      <c r="J32" s="13" t="n">
        <f aca="false">J18/J37</f>
        <v>0.124003695323486</v>
      </c>
      <c r="K32" s="3"/>
    </row>
    <row r="33" customFormat="false" ht="15" hidden="false" customHeight="true" outlineLevel="0" collapsed="false">
      <c r="A33" s="10" t="s">
        <v>33</v>
      </c>
      <c r="B33" s="3"/>
      <c r="C33" s="13" t="n">
        <f aca="false">C20/C37</f>
        <v>0.273897707231041</v>
      </c>
      <c r="D33" s="13" t="n">
        <f aca="false">D20/D37</f>
        <v>0.100639906922629</v>
      </c>
      <c r="E33" s="13" t="n">
        <f aca="false">E20/E37</f>
        <v>0.112878547302174</v>
      </c>
      <c r="F33" s="13" t="n">
        <f aca="false">F20/F37</f>
        <v>0.0636008663381435</v>
      </c>
      <c r="G33" s="13" t="n">
        <f aca="false">G20/G37</f>
        <v>0.0479591879051028</v>
      </c>
      <c r="H33" s="13" t="n">
        <f aca="false">H20/H37</f>
        <v>0.0470036933259365</v>
      </c>
      <c r="I33" s="13" t="n">
        <f aca="false">I20/I37</f>
        <v>0.0410331086114599</v>
      </c>
      <c r="J33" s="13" t="n">
        <f aca="false">J20/J37</f>
        <v>0.0323500697461406</v>
      </c>
      <c r="K33" s="3"/>
    </row>
    <row r="34" customFormat="false" ht="15" hidden="false" customHeight="true" outlineLevel="0" collapsed="false">
      <c r="A34" s="10" t="s">
        <v>34</v>
      </c>
      <c r="B34" s="3"/>
      <c r="C34" s="13" t="n">
        <f aca="false">C7/C37</f>
        <v>0.017636684303351</v>
      </c>
      <c r="D34" s="13" t="n">
        <f aca="false">D7/D37</f>
        <v>0.193911188675587</v>
      </c>
      <c r="E34" s="13" t="n">
        <f aca="false">E7/E37</f>
        <v>0.187649758942233</v>
      </c>
      <c r="F34" s="13" t="n">
        <f aca="false">F7/F37</f>
        <v>0.356839899051924</v>
      </c>
      <c r="G34" s="13" t="n">
        <f aca="false">G7/G37</f>
        <v>0.486907538879447</v>
      </c>
      <c r="H34" s="13" t="n">
        <f aca="false">H7/H37</f>
        <v>0.553559937457645</v>
      </c>
      <c r="I34" s="13" t="n">
        <f aca="false">I7/I37</f>
        <v>0.598302944953891</v>
      </c>
      <c r="J34" s="13" t="n">
        <f aca="false">J7/J37</f>
        <v>0.628927636033377</v>
      </c>
      <c r="K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customFormat="false" ht="15" hidden="false" customHeight="true" outlineLevel="0" collapsed="false">
      <c r="A36" s="10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customFormat="false" ht="15" hidden="false" customHeight="true" outlineLevel="0" collapsed="false">
      <c r="A37" s="15" t="s">
        <v>35</v>
      </c>
      <c r="B37" s="3"/>
      <c r="C37" s="16" t="n">
        <f aca="false">C12+C22+C27</f>
        <v>22680</v>
      </c>
      <c r="D37" s="16" t="n">
        <f aca="false">D12+D22+D27</f>
        <v>25785</v>
      </c>
      <c r="E37" s="16" t="n">
        <f aca="false">E12+E22+E27</f>
        <v>34639</v>
      </c>
      <c r="F37" s="16" t="n">
        <f aca="false">F12+F22+F27</f>
        <v>49181.72</v>
      </c>
      <c r="G37" s="16" t="n">
        <f aca="false">G12+G22+G27</f>
        <v>68483.228</v>
      </c>
      <c r="H37" s="16" t="n">
        <f aca="false">H12+H22+H27</f>
        <v>87344.2002</v>
      </c>
      <c r="I37" s="16" t="n">
        <f aca="false">I12+I22+I27</f>
        <v>105056.018076</v>
      </c>
      <c r="J37" s="16" t="n">
        <f aca="false">J12+J22+J27</f>
        <v>119928.566783472</v>
      </c>
      <c r="K37" s="3"/>
    </row>
    <row r="38" customFormat="false" ht="15" hidden="false" customHeight="true" outlineLevel="0" collapsed="false">
      <c r="A38" s="10" t="s">
        <v>36</v>
      </c>
      <c r="B38" s="3"/>
      <c r="C38" s="3"/>
      <c r="D38" s="13" t="n">
        <f aca="false">D37/C37-1</f>
        <v>0.136904761904762</v>
      </c>
      <c r="E38" s="13" t="n">
        <f aca="false">E37/D37-1</f>
        <v>0.343377932906729</v>
      </c>
      <c r="F38" s="13" t="n">
        <f aca="false">F37/E37-1</f>
        <v>0.419836600363752</v>
      </c>
      <c r="G38" s="13" t="n">
        <f aca="false">G37/F37-1</f>
        <v>0.392452886966947</v>
      </c>
      <c r="H38" s="13" t="n">
        <f aca="false">H37/G37-1</f>
        <v>0.275410093110681</v>
      </c>
      <c r="I38" s="13" t="n">
        <f aca="false">I37/H37-1</f>
        <v>0.202781842817767</v>
      </c>
      <c r="J38" s="13" t="n">
        <f aca="false">J37/I37-1</f>
        <v>0.141567793828935</v>
      </c>
      <c r="K38" s="3"/>
    </row>
    <row r="39" customFormat="false" ht="15" hidden="false" customHeight="true" outlineLevel="0" collapsed="false">
      <c r="A39" s="10" t="s">
        <v>37</v>
      </c>
      <c r="B39" s="3"/>
      <c r="C39" s="11" t="n">
        <v>22680</v>
      </c>
      <c r="D39" s="11" t="n">
        <v>25785</v>
      </c>
      <c r="E39" s="11" t="n">
        <v>34639</v>
      </c>
      <c r="F39" s="3"/>
      <c r="G39" s="3"/>
      <c r="H39" s="3"/>
      <c r="I39" s="3"/>
      <c r="J39" s="3"/>
      <c r="K39" s="4" t="s">
        <v>38</v>
      </c>
    </row>
    <row r="40" customFormat="false" ht="15" hidden="false" customHeight="true" outlineLevel="0" collapsed="false">
      <c r="A40" s="10" t="s">
        <v>39</v>
      </c>
      <c r="B40" s="3"/>
      <c r="C40" s="12" t="n">
        <f aca="false">C37-C39</f>
        <v>0</v>
      </c>
      <c r="D40" s="12" t="n">
        <f aca="false">D37-D39</f>
        <v>0</v>
      </c>
      <c r="E40" s="12" t="n">
        <f aca="false">E37-E39</f>
        <v>0</v>
      </c>
      <c r="F40" s="3"/>
      <c r="G40" s="3"/>
      <c r="H40" s="3"/>
      <c r="I40" s="3"/>
      <c r="J40" s="3"/>
      <c r="K40" s="3"/>
    </row>
    <row r="41" customFormat="false" ht="1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customFormat="false" ht="15" hidden="false" customHeight="true" outlineLevel="0" collapsed="false">
      <c r="A42" s="7" t="s">
        <v>40</v>
      </c>
      <c r="B42" s="8"/>
      <c r="C42" s="8"/>
      <c r="D42" s="8"/>
      <c r="E42" s="8"/>
      <c r="F42" s="8"/>
      <c r="G42" s="8"/>
      <c r="H42" s="8"/>
      <c r="I42" s="8"/>
      <c r="J42" s="8"/>
      <c r="K42" s="8"/>
    </row>
    <row r="43" customFormat="false" ht="15" hidden="false" customHeight="true" outlineLevel="0" collapsed="false">
      <c r="A43" s="10" t="s">
        <v>41</v>
      </c>
      <c r="B43" s="3"/>
      <c r="C43" s="11" t="n">
        <v>1267</v>
      </c>
      <c r="D43" s="11" t="n">
        <v>3482</v>
      </c>
      <c r="E43" s="11" t="n">
        <v>3603</v>
      </c>
      <c r="F43" s="3"/>
      <c r="G43" s="3"/>
      <c r="H43" s="3"/>
      <c r="I43" s="3"/>
      <c r="J43" s="3"/>
      <c r="K43" s="4" t="s">
        <v>20</v>
      </c>
    </row>
    <row r="44" customFormat="false" ht="15" hidden="false" customHeight="true" outlineLevel="0" collapsed="false">
      <c r="A44" s="10" t="s">
        <v>42</v>
      </c>
      <c r="B44" s="3"/>
      <c r="C44" s="13" t="n">
        <f aca="false">C43/C12</f>
        <v>0.195043103448276</v>
      </c>
      <c r="D44" s="13" t="n">
        <f aca="false">D43/D12</f>
        <v>0.276810557278003</v>
      </c>
      <c r="E44" s="13" t="n">
        <f aca="false">E43/E12</f>
        <v>0.216591523895401</v>
      </c>
      <c r="F44" s="3"/>
      <c r="G44" s="3"/>
      <c r="H44" s="3"/>
      <c r="I44" s="3"/>
      <c r="J44" s="3"/>
      <c r="K44" s="3"/>
    </row>
    <row r="45" customFormat="false" ht="15" hidden="false" customHeight="true" outlineLevel="0" collapsed="false">
      <c r="A45" s="10" t="s">
        <v>43</v>
      </c>
      <c r="B45" s="3"/>
      <c r="C45" s="11" t="n">
        <v>925</v>
      </c>
      <c r="D45" s="11" t="n">
        <v>1187</v>
      </c>
      <c r="E45" s="11" t="n">
        <v>2855</v>
      </c>
      <c r="F45" s="3"/>
      <c r="G45" s="3"/>
      <c r="H45" s="3"/>
      <c r="I45" s="3"/>
      <c r="J45" s="3"/>
      <c r="K45" s="3"/>
    </row>
    <row r="46" customFormat="false" ht="15" hidden="false" customHeight="true" outlineLevel="0" collapsed="false">
      <c r="A46" s="10" t="s">
        <v>44</v>
      </c>
      <c r="B46" s="3"/>
      <c r="C46" s="13" t="n">
        <f aca="false">C45/C22</f>
        <v>0.0851514314646046</v>
      </c>
      <c r="D46" s="13" t="n">
        <f aca="false">D45/D22</f>
        <v>0.1230179293191</v>
      </c>
      <c r="E46" s="13" t="n">
        <f aca="false">E45/E22</f>
        <v>0.196219931271478</v>
      </c>
      <c r="F46" s="3"/>
      <c r="G46" s="3"/>
      <c r="H46" s="3"/>
      <c r="I46" s="3"/>
      <c r="J46" s="3"/>
      <c r="K46" s="3"/>
    </row>
    <row r="47" customFormat="false" ht="15" hidden="false" customHeight="true" outlineLevel="0" collapsed="false">
      <c r="A47" s="10" t="s">
        <v>45</v>
      </c>
      <c r="B47" s="3"/>
      <c r="C47" s="11" t="n">
        <v>2628</v>
      </c>
      <c r="D47" s="11" t="n">
        <v>1421</v>
      </c>
      <c r="E47" s="11" t="n">
        <v>1243</v>
      </c>
      <c r="F47" s="3"/>
      <c r="G47" s="3"/>
      <c r="H47" s="3"/>
      <c r="I47" s="3"/>
      <c r="J47" s="3"/>
      <c r="K47" s="3"/>
    </row>
    <row r="48" customFormat="false" ht="15" hidden="false" customHeight="true" outlineLevel="0" collapsed="false">
      <c r="A48" s="10" t="s">
        <v>46</v>
      </c>
      <c r="B48" s="3"/>
      <c r="C48" s="13" t="n">
        <f aca="false">C47/C27</f>
        <v>0.493892125540312</v>
      </c>
      <c r="D48" s="13" t="n">
        <f aca="false">D47/D27</f>
        <v>0.399493955580545</v>
      </c>
      <c r="E48" s="13" t="n">
        <f aca="false">E47/E27</f>
        <v>0.359872611464968</v>
      </c>
      <c r="F48" s="3"/>
      <c r="G48" s="3"/>
      <c r="H48" s="3"/>
      <c r="I48" s="3"/>
      <c r="J48" s="3"/>
      <c r="K48" s="3"/>
    </row>
    <row r="49" customFormat="false" ht="15" hidden="false" customHeight="true" outlineLevel="0" collapsed="false">
      <c r="A49" s="10" t="s">
        <v>47</v>
      </c>
      <c r="B49" s="3"/>
      <c r="C49" s="11" t="n">
        <v>-4419</v>
      </c>
      <c r="D49" s="11" t="n">
        <v>-4190</v>
      </c>
      <c r="E49" s="11" t="n">
        <v>-4007</v>
      </c>
      <c r="F49" s="3"/>
      <c r="G49" s="3"/>
      <c r="H49" s="3"/>
      <c r="I49" s="3"/>
      <c r="J49" s="3"/>
      <c r="K49" s="3"/>
    </row>
    <row r="50" customFormat="false" ht="15" hidden="false" customHeight="true" outlineLevel="0" collapsed="false">
      <c r="A50" s="15" t="s">
        <v>48</v>
      </c>
      <c r="B50" s="3"/>
      <c r="C50" s="16" t="n">
        <f aca="false">C43+C45+C47+C49</f>
        <v>401</v>
      </c>
      <c r="D50" s="16" t="n">
        <f aca="false">D43+D45+D47+D49</f>
        <v>1900</v>
      </c>
      <c r="E50" s="16" t="n">
        <f aca="false">E43+E45+E47+E49</f>
        <v>3694</v>
      </c>
      <c r="F50" s="17"/>
      <c r="G50" s="17"/>
      <c r="H50" s="17"/>
      <c r="I50" s="17"/>
      <c r="J50" s="17"/>
      <c r="K50" s="3"/>
    </row>
    <row r="51" customFormat="false" ht="1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customFormat="false" ht="15" hidden="false" customHeight="true" outlineLevel="0" collapsed="false">
      <c r="A52" s="7" t="s">
        <v>49</v>
      </c>
      <c r="B52" s="8"/>
      <c r="C52" s="8"/>
      <c r="D52" s="8"/>
      <c r="E52" s="8"/>
      <c r="F52" s="8"/>
      <c r="G52" s="8"/>
      <c r="H52" s="8"/>
      <c r="I52" s="8"/>
      <c r="J52" s="8"/>
      <c r="K52" s="8"/>
    </row>
    <row r="53" customFormat="false" ht="15" hidden="false" customHeight="true" outlineLevel="0" collapsed="false">
      <c r="A53" s="9" t="s">
        <v>50</v>
      </c>
      <c r="B53" s="3"/>
      <c r="C53" s="3"/>
      <c r="D53" s="3"/>
      <c r="E53" s="3"/>
      <c r="F53" s="3"/>
      <c r="G53" s="3"/>
      <c r="H53" s="3"/>
      <c r="I53" s="3"/>
      <c r="J53" s="3"/>
      <c r="K53" s="3"/>
    </row>
    <row r="54" customFormat="false" ht="15" hidden="false" customHeight="true" outlineLevel="0" collapsed="false">
      <c r="A54" s="10" t="s">
        <v>51</v>
      </c>
      <c r="B54" s="3"/>
      <c r="C54" s="13" t="n">
        <f aca="false">C55/C37</f>
        <v>0.345546737213404</v>
      </c>
      <c r="D54" s="13" t="n">
        <f aca="false">D55/D37</f>
        <v>0.337133992631375</v>
      </c>
      <c r="E54" s="13" t="n">
        <f aca="false">E55/E37</f>
        <v>0.328040647824706</v>
      </c>
      <c r="F54" s="18" t="n">
        <v>0.33</v>
      </c>
      <c r="G54" s="18" t="n">
        <v>0.33</v>
      </c>
      <c r="H54" s="18" t="n">
        <v>0.33</v>
      </c>
      <c r="I54" s="18" t="n">
        <v>0.33</v>
      </c>
      <c r="J54" s="18" t="n">
        <v>0.33</v>
      </c>
      <c r="K54" s="4" t="s">
        <v>52</v>
      </c>
    </row>
    <row r="55" customFormat="false" ht="15" hidden="false" customHeight="true" outlineLevel="0" collapsed="false">
      <c r="A55" s="10" t="s">
        <v>53</v>
      </c>
      <c r="B55" s="3"/>
      <c r="C55" s="11" t="n">
        <v>7837</v>
      </c>
      <c r="D55" s="11" t="n">
        <v>8693</v>
      </c>
      <c r="E55" s="11" t="n">
        <v>11363</v>
      </c>
      <c r="F55" s="12" t="n">
        <f aca="false">F54*F37</f>
        <v>16229.9676</v>
      </c>
      <c r="G55" s="12" t="n">
        <f aca="false">G54*G37</f>
        <v>22599.46524</v>
      </c>
      <c r="H55" s="12" t="n">
        <f aca="false">H54*H37</f>
        <v>28823.586066</v>
      </c>
      <c r="I55" s="12" t="n">
        <f aca="false">I54*I37</f>
        <v>34668.48596508</v>
      </c>
      <c r="J55" s="12" t="n">
        <f aca="false">J54*J37</f>
        <v>39576.4270385458</v>
      </c>
      <c r="K55" s="4" t="s">
        <v>54</v>
      </c>
    </row>
    <row r="56" customFormat="false" ht="15" hidden="false" customHeight="true" outlineLevel="0" collapsed="false">
      <c r="A56" s="10" t="s">
        <v>22</v>
      </c>
      <c r="B56" s="3"/>
      <c r="C56" s="3"/>
      <c r="D56" s="13" t="n">
        <f aca="false">D55/C55-1</f>
        <v>0.109225468929437</v>
      </c>
      <c r="E56" s="13" t="n">
        <f aca="false">E55/D55-1</f>
        <v>0.307143678822041</v>
      </c>
      <c r="F56" s="13" t="n">
        <f aca="false">F55/E55-1</f>
        <v>0.428317134559535</v>
      </c>
      <c r="G56" s="13" t="n">
        <f aca="false">G55/F55-1</f>
        <v>0.392452886966947</v>
      </c>
      <c r="H56" s="13" t="n">
        <f aca="false">H55/G55-1</f>
        <v>0.275410093110681</v>
      </c>
      <c r="I56" s="13" t="n">
        <f aca="false">I55/H55-1</f>
        <v>0.202781842817767</v>
      </c>
      <c r="J56" s="13" t="n">
        <f aca="false">J55/I55-1</f>
        <v>0.141567793828935</v>
      </c>
      <c r="K56" s="3"/>
    </row>
    <row r="57" customFormat="false" ht="15" hidden="false" customHeight="true" outlineLevel="0" collapsed="false">
      <c r="A57" s="9" t="s">
        <v>55</v>
      </c>
      <c r="B57" s="3"/>
      <c r="C57" s="3"/>
      <c r="D57" s="3"/>
      <c r="E57" s="3"/>
      <c r="F57" s="3"/>
      <c r="G57" s="3"/>
      <c r="H57" s="3"/>
      <c r="I57" s="3"/>
      <c r="J57" s="3"/>
      <c r="K57" s="3"/>
    </row>
    <row r="58" customFormat="false" ht="15" hidden="false" customHeight="true" outlineLevel="0" collapsed="false">
      <c r="A58" s="10" t="s">
        <v>51</v>
      </c>
      <c r="B58" s="3"/>
      <c r="C58" s="13" t="n">
        <f aca="false">C59/C37</f>
        <v>0.150661375661376</v>
      </c>
      <c r="D58" s="13" t="n">
        <f aca="false">D59/D37</f>
        <v>0.241652123327516</v>
      </c>
      <c r="E58" s="13" t="n">
        <f aca="false">E59/E37</f>
        <v>0.223765120240192</v>
      </c>
      <c r="F58" s="18" t="n">
        <v>0.215</v>
      </c>
      <c r="G58" s="18" t="n">
        <v>0.215</v>
      </c>
      <c r="H58" s="18" t="n">
        <v>0.215</v>
      </c>
      <c r="I58" s="18" t="n">
        <v>0.215</v>
      </c>
      <c r="J58" s="18" t="n">
        <v>0.215</v>
      </c>
      <c r="K58" s="3"/>
    </row>
    <row r="59" customFormat="false" ht="15" hidden="false" customHeight="true" outlineLevel="0" collapsed="false">
      <c r="A59" s="10" t="s">
        <v>56</v>
      </c>
      <c r="B59" s="3"/>
      <c r="C59" s="11" t="n">
        <v>3417</v>
      </c>
      <c r="D59" s="11" t="n">
        <v>6231</v>
      </c>
      <c r="E59" s="11" t="n">
        <v>7751</v>
      </c>
      <c r="F59" s="12" t="n">
        <f aca="false">F58*F37</f>
        <v>10574.0698</v>
      </c>
      <c r="G59" s="12" t="n">
        <f aca="false">G58*G37</f>
        <v>14723.89402</v>
      </c>
      <c r="H59" s="12" t="n">
        <f aca="false">H58*H37</f>
        <v>18779.003043</v>
      </c>
      <c r="I59" s="12" t="n">
        <f aca="false">I58*I37</f>
        <v>22587.04388634</v>
      </c>
      <c r="J59" s="12" t="n">
        <f aca="false">J58*J37</f>
        <v>25784.6418584465</v>
      </c>
      <c r="K59" s="3"/>
    </row>
    <row r="60" customFormat="false" ht="15" hidden="false" customHeight="true" outlineLevel="0" collapsed="false">
      <c r="A60" s="10" t="s">
        <v>22</v>
      </c>
      <c r="B60" s="3"/>
      <c r="C60" s="3"/>
      <c r="D60" s="13" t="n">
        <f aca="false">D59/C59-1</f>
        <v>0.823529411764706</v>
      </c>
      <c r="E60" s="13" t="n">
        <f aca="false">E59/D59-1</f>
        <v>0.243941582410528</v>
      </c>
      <c r="F60" s="13" t="n">
        <f aca="false">F59/E59-1</f>
        <v>0.364220074829054</v>
      </c>
      <c r="G60" s="13" t="n">
        <f aca="false">G59/F59-1</f>
        <v>0.392452886966946</v>
      </c>
      <c r="H60" s="13" t="n">
        <f aca="false">H59/G59-1</f>
        <v>0.275410093110681</v>
      </c>
      <c r="I60" s="13" t="n">
        <f aca="false">I59/H59-1</f>
        <v>0.202781842817767</v>
      </c>
      <c r="J60" s="13" t="n">
        <f aca="false">J59/I59-1</f>
        <v>0.141567793828935</v>
      </c>
      <c r="K60" s="3"/>
    </row>
    <row r="61" customFormat="false" ht="15" hidden="false" customHeight="true" outlineLevel="0" collapsed="false">
      <c r="A61" s="9" t="s">
        <v>57</v>
      </c>
      <c r="B61" s="3"/>
      <c r="C61" s="3"/>
      <c r="D61" s="3"/>
      <c r="E61" s="3"/>
      <c r="F61" s="3"/>
      <c r="G61" s="3"/>
      <c r="H61" s="3"/>
      <c r="I61" s="3"/>
      <c r="J61" s="3"/>
      <c r="K61" s="3"/>
    </row>
    <row r="62" customFormat="false" ht="15" hidden="false" customHeight="true" outlineLevel="0" collapsed="false">
      <c r="A62" s="10" t="s">
        <v>51</v>
      </c>
      <c r="B62" s="3"/>
      <c r="C62" s="13" t="n">
        <f aca="false">C63/C37</f>
        <v>0.0811728395061728</v>
      </c>
      <c r="D62" s="13" t="n">
        <f aca="false">D63/D37</f>
        <v>0.128020166763622</v>
      </c>
      <c r="E62" s="13" t="n">
        <f aca="false">E63/E37</f>
        <v>0.149715638442218</v>
      </c>
      <c r="F62" s="18" t="n">
        <v>0.155</v>
      </c>
      <c r="G62" s="18" t="n">
        <v>0.155</v>
      </c>
      <c r="H62" s="18" t="n">
        <v>0.155</v>
      </c>
      <c r="I62" s="18" t="n">
        <v>0.155</v>
      </c>
      <c r="J62" s="18" t="n">
        <v>0.155</v>
      </c>
      <c r="K62" s="3"/>
    </row>
    <row r="63" customFormat="false" ht="15" hidden="false" customHeight="true" outlineLevel="0" collapsed="false">
      <c r="A63" s="10" t="s">
        <v>58</v>
      </c>
      <c r="B63" s="3"/>
      <c r="C63" s="11" t="n">
        <v>1841</v>
      </c>
      <c r="D63" s="11" t="n">
        <v>3301</v>
      </c>
      <c r="E63" s="11" t="n">
        <v>5186</v>
      </c>
      <c r="F63" s="12" t="n">
        <f aca="false">F62*F37</f>
        <v>7623.1666</v>
      </c>
      <c r="G63" s="12" t="n">
        <f aca="false">G62*G37</f>
        <v>10614.90034</v>
      </c>
      <c r="H63" s="12" t="n">
        <f aca="false">H62*H37</f>
        <v>13538.351031</v>
      </c>
      <c r="I63" s="12" t="n">
        <f aca="false">I62*I37</f>
        <v>16283.68280178</v>
      </c>
      <c r="J63" s="12" t="n">
        <f aca="false">J62*J37</f>
        <v>18588.9278514382</v>
      </c>
      <c r="K63" s="3"/>
    </row>
    <row r="64" customFormat="false" ht="15" hidden="false" customHeight="true" outlineLevel="0" collapsed="false">
      <c r="A64" s="10" t="s">
        <v>22</v>
      </c>
      <c r="B64" s="3"/>
      <c r="C64" s="3"/>
      <c r="D64" s="13" t="n">
        <f aca="false">D63/C63-1</f>
        <v>0.793047256925584</v>
      </c>
      <c r="E64" s="13" t="n">
        <f aca="false">E63/D63-1</f>
        <v>0.57103907906695</v>
      </c>
      <c r="F64" s="13" t="n">
        <f aca="false">F63/E63-1</f>
        <v>0.469951137678365</v>
      </c>
      <c r="G64" s="13" t="n">
        <f aca="false">G63/F63-1</f>
        <v>0.392452886966947</v>
      </c>
      <c r="H64" s="13" t="n">
        <f aca="false">H63/G63-1</f>
        <v>0.275410093110681</v>
      </c>
      <c r="I64" s="13" t="n">
        <f aca="false">I63/H63-1</f>
        <v>0.202781842817767</v>
      </c>
      <c r="J64" s="13" t="n">
        <f aca="false">J63/I63-1</f>
        <v>0.141567793828935</v>
      </c>
      <c r="K64" s="3"/>
    </row>
    <row r="65" customFormat="false" ht="15" hidden="false" customHeight="true" outlineLevel="0" collapsed="false">
      <c r="A65" s="9" t="s">
        <v>59</v>
      </c>
      <c r="B65" s="3"/>
      <c r="C65" s="3"/>
      <c r="D65" s="3"/>
      <c r="E65" s="3"/>
      <c r="F65" s="3"/>
      <c r="G65" s="3"/>
      <c r="H65" s="3"/>
      <c r="I65" s="3"/>
      <c r="J65" s="3"/>
      <c r="K65" s="3"/>
    </row>
    <row r="66" customFormat="false" ht="15" hidden="false" customHeight="true" outlineLevel="0" collapsed="false">
      <c r="A66" s="10" t="s">
        <v>51</v>
      </c>
      <c r="B66" s="3"/>
      <c r="C66" s="13" t="n">
        <f aca="false">C67/C37</f>
        <v>0.09836860670194</v>
      </c>
      <c r="D66" s="13" t="n">
        <f aca="false">D67/D37</f>
        <v>0.140159007174714</v>
      </c>
      <c r="E66" s="13" t="n">
        <f aca="false">E67/E37</f>
        <v>0.123675625739773</v>
      </c>
      <c r="F66" s="18" t="n">
        <v>0.12</v>
      </c>
      <c r="G66" s="18" t="n">
        <v>0.12</v>
      </c>
      <c r="H66" s="18" t="n">
        <v>0.12</v>
      </c>
      <c r="I66" s="18" t="n">
        <v>0.12</v>
      </c>
      <c r="J66" s="18" t="n">
        <v>0.12</v>
      </c>
      <c r="K66" s="3"/>
    </row>
    <row r="67" customFormat="false" ht="15" hidden="false" customHeight="true" outlineLevel="0" collapsed="false">
      <c r="A67" s="10" t="s">
        <v>60</v>
      </c>
      <c r="B67" s="3"/>
      <c r="C67" s="11" t="n">
        <v>2231</v>
      </c>
      <c r="D67" s="11" t="n">
        <v>3614</v>
      </c>
      <c r="E67" s="11" t="n">
        <v>4284</v>
      </c>
      <c r="F67" s="12" t="n">
        <f aca="false">F66*F37</f>
        <v>5901.8064</v>
      </c>
      <c r="G67" s="12" t="n">
        <f aca="false">G66*G37</f>
        <v>8217.98736</v>
      </c>
      <c r="H67" s="12" t="n">
        <f aca="false">H66*H37</f>
        <v>10481.304024</v>
      </c>
      <c r="I67" s="12" t="n">
        <f aca="false">I66*I37</f>
        <v>12606.72216912</v>
      </c>
      <c r="J67" s="12" t="n">
        <f aca="false">J66*J37</f>
        <v>14391.4280140166</v>
      </c>
      <c r="K67" s="3"/>
    </row>
    <row r="68" customFormat="false" ht="15" hidden="false" customHeight="true" outlineLevel="0" collapsed="false">
      <c r="A68" s="10" t="s">
        <v>22</v>
      </c>
      <c r="B68" s="3"/>
      <c r="C68" s="3"/>
      <c r="D68" s="13" t="n">
        <f aca="false">D67/C67-1</f>
        <v>0.61990138951143</v>
      </c>
      <c r="E68" s="13" t="n">
        <f aca="false">E67/D67-1</f>
        <v>0.185390149418926</v>
      </c>
      <c r="F68" s="13" t="n">
        <f aca="false">F67/E67-1</f>
        <v>0.377639215686274</v>
      </c>
      <c r="G68" s="13" t="n">
        <f aca="false">G67/F67-1</f>
        <v>0.392452886966946</v>
      </c>
      <c r="H68" s="13" t="n">
        <f aca="false">H67/G67-1</f>
        <v>0.275410093110681</v>
      </c>
      <c r="I68" s="13" t="n">
        <f aca="false">I67/H67-1</f>
        <v>0.202781842817767</v>
      </c>
      <c r="J68" s="13" t="n">
        <f aca="false">J67/I67-1</f>
        <v>0.141567793828935</v>
      </c>
      <c r="K68" s="3"/>
    </row>
    <row r="69" customFormat="false" ht="15" hidden="false" customHeight="true" outlineLevel="0" collapsed="false">
      <c r="A69" s="9" t="s">
        <v>61</v>
      </c>
      <c r="B69" s="3"/>
      <c r="C69" s="3"/>
      <c r="D69" s="3"/>
      <c r="E69" s="3"/>
      <c r="F69" s="3"/>
      <c r="G69" s="3"/>
      <c r="H69" s="3"/>
      <c r="I69" s="3"/>
      <c r="J69" s="3"/>
      <c r="K69" s="3"/>
    </row>
    <row r="70" customFormat="false" ht="15" hidden="false" customHeight="true" outlineLevel="0" collapsed="false">
      <c r="A70" s="10" t="s">
        <v>23</v>
      </c>
      <c r="B70" s="3"/>
      <c r="C70" s="13" t="n">
        <f aca="false">C71/C37</f>
        <v>0.324250440917108</v>
      </c>
      <c r="D70" s="13" t="n">
        <f aca="false">D71/D37</f>
        <v>0.153034710102773</v>
      </c>
      <c r="E70" s="13" t="n">
        <f aca="false">E71/E37</f>
        <v>0.174802967753111</v>
      </c>
      <c r="F70" s="13" t="n">
        <f aca="false">1-F54-F58-F62-F66</f>
        <v>0.18</v>
      </c>
      <c r="G70" s="13" t="n">
        <f aca="false">1-G54-G58-G62-G66</f>
        <v>0.18</v>
      </c>
      <c r="H70" s="13" t="n">
        <f aca="false">1-H54-H58-H62-H66</f>
        <v>0.18</v>
      </c>
      <c r="I70" s="13" t="n">
        <f aca="false">1-I54-I58-I62-I66</f>
        <v>0.18</v>
      </c>
      <c r="J70" s="13" t="n">
        <f aca="false">1-J54-J58-J62-J66</f>
        <v>0.18</v>
      </c>
      <c r="K70" s="4" t="s">
        <v>62</v>
      </c>
    </row>
    <row r="71" customFormat="false" ht="15" hidden="false" customHeight="true" outlineLevel="0" collapsed="false">
      <c r="A71" s="10" t="s">
        <v>63</v>
      </c>
      <c r="B71" s="3"/>
      <c r="C71" s="11" t="n">
        <v>7354</v>
      </c>
      <c r="D71" s="11" t="n">
        <v>3946</v>
      </c>
      <c r="E71" s="11" t="n">
        <v>6055</v>
      </c>
      <c r="F71" s="12" t="n">
        <f aca="false">F70*F37</f>
        <v>8852.7096</v>
      </c>
      <c r="G71" s="12" t="n">
        <f aca="false">G70*G37</f>
        <v>12326.98104</v>
      </c>
      <c r="H71" s="12" t="n">
        <f aca="false">H70*H37</f>
        <v>15721.956036</v>
      </c>
      <c r="I71" s="12" t="n">
        <f aca="false">I70*I37</f>
        <v>18910.08325368</v>
      </c>
      <c r="J71" s="12" t="n">
        <f aca="false">J70*J37</f>
        <v>21587.142021025</v>
      </c>
      <c r="K71" s="3"/>
    </row>
    <row r="72" customFormat="false" ht="15" hidden="false" customHeight="true" outlineLevel="0" collapsed="false">
      <c r="A72" s="10" t="s">
        <v>22</v>
      </c>
      <c r="B72" s="3"/>
      <c r="C72" s="3"/>
      <c r="D72" s="13" t="n">
        <f aca="false">D71/C71-1</f>
        <v>-0.463421267337503</v>
      </c>
      <c r="E72" s="13" t="n">
        <f aca="false">E71/D71-1</f>
        <v>0.534465281297517</v>
      </c>
      <c r="F72" s="13" t="n">
        <f aca="false">F71/E71-1</f>
        <v>0.462049479768786</v>
      </c>
      <c r="G72" s="13" t="n">
        <f aca="false">G71/F71-1</f>
        <v>0.392452886966946</v>
      </c>
      <c r="H72" s="13" t="n">
        <f aca="false">H71/G71-1</f>
        <v>0.275410093110681</v>
      </c>
      <c r="I72" s="13" t="n">
        <f aca="false">I71/H71-1</f>
        <v>0.202781842817767</v>
      </c>
      <c r="J72" s="13" t="n">
        <f aca="false">J71/I71-1</f>
        <v>0.141567793828935</v>
      </c>
      <c r="K72" s="3"/>
    </row>
    <row r="73" customFormat="false" ht="15" hidden="false" customHeight="true" outlineLevel="0" collapsed="false">
      <c r="A73" s="15" t="s">
        <v>64</v>
      </c>
      <c r="B73" s="3"/>
      <c r="C73" s="16" t="n">
        <f aca="false">C55+C59+C63+C67+C71</f>
        <v>22680</v>
      </c>
      <c r="D73" s="16" t="n">
        <f aca="false">D55+D59+D63+D67+D71</f>
        <v>25785</v>
      </c>
      <c r="E73" s="16" t="n">
        <f aca="false">E55+E59+E63+E67+E71</f>
        <v>34639</v>
      </c>
      <c r="F73" s="16" t="n">
        <f aca="false">F55+F59+F63+F67+F71</f>
        <v>49181.72</v>
      </c>
      <c r="G73" s="16" t="n">
        <f aca="false">G55+G59+G63+G67+G71</f>
        <v>68483.228</v>
      </c>
      <c r="H73" s="16" t="n">
        <f aca="false">H55+H59+H63+H67+H71</f>
        <v>87344.2002</v>
      </c>
      <c r="I73" s="16" t="n">
        <f aca="false">I55+I59+I63+I67+I71</f>
        <v>105056.018076</v>
      </c>
      <c r="J73" s="16" t="n">
        <f aca="false">J55+J59+J63+J67+J71</f>
        <v>119928.566783472</v>
      </c>
      <c r="K73" s="3"/>
    </row>
    <row r="74" customFormat="false" ht="15" hidden="false" customHeight="true" outlineLevel="0" collapsed="false">
      <c r="A74" s="10" t="s">
        <v>65</v>
      </c>
      <c r="B74" s="3"/>
      <c r="C74" s="12" t="n">
        <f aca="false">C73-C37</f>
        <v>0</v>
      </c>
      <c r="D74" s="12" t="n">
        <f aca="false">D73-D37</f>
        <v>0</v>
      </c>
      <c r="E74" s="12" t="n">
        <f aca="false">E73-E37</f>
        <v>0</v>
      </c>
      <c r="F74" s="12" t="n">
        <f aca="false">F73-F37</f>
        <v>0</v>
      </c>
      <c r="G74" s="12" t="n">
        <f aca="false">G73-G37</f>
        <v>0</v>
      </c>
      <c r="H74" s="12" t="n">
        <f aca="false">H73-H37</f>
        <v>0</v>
      </c>
      <c r="I74" s="12" t="n">
        <f aca="false">I73-I37</f>
        <v>0</v>
      </c>
      <c r="J74" s="12" t="n">
        <f aca="false">J73-J37</f>
        <v>0</v>
      </c>
      <c r="K74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10" min="2" style="1" width="12"/>
    <col collapsed="false" customWidth="true" hidden="false" outlineLevel="0" max="11" min="11" style="1" width="70"/>
  </cols>
  <sheetData>
    <row r="1" customFormat="false" ht="17.25" hidden="false" customHeight="true" outlineLevel="0" collapsed="false">
      <c r="A1" s="2" t="s">
        <v>66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customFormat="false" ht="15" hidden="false" customHeight="true" outlineLevel="0" collapsed="false">
      <c r="A2" s="4" t="s">
        <v>67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15" hidden="false" customHeight="true" outlineLevel="0" collapsed="false">
      <c r="A4" s="5" t="s">
        <v>2</v>
      </c>
      <c r="B4" s="5"/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  <c r="K4" s="5" t="s">
        <v>11</v>
      </c>
    </row>
    <row r="5" customFormat="false" ht="15" hidden="false" customHeight="true" outlineLevel="0" collapsed="false">
      <c r="A5" s="7" t="s">
        <v>68</v>
      </c>
      <c r="B5" s="8"/>
      <c r="C5" s="8"/>
      <c r="D5" s="8"/>
      <c r="E5" s="8"/>
      <c r="F5" s="8"/>
      <c r="G5" s="8"/>
      <c r="H5" s="8"/>
      <c r="I5" s="8"/>
      <c r="J5" s="8"/>
      <c r="K5" s="8"/>
    </row>
    <row r="6" customFormat="false" ht="15" hidden="false" customHeight="true" outlineLevel="0" collapsed="false">
      <c r="A6" s="10" t="s">
        <v>69</v>
      </c>
      <c r="B6" s="3"/>
      <c r="C6" s="19" t="n">
        <f aca="false">'Revenue Model'!C12</f>
        <v>6496</v>
      </c>
      <c r="D6" s="19" t="n">
        <f aca="false">'Revenue Model'!D12</f>
        <v>12579</v>
      </c>
      <c r="E6" s="19" t="n">
        <f aca="false">'Revenue Model'!E12</f>
        <v>16635</v>
      </c>
      <c r="F6" s="19" t="n">
        <f aca="false">'Revenue Model'!F12</f>
        <v>29914.7</v>
      </c>
      <c r="G6" s="19" t="n">
        <f aca="false">'Revenue Model'!G12</f>
        <v>47935.346</v>
      </c>
      <c r="H6" s="19" t="n">
        <f aca="false">'Revenue Model'!H12</f>
        <v>64983.24444</v>
      </c>
      <c r="I6" s="19" t="n">
        <f aca="false">'Revenue Model'!I12</f>
        <v>81484.2787728</v>
      </c>
      <c r="J6" s="19" t="n">
        <f aca="false">'Revenue Model'!J12</f>
        <v>95918.23915008</v>
      </c>
      <c r="K6" s="3"/>
    </row>
    <row r="7" customFormat="false" ht="15" hidden="false" customHeight="true" outlineLevel="0" collapsed="false">
      <c r="A7" s="10" t="s">
        <v>70</v>
      </c>
      <c r="B7" s="3"/>
      <c r="C7" s="19" t="n">
        <f aca="false">'Revenue Model'!C22</f>
        <v>10863</v>
      </c>
      <c r="D7" s="19" t="n">
        <f aca="false">'Revenue Model'!D22</f>
        <v>9649</v>
      </c>
      <c r="E7" s="19" t="n">
        <f aca="false">'Revenue Model'!E22</f>
        <v>14550</v>
      </c>
      <c r="F7" s="19" t="n">
        <f aca="false">'Revenue Model'!F22</f>
        <v>15364</v>
      </c>
      <c r="G7" s="19" t="n">
        <f aca="false">'Revenue Model'!G22</f>
        <v>16254.56</v>
      </c>
      <c r="H7" s="19" t="n">
        <f aca="false">'Revenue Model'!H22</f>
        <v>17724.168</v>
      </c>
      <c r="I7" s="19" t="n">
        <f aca="false">'Revenue Model'!I22</f>
        <v>18610.3764</v>
      </c>
      <c r="J7" s="19" t="n">
        <f aca="false">'Revenue Model'!J22</f>
        <v>18751.282956</v>
      </c>
      <c r="K7" s="3"/>
    </row>
    <row r="8" customFormat="false" ht="15" hidden="false" customHeight="true" outlineLevel="0" collapsed="false">
      <c r="A8" s="10" t="s">
        <v>71</v>
      </c>
      <c r="B8" s="3"/>
      <c r="C8" s="19" t="n">
        <f aca="false">'Revenue Model'!C27</f>
        <v>5321</v>
      </c>
      <c r="D8" s="19" t="n">
        <f aca="false">'Revenue Model'!D27</f>
        <v>3557</v>
      </c>
      <c r="E8" s="19" t="n">
        <f aca="false">'Revenue Model'!E27</f>
        <v>3454</v>
      </c>
      <c r="F8" s="19" t="n">
        <f aca="false">'Revenue Model'!F27</f>
        <v>3903.02</v>
      </c>
      <c r="G8" s="19" t="n">
        <f aca="false">'Revenue Model'!G27</f>
        <v>4293.322</v>
      </c>
      <c r="H8" s="19" t="n">
        <f aca="false">'Revenue Model'!H27</f>
        <v>4636.78776</v>
      </c>
      <c r="I8" s="19" t="n">
        <f aca="false">'Revenue Model'!I27</f>
        <v>4961.3629032</v>
      </c>
      <c r="J8" s="19" t="n">
        <f aca="false">'Revenue Model'!J27</f>
        <v>5259.044677392</v>
      </c>
      <c r="K8" s="3"/>
    </row>
    <row r="9" customFormat="false" ht="15" hidden="false" customHeight="true" outlineLevel="0" collapsed="false">
      <c r="A9" s="15" t="s">
        <v>72</v>
      </c>
      <c r="B9" s="3"/>
      <c r="C9" s="16" t="n">
        <f aca="false">SUM(C6:C8)</f>
        <v>22680</v>
      </c>
      <c r="D9" s="16" t="n">
        <f aca="false">SUM(D6:D8)</f>
        <v>25785</v>
      </c>
      <c r="E9" s="16" t="n">
        <f aca="false">SUM(E6:E8)</f>
        <v>34639</v>
      </c>
      <c r="F9" s="16" t="n">
        <f aca="false">SUM(F6:F8)</f>
        <v>49181.72</v>
      </c>
      <c r="G9" s="16" t="n">
        <f aca="false">SUM(G6:G8)</f>
        <v>68483.228</v>
      </c>
      <c r="H9" s="16" t="n">
        <f aca="false">SUM(H6:H8)</f>
        <v>87344.2002</v>
      </c>
      <c r="I9" s="16" t="n">
        <f aca="false">SUM(I6:I8)</f>
        <v>105056.018076</v>
      </c>
      <c r="J9" s="16" t="n">
        <f aca="false">SUM(J6:J8)</f>
        <v>119928.566783472</v>
      </c>
      <c r="K9" s="4" t="s">
        <v>38</v>
      </c>
    </row>
    <row r="10" customFormat="false" ht="15" hidden="false" customHeight="true" outlineLevel="0" collapsed="false">
      <c r="A10" s="10" t="s">
        <v>22</v>
      </c>
      <c r="B10" s="3"/>
      <c r="C10" s="3"/>
      <c r="D10" s="13" t="n">
        <f aca="false">D9/C9-1</f>
        <v>0.136904761904762</v>
      </c>
      <c r="E10" s="13" t="n">
        <f aca="false">E9/D9-1</f>
        <v>0.343377932906729</v>
      </c>
      <c r="F10" s="13" t="n">
        <f aca="false">F9/E9-1</f>
        <v>0.419836600363752</v>
      </c>
      <c r="G10" s="13" t="n">
        <f aca="false">G9/F9-1</f>
        <v>0.392452886966947</v>
      </c>
      <c r="H10" s="13" t="n">
        <f aca="false">H9/G9-1</f>
        <v>0.275410093110681</v>
      </c>
      <c r="I10" s="13" t="n">
        <f aca="false">I9/H9-1</f>
        <v>0.202781842817767</v>
      </c>
      <c r="J10" s="13" t="n">
        <f aca="false">J9/I9-1</f>
        <v>0.141567793828935</v>
      </c>
      <c r="K10" s="3"/>
    </row>
    <row r="11" customFormat="false" ht="15" hidden="false" customHeight="tru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customFormat="false" ht="15" hidden="false" customHeight="true" outlineLevel="0" collapsed="false">
      <c r="A12" s="7" t="s">
        <v>73</v>
      </c>
      <c r="B12" s="8"/>
      <c r="C12" s="8"/>
      <c r="D12" s="8"/>
      <c r="E12" s="8"/>
      <c r="F12" s="8"/>
      <c r="G12" s="8"/>
      <c r="H12" s="8"/>
      <c r="I12" s="8"/>
      <c r="J12" s="8"/>
      <c r="K12" s="8"/>
    </row>
    <row r="13" customFormat="false" ht="15" hidden="false" customHeight="true" outlineLevel="0" collapsed="false">
      <c r="A13" s="10" t="s">
        <v>74</v>
      </c>
      <c r="B13" s="3"/>
      <c r="C13" s="11" t="n">
        <v>11278</v>
      </c>
      <c r="D13" s="11" t="n">
        <v>12114</v>
      </c>
      <c r="E13" s="11" t="n">
        <v>16456</v>
      </c>
      <c r="F13" s="12" t="n">
        <f aca="false">F9*F14</f>
        <v>22377.6826</v>
      </c>
      <c r="G13" s="12" t="n">
        <f aca="false">G9*G14</f>
        <v>30817.4526</v>
      </c>
      <c r="H13" s="12" t="n">
        <f aca="false">H9*H14</f>
        <v>38868.169089</v>
      </c>
      <c r="I13" s="12" t="n">
        <f aca="false">I9*I14</f>
        <v>46224.64795344</v>
      </c>
      <c r="J13" s="12" t="n">
        <f aca="false">J9*J14</f>
        <v>52768.5693847277</v>
      </c>
      <c r="K13" s="3"/>
    </row>
    <row r="14" customFormat="false" ht="15" hidden="false" customHeight="true" outlineLevel="0" collapsed="false">
      <c r="A14" s="10" t="s">
        <v>75</v>
      </c>
      <c r="B14" s="3"/>
      <c r="C14" s="13" t="n">
        <f aca="false">C13/C9</f>
        <v>0.497266313932981</v>
      </c>
      <c r="D14" s="13" t="n">
        <f aca="false">D13/D9</f>
        <v>0.469808027923211</v>
      </c>
      <c r="E14" s="13" t="n">
        <f aca="false">E13/E9</f>
        <v>0.475071451254366</v>
      </c>
      <c r="F14" s="14" t="n">
        <f aca="false">Scenarios!F36</f>
        <v>0.455</v>
      </c>
      <c r="G14" s="14" t="n">
        <f aca="false">Scenarios!G36</f>
        <v>0.45</v>
      </c>
      <c r="H14" s="14" t="n">
        <f aca="false">Scenarios!H36</f>
        <v>0.445</v>
      </c>
      <c r="I14" s="14" t="n">
        <f aca="false">Scenarios!I36</f>
        <v>0.44</v>
      </c>
      <c r="J14" s="14" t="n">
        <f aca="false">Scenarios!J36</f>
        <v>0.44</v>
      </c>
      <c r="K14" s="3"/>
    </row>
    <row r="15" customFormat="false" ht="15" hidden="false" customHeight="true" outlineLevel="0" collapsed="false">
      <c r="A15" s="10" t="s">
        <v>76</v>
      </c>
      <c r="B15" s="3"/>
      <c r="C15" s="11" t="n">
        <v>942</v>
      </c>
      <c r="D15" s="11" t="n">
        <v>946</v>
      </c>
      <c r="E15" s="11" t="n">
        <v>1031</v>
      </c>
      <c r="F15" s="20" t="n">
        <v>1040</v>
      </c>
      <c r="G15" s="20" t="n">
        <v>950</v>
      </c>
      <c r="H15" s="20" t="n">
        <v>850</v>
      </c>
      <c r="I15" s="20" t="n">
        <v>700</v>
      </c>
      <c r="J15" s="20" t="n">
        <v>600</v>
      </c>
      <c r="K15" s="4" t="s">
        <v>77</v>
      </c>
    </row>
    <row r="16" customFormat="false" ht="15" hidden="false" customHeight="true" outlineLevel="0" collapsed="false">
      <c r="A16" s="21" t="s">
        <v>78</v>
      </c>
      <c r="B16" s="3"/>
      <c r="C16" s="22" t="n">
        <f aca="false">C13+C15</f>
        <v>12220</v>
      </c>
      <c r="D16" s="22" t="n">
        <f aca="false">D13+D15</f>
        <v>13060</v>
      </c>
      <c r="E16" s="22" t="n">
        <f aca="false">E13+E15</f>
        <v>17487</v>
      </c>
      <c r="F16" s="22" t="n">
        <f aca="false">F13+F15</f>
        <v>23417.6826</v>
      </c>
      <c r="G16" s="22" t="n">
        <f aca="false">G13+G15</f>
        <v>31767.4526</v>
      </c>
      <c r="H16" s="22" t="n">
        <f aca="false">H13+H15</f>
        <v>39718.169089</v>
      </c>
      <c r="I16" s="22" t="n">
        <f aca="false">I13+I15</f>
        <v>46924.64795344</v>
      </c>
      <c r="J16" s="22" t="n">
        <f aca="false">J13+J15</f>
        <v>53368.5693847277</v>
      </c>
      <c r="K16" s="3"/>
    </row>
    <row r="17" customFormat="false" ht="15" hidden="false" customHeight="true" outlineLevel="0" collapsed="false">
      <c r="A17" s="9" t="s">
        <v>79</v>
      </c>
      <c r="B17" s="3"/>
      <c r="C17" s="23" t="n">
        <f aca="false">C9-C16</f>
        <v>10460</v>
      </c>
      <c r="D17" s="23" t="n">
        <f aca="false">D9-D16</f>
        <v>12725</v>
      </c>
      <c r="E17" s="23" t="n">
        <f aca="false">E9-E16</f>
        <v>17152</v>
      </c>
      <c r="F17" s="23" t="n">
        <f aca="false">F9-F16</f>
        <v>25764.0374</v>
      </c>
      <c r="G17" s="23" t="n">
        <f aca="false">G9-G16</f>
        <v>36715.7754</v>
      </c>
      <c r="H17" s="23" t="n">
        <f aca="false">H9-H16</f>
        <v>47626.031111</v>
      </c>
      <c r="I17" s="23" t="n">
        <f aca="false">I9-I16</f>
        <v>58131.37012256</v>
      </c>
      <c r="J17" s="23" t="n">
        <f aca="false">J9-J16</f>
        <v>66559.9973987443</v>
      </c>
      <c r="K17" s="3"/>
    </row>
    <row r="18" customFormat="false" ht="15" hidden="false" customHeight="true" outlineLevel="0" collapsed="false">
      <c r="A18" s="10" t="s">
        <v>80</v>
      </c>
      <c r="B18" s="3"/>
      <c r="C18" s="13" t="n">
        <f aca="false">C17/C9</f>
        <v>0.461199294532628</v>
      </c>
      <c r="D18" s="13" t="n">
        <f aca="false">D17/D9</f>
        <v>0.493503975179368</v>
      </c>
      <c r="E18" s="13" t="n">
        <f aca="false">E17/E9</f>
        <v>0.495164410058027</v>
      </c>
      <c r="F18" s="13" t="n">
        <f aca="false">F17/F9</f>
        <v>0.523853931908034</v>
      </c>
      <c r="G18" s="13" t="n">
        <f aca="false">G17/G9</f>
        <v>0.536127990345315</v>
      </c>
      <c r="H18" s="13" t="n">
        <f aca="false">H17/H9</f>
        <v>0.545268386474962</v>
      </c>
      <c r="I18" s="13" t="n">
        <f aca="false">I17/I9</f>
        <v>0.553336888140063</v>
      </c>
      <c r="J18" s="13" t="n">
        <f aca="false">J17/J9</f>
        <v>0.55499702184315</v>
      </c>
      <c r="K18" s="3"/>
    </row>
    <row r="19" customFormat="false" ht="15" hidden="false" customHeight="true" outlineLevel="0" collapsed="false">
      <c r="A19" s="10" t="s">
        <v>81</v>
      </c>
      <c r="B19" s="3"/>
      <c r="C19" s="13" t="n">
        <f aca="false">1-C14</f>
        <v>0.502733686067019</v>
      </c>
      <c r="D19" s="13" t="n">
        <f aca="false">1-D14</f>
        <v>0.530191972076789</v>
      </c>
      <c r="E19" s="13" t="n">
        <f aca="false">1-E14</f>
        <v>0.524928548745634</v>
      </c>
      <c r="F19" s="13" t="n">
        <f aca="false">1-F14</f>
        <v>0.545</v>
      </c>
      <c r="G19" s="13" t="n">
        <f aca="false">1-G14</f>
        <v>0.55</v>
      </c>
      <c r="H19" s="13" t="n">
        <f aca="false">1-H14</f>
        <v>0.555</v>
      </c>
      <c r="I19" s="13" t="n">
        <f aca="false">1-I14</f>
        <v>0.56</v>
      </c>
      <c r="J19" s="13" t="n">
        <f aca="false">1-J14</f>
        <v>0.56</v>
      </c>
      <c r="K19" s="3"/>
    </row>
    <row r="20" customFormat="false" ht="1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customFormat="false" ht="15" hidden="false" customHeight="true" outlineLevel="0" collapsed="false">
      <c r="A21" s="7" t="s">
        <v>82</v>
      </c>
      <c r="B21" s="8"/>
      <c r="C21" s="8"/>
      <c r="D21" s="8"/>
      <c r="E21" s="8"/>
      <c r="F21" s="8"/>
      <c r="G21" s="8"/>
      <c r="H21" s="8"/>
      <c r="I21" s="8"/>
      <c r="J21" s="8"/>
      <c r="K21" s="8"/>
    </row>
    <row r="22" customFormat="false" ht="15" hidden="false" customHeight="true" outlineLevel="0" collapsed="false">
      <c r="A22" s="10" t="s">
        <v>83</v>
      </c>
      <c r="B22" s="3"/>
      <c r="C22" s="11" t="n">
        <v>5872</v>
      </c>
      <c r="D22" s="11" t="n">
        <v>6456</v>
      </c>
      <c r="E22" s="11" t="n">
        <v>8091</v>
      </c>
      <c r="F22" s="12" t="n">
        <f aca="false">F9*F23</f>
        <v>10328.1612</v>
      </c>
      <c r="G22" s="12" t="n">
        <f aca="false">G9*G23</f>
        <v>13354.22946</v>
      </c>
      <c r="H22" s="12" t="n">
        <f aca="false">H9*H23</f>
        <v>15721.956036</v>
      </c>
      <c r="I22" s="12" t="n">
        <f aca="false">I9*I23</f>
        <v>17859.52307292</v>
      </c>
      <c r="J22" s="12" t="n">
        <f aca="false">J9*J23</f>
        <v>19788.2135192729</v>
      </c>
      <c r="K22" s="3"/>
    </row>
    <row r="23" customFormat="false" ht="15" hidden="false" customHeight="true" outlineLevel="0" collapsed="false">
      <c r="A23" s="10" t="s">
        <v>75</v>
      </c>
      <c r="B23" s="3"/>
      <c r="C23" s="13" t="n">
        <f aca="false">C22/C9</f>
        <v>0.258906525573192</v>
      </c>
      <c r="D23" s="13" t="n">
        <f aca="false">D22/D9</f>
        <v>0.250378126817917</v>
      </c>
      <c r="E23" s="13" t="n">
        <f aca="false">E22/E9</f>
        <v>0.233580646092555</v>
      </c>
      <c r="F23" s="14" t="n">
        <f aca="false">Scenarios!F41</f>
        <v>0.21</v>
      </c>
      <c r="G23" s="14" t="n">
        <f aca="false">Scenarios!G41</f>
        <v>0.195</v>
      </c>
      <c r="H23" s="14" t="n">
        <f aca="false">Scenarios!H41</f>
        <v>0.18</v>
      </c>
      <c r="I23" s="14" t="n">
        <f aca="false">Scenarios!I41</f>
        <v>0.17</v>
      </c>
      <c r="J23" s="14" t="n">
        <f aca="false">Scenarios!J41</f>
        <v>0.165</v>
      </c>
      <c r="K23" s="3"/>
    </row>
    <row r="24" customFormat="false" ht="15" hidden="false" customHeight="true" outlineLevel="0" collapsed="false">
      <c r="A24" s="10" t="s">
        <v>84</v>
      </c>
      <c r="B24" s="3"/>
      <c r="C24" s="11" t="n">
        <v>2318</v>
      </c>
      <c r="D24" s="11" t="n">
        <v>2735</v>
      </c>
      <c r="E24" s="11" t="n">
        <v>4144</v>
      </c>
      <c r="F24" s="12" t="n">
        <f aca="false">F9*F25</f>
        <v>5655.8978</v>
      </c>
      <c r="G24" s="12" t="n">
        <f aca="false">G9*G25</f>
        <v>7190.73894</v>
      </c>
      <c r="H24" s="12" t="n">
        <f aca="false">H9*H25</f>
        <v>8297.699019</v>
      </c>
      <c r="I24" s="12" t="n">
        <f aca="false">I9*I25</f>
        <v>9455.04162684</v>
      </c>
      <c r="J24" s="12" t="n">
        <f aca="false">J9*J25</f>
        <v>10193.9281765951</v>
      </c>
      <c r="K24" s="4" t="s">
        <v>85</v>
      </c>
    </row>
    <row r="25" customFormat="false" ht="15" hidden="false" customHeight="true" outlineLevel="0" collapsed="false">
      <c r="A25" s="10" t="s">
        <v>75</v>
      </c>
      <c r="B25" s="3"/>
      <c r="C25" s="13" t="n">
        <f aca="false">C24/C9</f>
        <v>0.102204585537919</v>
      </c>
      <c r="D25" s="13" t="n">
        <f aca="false">D24/D9</f>
        <v>0.106069420205546</v>
      </c>
      <c r="E25" s="13" t="n">
        <f aca="false">E24/E9</f>
        <v>0.119633938624094</v>
      </c>
      <c r="F25" s="14" t="n">
        <f aca="false">Scenarios!F46</f>
        <v>0.115</v>
      </c>
      <c r="G25" s="14" t="n">
        <f aca="false">Scenarios!G46</f>
        <v>0.105</v>
      </c>
      <c r="H25" s="14" t="n">
        <f aca="false">Scenarios!H46</f>
        <v>0.095</v>
      </c>
      <c r="I25" s="14" t="n">
        <f aca="false">Scenarios!I46</f>
        <v>0.09</v>
      </c>
      <c r="J25" s="14" t="n">
        <f aca="false">Scenarios!J46</f>
        <v>0.085</v>
      </c>
      <c r="K25" s="3"/>
    </row>
    <row r="26" customFormat="false" ht="15" hidden="false" customHeight="true" outlineLevel="0" collapsed="false">
      <c r="A26" s="10" t="s">
        <v>86</v>
      </c>
      <c r="B26" s="3"/>
      <c r="C26" s="11" t="n">
        <v>1869</v>
      </c>
      <c r="D26" s="11" t="n">
        <v>1448</v>
      </c>
      <c r="E26" s="11" t="n">
        <v>1223</v>
      </c>
      <c r="F26" s="20" t="n">
        <v>1140</v>
      </c>
      <c r="G26" s="20" t="n">
        <v>900</v>
      </c>
      <c r="H26" s="20" t="n">
        <v>700</v>
      </c>
      <c r="I26" s="20" t="n">
        <v>500</v>
      </c>
      <c r="J26" s="20" t="n">
        <v>400</v>
      </c>
      <c r="K26" s="4" t="s">
        <v>87</v>
      </c>
    </row>
    <row r="27" customFormat="false" ht="15" hidden="false" customHeight="true" outlineLevel="0" collapsed="false">
      <c r="A27" s="10" t="s">
        <v>88</v>
      </c>
      <c r="B27" s="3"/>
      <c r="C27" s="11" t="n">
        <v>0</v>
      </c>
      <c r="D27" s="11" t="n">
        <v>186</v>
      </c>
      <c r="E27" s="11" t="n">
        <v>0</v>
      </c>
      <c r="F27" s="20" t="n">
        <v>0</v>
      </c>
      <c r="G27" s="20" t="n">
        <v>0</v>
      </c>
      <c r="H27" s="20" t="n">
        <v>0</v>
      </c>
      <c r="I27" s="20" t="n">
        <v>0</v>
      </c>
      <c r="J27" s="20" t="n">
        <v>0</v>
      </c>
      <c r="K27" s="3"/>
    </row>
    <row r="28" customFormat="false" ht="15" hidden="false" customHeight="true" outlineLevel="0" collapsed="false">
      <c r="A28" s="21" t="s">
        <v>89</v>
      </c>
      <c r="B28" s="3"/>
      <c r="C28" s="22" t="n">
        <f aca="false">C22+C24+C26+C27</f>
        <v>10059</v>
      </c>
      <c r="D28" s="22" t="n">
        <f aca="false">D22+D24+D26+D27</f>
        <v>10825</v>
      </c>
      <c r="E28" s="22" t="n">
        <f aca="false">E22+E24+E26+E27</f>
        <v>13458</v>
      </c>
      <c r="F28" s="22" t="n">
        <f aca="false">F22+F24+F26+F27</f>
        <v>17124.059</v>
      </c>
      <c r="G28" s="22" t="n">
        <f aca="false">G22+G24+G26+G27</f>
        <v>21444.9684</v>
      </c>
      <c r="H28" s="22" t="n">
        <f aca="false">H22+H24+H26+H27</f>
        <v>24719.655055</v>
      </c>
      <c r="I28" s="22" t="n">
        <f aca="false">I22+I24+I26+I27</f>
        <v>27814.56469976</v>
      </c>
      <c r="J28" s="22" t="n">
        <f aca="false">J22+J24+J26+J27</f>
        <v>30382.141695868</v>
      </c>
      <c r="K28" s="3"/>
    </row>
    <row r="29" customFormat="false" ht="15" hidden="false" customHeight="true" outlineLevel="0" collapsed="false">
      <c r="A29" s="10" t="s">
        <v>75</v>
      </c>
      <c r="B29" s="3"/>
      <c r="C29" s="13" t="n">
        <f aca="false">C28/C9</f>
        <v>0.443518518518519</v>
      </c>
      <c r="D29" s="13" t="n">
        <f aca="false">D28/D9</f>
        <v>0.419817723482645</v>
      </c>
      <c r="E29" s="13" t="n">
        <f aca="false">E28/E9</f>
        <v>0.388521608591472</v>
      </c>
      <c r="F29" s="13" t="n">
        <f aca="false">F28/F9</f>
        <v>0.34817934387004</v>
      </c>
      <c r="G29" s="13" t="n">
        <f aca="false">G28/G9</f>
        <v>0.313141903883386</v>
      </c>
      <c r="H29" s="13" t="n">
        <f aca="false">H28/H9</f>
        <v>0.283014269961796</v>
      </c>
      <c r="I29" s="13" t="n">
        <f aca="false">I28/I9</f>
        <v>0.264759365614241</v>
      </c>
      <c r="J29" s="13" t="n">
        <f aca="false">J28/J9</f>
        <v>0.253335318771233</v>
      </c>
      <c r="K29" s="3"/>
    </row>
    <row r="30" customFormat="false" ht="1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customFormat="false" ht="15" hidden="false" customHeight="true" outlineLevel="0" collapsed="false">
      <c r="A31" s="9" t="s">
        <v>90</v>
      </c>
      <c r="B31" s="3"/>
      <c r="C31" s="23" t="n">
        <f aca="false">C17-C28</f>
        <v>401</v>
      </c>
      <c r="D31" s="23" t="n">
        <f aca="false">D17-D28</f>
        <v>1900</v>
      </c>
      <c r="E31" s="23" t="n">
        <f aca="false">E17-E28</f>
        <v>3694</v>
      </c>
      <c r="F31" s="23" t="n">
        <f aca="false">F17-F28</f>
        <v>8639.9784</v>
      </c>
      <c r="G31" s="23" t="n">
        <f aca="false">G17-G28</f>
        <v>15270.807</v>
      </c>
      <c r="H31" s="23" t="n">
        <f aca="false">H17-H28</f>
        <v>22906.376056</v>
      </c>
      <c r="I31" s="23" t="n">
        <f aca="false">I17-I28</f>
        <v>30316.8054228</v>
      </c>
      <c r="J31" s="23" t="n">
        <f aca="false">J17-J28</f>
        <v>36177.8557028763</v>
      </c>
      <c r="K31" s="3"/>
    </row>
    <row r="32" customFormat="false" ht="15" hidden="false" customHeight="true" outlineLevel="0" collapsed="false">
      <c r="A32" s="10" t="s">
        <v>91</v>
      </c>
      <c r="B32" s="3"/>
      <c r="C32" s="13" t="n">
        <f aca="false">C31/C9</f>
        <v>0.0176807760141093</v>
      </c>
      <c r="D32" s="13" t="n">
        <f aca="false">D31/D9</f>
        <v>0.0736862516967229</v>
      </c>
      <c r="E32" s="13" t="n">
        <f aca="false">E31/E9</f>
        <v>0.106642801466555</v>
      </c>
      <c r="F32" s="13" t="n">
        <f aca="false">F31/F9</f>
        <v>0.175674588037995</v>
      </c>
      <c r="G32" s="13" t="n">
        <f aca="false">G31/G9</f>
        <v>0.222986086461929</v>
      </c>
      <c r="H32" s="13" t="n">
        <f aca="false">H31/H9</f>
        <v>0.262254116513165</v>
      </c>
      <c r="I32" s="13" t="n">
        <f aca="false">I31/I9</f>
        <v>0.288577522525822</v>
      </c>
      <c r="J32" s="13" t="n">
        <f aca="false">J31/J9</f>
        <v>0.301661703071917</v>
      </c>
      <c r="K32" s="3"/>
    </row>
    <row r="33" customFormat="false" ht="15" hidden="false" customHeight="true" outlineLevel="0" collapsed="false">
      <c r="A33" s="10" t="s">
        <v>92</v>
      </c>
      <c r="B33" s="3"/>
      <c r="C33" s="11" t="n">
        <v>401</v>
      </c>
      <c r="D33" s="11" t="n">
        <v>1900</v>
      </c>
      <c r="E33" s="11" t="n">
        <v>3694</v>
      </c>
      <c r="F33" s="3"/>
      <c r="G33" s="3"/>
      <c r="H33" s="3"/>
      <c r="I33" s="3"/>
      <c r="J33" s="3"/>
      <c r="K33" s="3"/>
    </row>
    <row r="34" customFormat="false" ht="15" hidden="false" customHeight="true" outlineLevel="0" collapsed="false">
      <c r="A34" s="10" t="s">
        <v>93</v>
      </c>
      <c r="B34" s="3"/>
      <c r="C34" s="12" t="n">
        <f aca="false">C31-C33</f>
        <v>0</v>
      </c>
      <c r="D34" s="12" t="n">
        <f aca="false">D31-D33</f>
        <v>0</v>
      </c>
      <c r="E34" s="12" t="n">
        <f aca="false">E31-E33</f>
        <v>0</v>
      </c>
      <c r="F34" s="3"/>
      <c r="G34" s="3"/>
      <c r="H34" s="3"/>
      <c r="I34" s="3"/>
      <c r="J34" s="3"/>
      <c r="K34" s="3"/>
    </row>
    <row r="35" customFormat="false" ht="1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customFormat="false" ht="15" hidden="false" customHeight="true" outlineLevel="0" collapsed="false">
      <c r="A36" s="7" t="s">
        <v>94</v>
      </c>
      <c r="B36" s="8"/>
      <c r="C36" s="8"/>
      <c r="D36" s="8"/>
      <c r="E36" s="8"/>
      <c r="F36" s="8"/>
      <c r="G36" s="8"/>
      <c r="H36" s="8"/>
      <c r="I36" s="8"/>
      <c r="J36" s="8"/>
      <c r="K36" s="8"/>
    </row>
    <row r="37" customFormat="false" ht="15" hidden="false" customHeight="true" outlineLevel="0" collapsed="false">
      <c r="A37" s="10" t="s">
        <v>95</v>
      </c>
      <c r="B37" s="3"/>
      <c r="C37" s="19" t="n">
        <f aca="false">'Cash Flow Statement'!C8</f>
        <v>642</v>
      </c>
      <c r="D37" s="19" t="n">
        <f aca="false">'Cash Flow Statement'!D8</f>
        <v>671</v>
      </c>
      <c r="E37" s="19" t="n">
        <f aca="false">'Cash Flow Statement'!E8</f>
        <v>750</v>
      </c>
      <c r="F37" s="19" t="n">
        <f aca="false">'Cash Flow Statement'!F8</f>
        <v>855.44</v>
      </c>
      <c r="G37" s="19" t="n">
        <f aca="false">'Cash Flow Statement'!G8</f>
        <v>1448.78902</v>
      </c>
      <c r="H37" s="19" t="n">
        <f aca="false">'Cash Flow Statement'!H8</f>
        <v>2052.9828288</v>
      </c>
      <c r="I37" s="19" t="n">
        <f aca="false">'Cash Flow Statement'!I8</f>
        <v>2586.073345104</v>
      </c>
      <c r="J37" s="19" t="n">
        <f aca="false">'Cash Flow Statement'!J8</f>
        <v>2989.70164149972</v>
      </c>
      <c r="K37" s="3"/>
    </row>
    <row r="38" customFormat="false" ht="15" hidden="false" customHeight="true" outlineLevel="0" collapsed="false">
      <c r="A38" s="10" t="s">
        <v>96</v>
      </c>
      <c r="B38" s="3"/>
      <c r="C38" s="12" t="n">
        <f aca="false">C15+C26</f>
        <v>2811</v>
      </c>
      <c r="D38" s="12" t="n">
        <f aca="false">D15+D26</f>
        <v>2394</v>
      </c>
      <c r="E38" s="12" t="n">
        <f aca="false">E15+E26</f>
        <v>2254</v>
      </c>
      <c r="F38" s="12" t="n">
        <f aca="false">F15+F26</f>
        <v>2180</v>
      </c>
      <c r="G38" s="12" t="n">
        <f aca="false">G15+G26</f>
        <v>1850</v>
      </c>
      <c r="H38" s="12" t="n">
        <f aca="false">H15+H26</f>
        <v>1550</v>
      </c>
      <c r="I38" s="12" t="n">
        <f aca="false">I15+I26</f>
        <v>1200</v>
      </c>
      <c r="J38" s="12" t="n">
        <f aca="false">J15+J26</f>
        <v>1000</v>
      </c>
      <c r="K38" s="3"/>
    </row>
    <row r="39" customFormat="false" ht="15" hidden="false" customHeight="true" outlineLevel="0" collapsed="false">
      <c r="A39" s="9" t="s">
        <v>97</v>
      </c>
      <c r="B39" s="3"/>
      <c r="C39" s="23" t="n">
        <f aca="false">C31+C37+C38</f>
        <v>3854</v>
      </c>
      <c r="D39" s="23" t="n">
        <f aca="false">D31+D37+D38</f>
        <v>4965</v>
      </c>
      <c r="E39" s="23" t="n">
        <f aca="false">E31+E37+E38</f>
        <v>6698</v>
      </c>
      <c r="F39" s="23" t="n">
        <f aca="false">F31+F37+F38</f>
        <v>11675.4184</v>
      </c>
      <c r="G39" s="23" t="n">
        <f aca="false">G31+G37+G38</f>
        <v>18569.59602</v>
      </c>
      <c r="H39" s="23" t="n">
        <f aca="false">H31+H37+H38</f>
        <v>26509.3588848</v>
      </c>
      <c r="I39" s="23" t="n">
        <f aca="false">I31+I37+I38</f>
        <v>34102.878767904</v>
      </c>
      <c r="J39" s="23" t="n">
        <f aca="false">J31+J37+J38</f>
        <v>40167.557344376</v>
      </c>
      <c r="K39" s="3"/>
    </row>
    <row r="40" customFormat="false" ht="15" hidden="false" customHeight="true" outlineLevel="0" collapsed="false">
      <c r="A40" s="10" t="s">
        <v>98</v>
      </c>
      <c r="B40" s="3"/>
      <c r="C40" s="13" t="n">
        <f aca="false">C39/C9</f>
        <v>0.169929453262787</v>
      </c>
      <c r="D40" s="13" t="n">
        <f aca="false">D39/D9</f>
        <v>0.192553810354857</v>
      </c>
      <c r="E40" s="13" t="n">
        <f aca="false">E39/E9</f>
        <v>0.19336585929155</v>
      </c>
      <c r="F40" s="13" t="n">
        <f aca="false">F39/F9</f>
        <v>0.237393454315953</v>
      </c>
      <c r="G40" s="13" t="n">
        <f aca="false">G39/G9</f>
        <v>0.271155384497939</v>
      </c>
      <c r="H40" s="13" t="n">
        <f aca="false">H39/H9</f>
        <v>0.303504512309908</v>
      </c>
      <c r="I40" s="13" t="n">
        <f aca="false">I39/I9</f>
        <v>0.324616137109187</v>
      </c>
      <c r="J40" s="13" t="n">
        <f aca="false">J39/J9</f>
        <v>0.334929020013201</v>
      </c>
      <c r="K40" s="3"/>
    </row>
    <row r="41" customFormat="false" ht="15" hidden="false" customHeight="true" outlineLevel="0" collapsed="false">
      <c r="A41" s="10" t="s">
        <v>99</v>
      </c>
      <c r="B41" s="3"/>
      <c r="C41" s="19" t="n">
        <f aca="false">'Cash Flow Statement'!C11</f>
        <v>1384</v>
      </c>
      <c r="D41" s="19" t="n">
        <f aca="false">'Cash Flow Statement'!D11</f>
        <v>1407</v>
      </c>
      <c r="E41" s="19" t="n">
        <f aca="false">'Cash Flow Statement'!E11</f>
        <v>1638</v>
      </c>
      <c r="F41" s="19" t="n">
        <f aca="false">'Cash Flow Statement'!F11</f>
        <v>2213.1774</v>
      </c>
      <c r="G41" s="19" t="n">
        <f aca="false">'Cash Flow Statement'!G11</f>
        <v>2739.32912</v>
      </c>
      <c r="H41" s="19" t="n">
        <f aca="false">'Cash Flow Statement'!H11</f>
        <v>3231.7354074</v>
      </c>
      <c r="I41" s="19" t="n">
        <f aca="false">'Cash Flow Statement'!I11</f>
        <v>3676.96063266</v>
      </c>
      <c r="J41" s="19" t="n">
        <f aca="false">'Cash Flow Statement'!J11</f>
        <v>3957.64270385458</v>
      </c>
      <c r="K41" s="3"/>
    </row>
    <row r="42" customFormat="false" ht="15" hidden="false" customHeight="true" outlineLevel="0" collapsed="false">
      <c r="A42" s="10" t="s">
        <v>100</v>
      </c>
      <c r="B42" s="3"/>
      <c r="C42" s="12" t="n">
        <f aca="false">C31+C38+C41+C27</f>
        <v>4596</v>
      </c>
      <c r="D42" s="12" t="n">
        <f aca="false">D31+D38+D41+D27</f>
        <v>5887</v>
      </c>
      <c r="E42" s="12" t="n">
        <f aca="false">E31+E38+E41+E27</f>
        <v>7586</v>
      </c>
      <c r="F42" s="12" t="n">
        <f aca="false">F31+F38+F41+F27</f>
        <v>13033.1558</v>
      </c>
      <c r="G42" s="12" t="n">
        <f aca="false">G31+G38+G41+G27</f>
        <v>19860.13612</v>
      </c>
      <c r="H42" s="12" t="n">
        <f aca="false">H31+H38+H41+H27</f>
        <v>27688.1114634</v>
      </c>
      <c r="I42" s="12" t="n">
        <f aca="false">I31+I38+I41+I27</f>
        <v>35193.76605546</v>
      </c>
      <c r="J42" s="12" t="n">
        <f aca="false">J31+J38+J41+J27</f>
        <v>41135.4984067309</v>
      </c>
      <c r="K42" s="4" t="s">
        <v>101</v>
      </c>
    </row>
    <row r="43" customFormat="false" ht="15" hidden="false" customHeight="true" outlineLevel="0" collapsed="false">
      <c r="A43" s="10" t="s">
        <v>102</v>
      </c>
      <c r="B43" s="3"/>
      <c r="C43" s="13" t="n">
        <f aca="false">C42/C9</f>
        <v>0.202645502645503</v>
      </c>
      <c r="D43" s="13" t="n">
        <f aca="false">D42/D9</f>
        <v>0.228311033546636</v>
      </c>
      <c r="E43" s="13" t="n">
        <f aca="false">E42/E9</f>
        <v>0.219001703282427</v>
      </c>
      <c r="F43" s="13" t="n">
        <f aca="false">F42/F9</f>
        <v>0.265</v>
      </c>
      <c r="G43" s="13" t="n">
        <f aca="false">G42/G9</f>
        <v>0.29</v>
      </c>
      <c r="H43" s="13" t="n">
        <f aca="false">H42/H9</f>
        <v>0.317</v>
      </c>
      <c r="I43" s="13" t="n">
        <f aca="false">I42/I9</f>
        <v>0.335</v>
      </c>
      <c r="J43" s="13" t="n">
        <f aca="false">J42/J9</f>
        <v>0.343</v>
      </c>
      <c r="K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customFormat="false" ht="15" hidden="false" customHeight="true" outlineLevel="0" collapsed="false">
      <c r="A45" s="7" t="s">
        <v>103</v>
      </c>
      <c r="B45" s="8"/>
      <c r="C45" s="8"/>
      <c r="D45" s="8"/>
      <c r="E45" s="8"/>
      <c r="F45" s="8"/>
      <c r="G45" s="8"/>
      <c r="H45" s="8"/>
      <c r="I45" s="8"/>
      <c r="J45" s="8"/>
      <c r="K45" s="8"/>
    </row>
    <row r="46" customFormat="false" ht="15" hidden="false" customHeight="true" outlineLevel="0" collapsed="false">
      <c r="A46" s="10" t="s">
        <v>104</v>
      </c>
      <c r="B46" s="3"/>
      <c r="C46" s="11" t="n">
        <v>-106</v>
      </c>
      <c r="D46" s="11" t="n">
        <v>-92</v>
      </c>
      <c r="E46" s="11" t="n">
        <v>-131</v>
      </c>
      <c r="F46" s="19" t="n">
        <f aca="false">-F47*'Balance Sheet'!E51</f>
        <v>-144.99</v>
      </c>
      <c r="G46" s="19" t="n">
        <f aca="false">-G47*'Balance Sheet'!F51</f>
        <v>-105.66</v>
      </c>
      <c r="H46" s="19" t="n">
        <f aca="false">-H47*'Balance Sheet'!G51</f>
        <v>-105.66</v>
      </c>
      <c r="I46" s="19" t="n">
        <f aca="false">-I47*'Balance Sheet'!H51</f>
        <v>-105.66</v>
      </c>
      <c r="J46" s="19" t="n">
        <f aca="false">-J47*'Balance Sheet'!I51</f>
        <v>-105.66</v>
      </c>
      <c r="K46" s="3"/>
    </row>
    <row r="47" customFormat="false" ht="15" hidden="false" customHeight="true" outlineLevel="0" collapsed="false">
      <c r="A47" s="10" t="s">
        <v>105</v>
      </c>
      <c r="B47" s="3"/>
      <c r="C47" s="3"/>
      <c r="D47" s="14" t="n">
        <f aca="false">-D46/'Balance Sheet'!C51</f>
        <v>0.0372771474878444</v>
      </c>
      <c r="E47" s="14" t="n">
        <f aca="false">-E46/'Balance Sheet'!D51</f>
        <v>0.0761185357350378</v>
      </c>
      <c r="F47" s="18" t="n">
        <v>0.045</v>
      </c>
      <c r="G47" s="18" t="n">
        <v>0.045</v>
      </c>
      <c r="H47" s="18" t="n">
        <v>0.045</v>
      </c>
      <c r="I47" s="18" t="n">
        <v>0.045</v>
      </c>
      <c r="J47" s="18" t="n">
        <v>0.045</v>
      </c>
      <c r="K47" s="4" t="s">
        <v>106</v>
      </c>
    </row>
    <row r="48" customFormat="false" ht="15" hidden="false" customHeight="true" outlineLevel="0" collapsed="false">
      <c r="A48" s="10" t="s">
        <v>107</v>
      </c>
      <c r="B48" s="3"/>
      <c r="C48" s="11" t="n">
        <v>197</v>
      </c>
      <c r="D48" s="11" t="n">
        <v>181</v>
      </c>
      <c r="E48" s="11" t="n">
        <v>577</v>
      </c>
      <c r="F48" s="19" t="n">
        <f aca="false">F49*('Balance Sheet'!E6+'Balance Sheet'!E7)</f>
        <v>369.32</v>
      </c>
      <c r="G48" s="19" t="n">
        <f aca="false">G49*('Balance Sheet'!F6+'Balance Sheet'!F7)</f>
        <v>583.574890549863</v>
      </c>
      <c r="H48" s="19" t="n">
        <f aca="false">H49*('Balance Sheet'!G6+'Balance Sheet'!G7)</f>
        <v>940.055429408516</v>
      </c>
      <c r="I48" s="19" t="n">
        <f aca="false">I49*('Balance Sheet'!H6+'Balance Sheet'!H7)</f>
        <v>1497.69771379652</v>
      </c>
      <c r="J48" s="19" t="n">
        <f aca="false">J49*('Balance Sheet'!I6+'Balance Sheet'!I7)</f>
        <v>2238.37031722182</v>
      </c>
      <c r="K48" s="4" t="s">
        <v>108</v>
      </c>
    </row>
    <row r="49" customFormat="false" ht="15" hidden="false" customHeight="true" outlineLevel="0" collapsed="false">
      <c r="A49" s="10" t="s">
        <v>109</v>
      </c>
      <c r="B49" s="3"/>
      <c r="C49" s="3"/>
      <c r="D49" s="14" t="n">
        <f aca="false">D48/('Balance Sheet'!C6+'Balance Sheet'!C7)</f>
        <v>0.0313528494716785</v>
      </c>
      <c r="E49" s="14" t="n">
        <f aca="false">E48/('Balance Sheet'!D6+'Balance Sheet'!D7)</f>
        <v>0.112431800467654</v>
      </c>
      <c r="F49" s="18" t="n">
        <v>0.035</v>
      </c>
      <c r="G49" s="18" t="n">
        <v>0.035</v>
      </c>
      <c r="H49" s="18" t="n">
        <v>0.035</v>
      </c>
      <c r="I49" s="18" t="n">
        <v>0.035</v>
      </c>
      <c r="J49" s="18" t="n">
        <v>0.035</v>
      </c>
      <c r="K49" s="3"/>
    </row>
    <row r="50" customFormat="false" ht="15" hidden="false" customHeight="true" outlineLevel="0" collapsed="false">
      <c r="A50" s="21" t="s">
        <v>110</v>
      </c>
      <c r="B50" s="3"/>
      <c r="C50" s="22" t="n">
        <f aca="false">C31+C46+C48</f>
        <v>492</v>
      </c>
      <c r="D50" s="22" t="n">
        <f aca="false">D31+D46+D48</f>
        <v>1989</v>
      </c>
      <c r="E50" s="22" t="n">
        <f aca="false">E31+E46+E48</f>
        <v>4140</v>
      </c>
      <c r="F50" s="22" t="n">
        <f aca="false">F31+F46+F48</f>
        <v>8864.3084</v>
      </c>
      <c r="G50" s="22" t="n">
        <f aca="false">G31+G46+G48</f>
        <v>15748.7218905499</v>
      </c>
      <c r="H50" s="22" t="n">
        <f aca="false">H31+H46+H48</f>
        <v>23740.7714854085</v>
      </c>
      <c r="I50" s="22" t="n">
        <f aca="false">I31+I46+I48</f>
        <v>31708.8431365965</v>
      </c>
      <c r="J50" s="22" t="n">
        <f aca="false">J31+J46+J48</f>
        <v>38310.5660200981</v>
      </c>
      <c r="K50" s="3"/>
    </row>
    <row r="51" customFormat="false" ht="15" hidden="false" customHeight="true" outlineLevel="0" collapsed="false">
      <c r="A51" s="10" t="s">
        <v>111</v>
      </c>
      <c r="B51" s="3"/>
      <c r="C51" s="11" t="n">
        <v>-346</v>
      </c>
      <c r="D51" s="11" t="n">
        <v>381</v>
      </c>
      <c r="E51" s="11" t="n">
        <v>-103</v>
      </c>
      <c r="F51" s="12" t="n">
        <f aca="false">F50*F52</f>
        <v>1152.360092</v>
      </c>
      <c r="G51" s="12" t="n">
        <f aca="false">G50*G52</f>
        <v>2362.30828358248</v>
      </c>
      <c r="H51" s="12" t="n">
        <f aca="false">H50*H52</f>
        <v>3561.11572281128</v>
      </c>
      <c r="I51" s="12" t="n">
        <f aca="false">I50*I52</f>
        <v>4756.32647048948</v>
      </c>
      <c r="J51" s="12" t="n">
        <f aca="false">J50*J52</f>
        <v>5746.58490301472</v>
      </c>
      <c r="K51" s="3"/>
    </row>
    <row r="52" customFormat="false" ht="15" hidden="false" customHeight="true" outlineLevel="0" collapsed="false">
      <c r="A52" s="10" t="s">
        <v>112</v>
      </c>
      <c r="B52" s="3"/>
      <c r="C52" s="13" t="n">
        <f aca="false">C51/C50</f>
        <v>-0.703252032520325</v>
      </c>
      <c r="D52" s="13" t="n">
        <f aca="false">D51/D50</f>
        <v>0.191553544494721</v>
      </c>
      <c r="E52" s="13" t="n">
        <f aca="false">E51/E50</f>
        <v>-0.0248792270531401</v>
      </c>
      <c r="F52" s="18" t="n">
        <v>0.13</v>
      </c>
      <c r="G52" s="18" t="n">
        <v>0.15</v>
      </c>
      <c r="H52" s="18" t="n">
        <v>0.15</v>
      </c>
      <c r="I52" s="18" t="n">
        <v>0.15</v>
      </c>
      <c r="J52" s="18" t="n">
        <v>0.15</v>
      </c>
      <c r="K52" s="4" t="s">
        <v>113</v>
      </c>
    </row>
    <row r="53" customFormat="false" ht="15" hidden="false" customHeight="true" outlineLevel="0" collapsed="false">
      <c r="A53" s="10" t="s">
        <v>114</v>
      </c>
      <c r="B53" s="3"/>
      <c r="C53" s="11" t="n">
        <v>16</v>
      </c>
      <c r="D53" s="11" t="n">
        <v>33</v>
      </c>
      <c r="E53" s="11" t="n">
        <v>26</v>
      </c>
      <c r="F53" s="20" t="n">
        <v>25</v>
      </c>
      <c r="G53" s="20" t="n">
        <v>25</v>
      </c>
      <c r="H53" s="20" t="n">
        <v>25</v>
      </c>
      <c r="I53" s="20" t="n">
        <v>25</v>
      </c>
      <c r="J53" s="20" t="n">
        <v>25</v>
      </c>
      <c r="K53" s="3"/>
    </row>
    <row r="54" customFormat="false" ht="15" hidden="false" customHeight="true" outlineLevel="0" collapsed="false">
      <c r="A54" s="21" t="s">
        <v>115</v>
      </c>
      <c r="B54" s="3"/>
      <c r="C54" s="22" t="n">
        <f aca="false">C50-C51+C53</f>
        <v>854</v>
      </c>
      <c r="D54" s="22" t="n">
        <f aca="false">D50-D51+D53</f>
        <v>1641</v>
      </c>
      <c r="E54" s="22" t="n">
        <f aca="false">E50-E51+E53</f>
        <v>4269</v>
      </c>
      <c r="F54" s="22" t="n">
        <f aca="false">F50-F51+F53</f>
        <v>7736.948308</v>
      </c>
      <c r="G54" s="22" t="n">
        <f aca="false">G50-G51+G53</f>
        <v>13411.4136069674</v>
      </c>
      <c r="H54" s="22" t="n">
        <f aca="false">H50-H51+H53</f>
        <v>20204.6557625972</v>
      </c>
      <c r="I54" s="22" t="n">
        <f aca="false">I50-I51+I53</f>
        <v>26977.516666107</v>
      </c>
      <c r="J54" s="22" t="n">
        <f aca="false">J50-J51+J53</f>
        <v>32588.9811170834</v>
      </c>
      <c r="K54" s="3"/>
    </row>
    <row r="55" customFormat="false" ht="15" hidden="false" customHeight="true" outlineLevel="0" collapsed="false">
      <c r="A55" s="10" t="s">
        <v>116</v>
      </c>
      <c r="B55" s="3"/>
      <c r="C55" s="11" t="n">
        <v>0</v>
      </c>
      <c r="D55" s="11" t="n">
        <v>0</v>
      </c>
      <c r="E55" s="11" t="n">
        <v>66</v>
      </c>
      <c r="F55" s="20" t="n">
        <v>0</v>
      </c>
      <c r="G55" s="20" t="n">
        <v>0</v>
      </c>
      <c r="H55" s="20" t="n">
        <v>0</v>
      </c>
      <c r="I55" s="20" t="n">
        <v>0</v>
      </c>
      <c r="J55" s="20" t="n">
        <v>0</v>
      </c>
      <c r="K55" s="4" t="s">
        <v>117</v>
      </c>
    </row>
    <row r="56" customFormat="false" ht="15" hidden="false" customHeight="true" outlineLevel="0" collapsed="false">
      <c r="A56" s="9" t="s">
        <v>118</v>
      </c>
      <c r="B56" s="3"/>
      <c r="C56" s="23" t="n">
        <f aca="false">C54+C55</f>
        <v>854</v>
      </c>
      <c r="D56" s="23" t="n">
        <f aca="false">D54+D55</f>
        <v>1641</v>
      </c>
      <c r="E56" s="23" t="n">
        <f aca="false">E54+E55</f>
        <v>4335</v>
      </c>
      <c r="F56" s="23" t="n">
        <f aca="false">F54+F55</f>
        <v>7736.948308</v>
      </c>
      <c r="G56" s="23" t="n">
        <f aca="false">G54+G55</f>
        <v>13411.4136069674</v>
      </c>
      <c r="H56" s="23" t="n">
        <f aca="false">H54+H55</f>
        <v>20204.6557625972</v>
      </c>
      <c r="I56" s="23" t="n">
        <f aca="false">I54+I55</f>
        <v>26977.516666107</v>
      </c>
      <c r="J56" s="23" t="n">
        <f aca="false">J54+J55</f>
        <v>32588.9811170834</v>
      </c>
      <c r="K56" s="3"/>
    </row>
    <row r="57" customFormat="false" ht="15" hidden="false" customHeight="true" outlineLevel="0" collapsed="false">
      <c r="A57" s="10" t="s">
        <v>119</v>
      </c>
      <c r="B57" s="3"/>
      <c r="C57" s="13" t="n">
        <f aca="false">C56/C9</f>
        <v>0.0376543209876543</v>
      </c>
      <c r="D57" s="13" t="n">
        <f aca="false">D56/D9</f>
        <v>0.0636416521233275</v>
      </c>
      <c r="E57" s="13" t="n">
        <f aca="false">E56/E9</f>
        <v>0.125147954617628</v>
      </c>
      <c r="F57" s="13" t="n">
        <f aca="false">F56/F9</f>
        <v>0.157313495908643</v>
      </c>
      <c r="G57" s="13" t="n">
        <f aca="false">G56/G9</f>
        <v>0.195835009514554</v>
      </c>
      <c r="H57" s="13" t="n">
        <f aca="false">H56/H9</f>
        <v>0.23132223680946</v>
      </c>
      <c r="I57" s="13" t="n">
        <f aca="false">I56/I9</f>
        <v>0.256791730356569</v>
      </c>
      <c r="J57" s="13" t="n">
        <f aca="false">J56/J9</f>
        <v>0.271736601137926</v>
      </c>
      <c r="K57" s="3"/>
    </row>
    <row r="58" customFormat="false" ht="15" hidden="false" customHeight="true" outlineLevel="0" collapsed="false">
      <c r="A58" s="10" t="s">
        <v>120</v>
      </c>
      <c r="B58" s="3"/>
      <c r="C58" s="11" t="n">
        <v>854</v>
      </c>
      <c r="D58" s="11" t="n">
        <v>1641</v>
      </c>
      <c r="E58" s="11" t="n">
        <v>4335</v>
      </c>
      <c r="F58" s="3"/>
      <c r="G58" s="3"/>
      <c r="H58" s="3"/>
      <c r="I58" s="3"/>
      <c r="J58" s="3"/>
      <c r="K58" s="3"/>
    </row>
    <row r="59" customFormat="false" ht="15" hidden="false" customHeight="true" outlineLevel="0" collapsed="false">
      <c r="A59" s="10" t="s">
        <v>93</v>
      </c>
      <c r="B59" s="3"/>
      <c r="C59" s="12" t="n">
        <f aca="false">C56-C58</f>
        <v>0</v>
      </c>
      <c r="D59" s="12" t="n">
        <f aca="false">D56-D58</f>
        <v>0</v>
      </c>
      <c r="E59" s="12" t="n">
        <f aca="false">E56-E58</f>
        <v>0</v>
      </c>
      <c r="F59" s="3"/>
      <c r="G59" s="3"/>
      <c r="H59" s="3"/>
      <c r="I59" s="3"/>
      <c r="J59" s="3"/>
      <c r="K59" s="3"/>
    </row>
    <row r="60" customFormat="false" ht="1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customFormat="false" ht="15" hidden="false" customHeight="true" outlineLevel="0" collapsed="false">
      <c r="A61" s="7" t="s">
        <v>121</v>
      </c>
      <c r="B61" s="8"/>
      <c r="C61" s="8"/>
      <c r="D61" s="8"/>
      <c r="E61" s="8"/>
      <c r="F61" s="8"/>
      <c r="G61" s="8"/>
      <c r="H61" s="8"/>
      <c r="I61" s="8"/>
      <c r="J61" s="8"/>
      <c r="K61" s="8"/>
    </row>
    <row r="62" customFormat="false" ht="15" hidden="false" customHeight="true" outlineLevel="0" collapsed="false">
      <c r="A62" s="10" t="s">
        <v>122</v>
      </c>
      <c r="B62" s="3"/>
      <c r="C62" s="11" t="n">
        <v>1625</v>
      </c>
      <c r="D62" s="11" t="n">
        <v>1637</v>
      </c>
      <c r="E62" s="11" t="n">
        <v>1636</v>
      </c>
      <c r="F62" s="12" t="n">
        <f aca="false">E62*(1+F64)</f>
        <v>1655.632</v>
      </c>
      <c r="G62" s="12" t="n">
        <f aca="false">F62*(1+G64)</f>
        <v>1663.91016</v>
      </c>
      <c r="H62" s="12" t="n">
        <f aca="false">G62*(1+H64)</f>
        <v>1663.91016</v>
      </c>
      <c r="I62" s="12" t="n">
        <f aca="false">H62*(1+I64)</f>
        <v>1655.5906092</v>
      </c>
      <c r="J62" s="12" t="n">
        <f aca="false">I62*(1+J64)</f>
        <v>1639.034703108</v>
      </c>
      <c r="K62" s="3"/>
    </row>
    <row r="63" customFormat="false" ht="15" hidden="false" customHeight="true" outlineLevel="0" collapsed="false">
      <c r="A63" s="10" t="s">
        <v>123</v>
      </c>
      <c r="B63" s="3"/>
      <c r="C63" s="11" t="n">
        <v>1614</v>
      </c>
      <c r="D63" s="11" t="n">
        <v>1620</v>
      </c>
      <c r="E63" s="11" t="n">
        <v>1624</v>
      </c>
      <c r="F63" s="12" t="n">
        <f aca="false">F62*$E$63/$E$62</f>
        <v>1643.488</v>
      </c>
      <c r="G63" s="12" t="n">
        <f aca="false">G62*$E$63/$E$62</f>
        <v>1651.70544</v>
      </c>
      <c r="H63" s="12" t="n">
        <f aca="false">H62*$E$63/$E$62</f>
        <v>1651.70544</v>
      </c>
      <c r="I63" s="12" t="n">
        <f aca="false">I62*$E$63/$E$62</f>
        <v>1643.4469128</v>
      </c>
      <c r="J63" s="12" t="n">
        <f aca="false">J62*$E$63/$E$62</f>
        <v>1627.012443672</v>
      </c>
      <c r="K63" s="3"/>
    </row>
    <row r="64" customFormat="false" ht="15" hidden="false" customHeight="true" outlineLevel="0" collapsed="false">
      <c r="A64" s="10" t="s">
        <v>124</v>
      </c>
      <c r="B64" s="3"/>
      <c r="C64" s="3"/>
      <c r="D64" s="13" t="n">
        <f aca="false">D62/C62-1</f>
        <v>0.00738461538461532</v>
      </c>
      <c r="E64" s="13" t="n">
        <f aca="false">E62/D62-1</f>
        <v>-0.000610873549175328</v>
      </c>
      <c r="F64" s="18" t="n">
        <v>0.012</v>
      </c>
      <c r="G64" s="18" t="n">
        <v>0.005</v>
      </c>
      <c r="H64" s="18" t="n">
        <v>0</v>
      </c>
      <c r="I64" s="18" t="n">
        <v>-0.005</v>
      </c>
      <c r="J64" s="18" t="n">
        <v>-0.01</v>
      </c>
      <c r="K64" s="4" t="s">
        <v>125</v>
      </c>
    </row>
    <row r="65" customFormat="false" ht="15" hidden="false" customHeight="true" outlineLevel="0" collapsed="false">
      <c r="A65" s="10" t="s">
        <v>126</v>
      </c>
      <c r="B65" s="3"/>
      <c r="C65" s="24" t="n">
        <v>0.53</v>
      </c>
      <c r="D65" s="24" t="n">
        <v>1.01</v>
      </c>
      <c r="E65" s="24" t="n">
        <v>2.67</v>
      </c>
      <c r="F65" s="25" t="n">
        <f aca="false">F56/F63</f>
        <v>4.70763906277381</v>
      </c>
      <c r="G65" s="25" t="n">
        <f aca="false">G56/G63</f>
        <v>8.1197368987096</v>
      </c>
      <c r="H65" s="25" t="n">
        <f aca="false">H56/H63</f>
        <v>12.2326022989894</v>
      </c>
      <c r="I65" s="25" t="n">
        <f aca="false">I56/I63</f>
        <v>16.4152042003867</v>
      </c>
      <c r="J65" s="25" t="n">
        <f aca="false">J56/J63</f>
        <v>20.0299519796747</v>
      </c>
      <c r="K65" s="4" t="s">
        <v>127</v>
      </c>
    </row>
    <row r="66" customFormat="false" ht="15" hidden="false" customHeight="true" outlineLevel="0" collapsed="false">
      <c r="A66" s="9" t="s">
        <v>128</v>
      </c>
      <c r="B66" s="3"/>
      <c r="C66" s="26" t="n">
        <v>0.53</v>
      </c>
      <c r="D66" s="26" t="n">
        <v>1</v>
      </c>
      <c r="E66" s="26" t="n">
        <v>2.65</v>
      </c>
      <c r="F66" s="27" t="n">
        <f aca="false">F56/F62</f>
        <v>4.67310870290016</v>
      </c>
      <c r="G66" s="27" t="n">
        <f aca="false">G56/G62</f>
        <v>8.06017892634743</v>
      </c>
      <c r="H66" s="27" t="n">
        <f aca="false">H56/H62</f>
        <v>12.1428766097547</v>
      </c>
      <c r="I66" s="27" t="n">
        <f aca="false">I56/I62</f>
        <v>16.2947992796014</v>
      </c>
      <c r="J66" s="27" t="n">
        <f aca="false">J56/J62</f>
        <v>19.8830330164986</v>
      </c>
      <c r="K66" s="3"/>
    </row>
    <row r="67" customFormat="false" ht="15" hidden="false" customHeight="true" outlineLevel="0" collapsed="false">
      <c r="A67" s="10" t="s">
        <v>129</v>
      </c>
      <c r="B67" s="3"/>
      <c r="C67" s="3"/>
      <c r="D67" s="13" t="n">
        <f aca="false">D66/C66-1</f>
        <v>0.886792452830189</v>
      </c>
      <c r="E67" s="13" t="n">
        <f aca="false">E66/D66-1</f>
        <v>1.65</v>
      </c>
      <c r="F67" s="13" t="n">
        <f aca="false">F66/E66-1</f>
        <v>0.76343724637742</v>
      </c>
      <c r="G67" s="13" t="n">
        <f aca="false">G66/F66-1</f>
        <v>0.724800221605209</v>
      </c>
      <c r="H67" s="13" t="n">
        <f aca="false">H66/G66-1</f>
        <v>0.506526929577408</v>
      </c>
      <c r="I67" s="13" t="n">
        <f aca="false">I66/H66-1</f>
        <v>0.341922495243947</v>
      </c>
      <c r="J67" s="13" t="n">
        <f aca="false">J66/I66-1</f>
        <v>0.220207298987054</v>
      </c>
      <c r="K67" s="3"/>
    </row>
    <row r="68" customFormat="false" ht="15" hidden="false" customHeight="true" outlineLevel="0" collapsed="false">
      <c r="A68" s="10" t="s">
        <v>130</v>
      </c>
      <c r="B68" s="3"/>
      <c r="C68" s="25" t="n">
        <f aca="false">(C56+(C38+C41+C27)*(1-0.13))/C62</f>
        <v>2.77147692307692</v>
      </c>
      <c r="D68" s="25" t="n">
        <f aca="false">(D56+(D38+D41+D27)*(1-0.13))/D62</f>
        <v>3.12137446548564</v>
      </c>
      <c r="E68" s="25" t="n">
        <f aca="false">(E56+(E38+E41+E27)*(1-0.13))/E62</f>
        <v>4.71946210268949</v>
      </c>
      <c r="F68" s="25" t="n">
        <f aca="false">(F56+(F38+F41+F27)*(1-F52))/F62</f>
        <v>6.98163157392464</v>
      </c>
      <c r="G68" s="25" t="n">
        <f aca="false">(G56+(G38+G41+G27)*(1-G52))/G62</f>
        <v>10.4046142485045</v>
      </c>
      <c r="H68" s="25" t="n">
        <f aca="false">(H56+(H38+H41+H27)*(1-H52))/H62</f>
        <v>14.5856017003269</v>
      </c>
      <c r="I68" s="25" t="n">
        <f aca="false">(I56+(I38+I41+I27)*(1-I52))/I62</f>
        <v>18.798689139042</v>
      </c>
      <c r="J68" s="25" t="n">
        <f aca="false">(J56+(J38+J41+J27)*(1-J52))/J62</f>
        <v>22.4540562476027</v>
      </c>
      <c r="K68" s="4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10" min="2" style="1" width="12"/>
    <col collapsed="false" customWidth="true" hidden="false" outlineLevel="0" max="11" min="11" style="1" width="70"/>
  </cols>
  <sheetData>
    <row r="1" customFormat="false" ht="17.25" hidden="false" customHeight="true" outlineLevel="0" collapsed="false">
      <c r="A1" s="2" t="s">
        <v>132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customFormat="false" ht="15" hidden="false" customHeight="true" outlineLevel="0" collapsed="false">
      <c r="A2" s="4" t="s">
        <v>133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15" hidden="false" customHeight="true" outlineLevel="0" collapsed="false">
      <c r="A4" s="5" t="s">
        <v>2</v>
      </c>
      <c r="B4" s="5"/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  <c r="K4" s="5" t="s">
        <v>11</v>
      </c>
    </row>
    <row r="5" customFormat="false" ht="15" hidden="false" customHeight="true" outlineLevel="0" collapsed="false">
      <c r="A5" s="7" t="s">
        <v>134</v>
      </c>
      <c r="B5" s="8"/>
      <c r="C5" s="8"/>
      <c r="D5" s="8"/>
      <c r="E5" s="8"/>
      <c r="F5" s="8"/>
      <c r="G5" s="8"/>
      <c r="H5" s="8"/>
      <c r="I5" s="8"/>
      <c r="J5" s="8"/>
      <c r="K5" s="8"/>
    </row>
    <row r="6" customFormat="false" ht="15" hidden="false" customHeight="true" outlineLevel="0" collapsed="false">
      <c r="A6" s="10" t="s">
        <v>135</v>
      </c>
      <c r="B6" s="3"/>
      <c r="C6" s="19" t="n">
        <f aca="false">'Income Statement'!C56</f>
        <v>854</v>
      </c>
      <c r="D6" s="19" t="n">
        <f aca="false">'Income Statement'!D56</f>
        <v>1641</v>
      </c>
      <c r="E6" s="19" t="n">
        <f aca="false">'Income Statement'!E56</f>
        <v>4335</v>
      </c>
      <c r="F6" s="19" t="n">
        <f aca="false">'Income Statement'!F56</f>
        <v>7736.948308</v>
      </c>
      <c r="G6" s="19" t="n">
        <f aca="false">'Income Statement'!G56</f>
        <v>13411.4136069674</v>
      </c>
      <c r="H6" s="19" t="n">
        <f aca="false">'Income Statement'!H56</f>
        <v>20204.6557625972</v>
      </c>
      <c r="I6" s="19" t="n">
        <f aca="false">'Income Statement'!I56</f>
        <v>26977.516666107</v>
      </c>
      <c r="J6" s="19" t="n">
        <f aca="false">'Income Statement'!J56</f>
        <v>32588.9811170834</v>
      </c>
      <c r="K6" s="3"/>
    </row>
    <row r="7" customFormat="false" ht="15" hidden="false" customHeight="true" outlineLevel="0" collapsed="false">
      <c r="A7" s="10" t="s">
        <v>136</v>
      </c>
      <c r="B7" s="3"/>
      <c r="C7" s="11" t="n">
        <v>0</v>
      </c>
      <c r="D7" s="11" t="n">
        <v>0</v>
      </c>
      <c r="E7" s="11" t="n">
        <v>-66</v>
      </c>
      <c r="F7" s="19" t="n">
        <f aca="false">-'Income Statement'!F55</f>
        <v>-0</v>
      </c>
      <c r="G7" s="19" t="n">
        <f aca="false">-'Income Statement'!G55</f>
        <v>-0</v>
      </c>
      <c r="H7" s="19" t="n">
        <f aca="false">-'Income Statement'!H55</f>
        <v>-0</v>
      </c>
      <c r="I7" s="19" t="n">
        <f aca="false">-'Income Statement'!I55</f>
        <v>-0</v>
      </c>
      <c r="J7" s="19" t="n">
        <f aca="false">-'Income Statement'!J55</f>
        <v>-0</v>
      </c>
      <c r="K7" s="3"/>
    </row>
    <row r="8" customFormat="false" ht="15" hidden="false" customHeight="true" outlineLevel="0" collapsed="false">
      <c r="A8" s="10" t="s">
        <v>137</v>
      </c>
      <c r="B8" s="3"/>
      <c r="C8" s="11" t="n">
        <v>642</v>
      </c>
      <c r="D8" s="11" t="n">
        <v>671</v>
      </c>
      <c r="E8" s="11" t="n">
        <v>750</v>
      </c>
      <c r="F8" s="19" t="n">
        <f aca="false">'Balance Sheet'!E15*F9</f>
        <v>855.44</v>
      </c>
      <c r="G8" s="19" t="n">
        <f aca="false">'Balance Sheet'!F15*G9</f>
        <v>1448.78902</v>
      </c>
      <c r="H8" s="19" t="n">
        <f aca="false">'Balance Sheet'!G15*H9</f>
        <v>2052.9828288</v>
      </c>
      <c r="I8" s="19" t="n">
        <f aca="false">'Balance Sheet'!H15*I9</f>
        <v>2586.073345104</v>
      </c>
      <c r="J8" s="19" t="n">
        <f aca="false">'Balance Sheet'!I15*J9</f>
        <v>2989.70164149972</v>
      </c>
      <c r="K8" s="3"/>
    </row>
    <row r="9" customFormat="false" ht="15" hidden="false" customHeight="true" outlineLevel="0" collapsed="false">
      <c r="A9" s="10" t="s">
        <v>138</v>
      </c>
      <c r="B9" s="3"/>
      <c r="C9" s="3"/>
      <c r="D9" s="14" t="n">
        <f aca="false">D8/'Balance Sheet'!C15</f>
        <v>0.422278162366268</v>
      </c>
      <c r="E9" s="14" t="n">
        <f aca="false">E8/'Balance Sheet'!D15</f>
        <v>0.416204217536071</v>
      </c>
      <c r="F9" s="18" t="n">
        <v>0.37</v>
      </c>
      <c r="G9" s="18" t="n">
        <v>0.37</v>
      </c>
      <c r="H9" s="18" t="n">
        <v>0.37</v>
      </c>
      <c r="I9" s="18" t="n">
        <v>0.37</v>
      </c>
      <c r="J9" s="18" t="n">
        <v>0.37</v>
      </c>
      <c r="K9" s="4" t="s">
        <v>139</v>
      </c>
    </row>
    <row r="10" customFormat="false" ht="15" hidden="false" customHeight="true" outlineLevel="0" collapsed="false">
      <c r="A10" s="10" t="s">
        <v>140</v>
      </c>
      <c r="B10" s="3"/>
      <c r="C10" s="11" t="n">
        <v>2811</v>
      </c>
      <c r="D10" s="11" t="n">
        <v>2393</v>
      </c>
      <c r="E10" s="11" t="n">
        <v>2254</v>
      </c>
      <c r="F10" s="19" t="n">
        <f aca="false">'Income Statement'!F38</f>
        <v>2180</v>
      </c>
      <c r="G10" s="19" t="n">
        <f aca="false">'Income Statement'!G38</f>
        <v>1850</v>
      </c>
      <c r="H10" s="19" t="n">
        <f aca="false">'Income Statement'!H38</f>
        <v>1550</v>
      </c>
      <c r="I10" s="19" t="n">
        <f aca="false">'Income Statement'!I38</f>
        <v>1200</v>
      </c>
      <c r="J10" s="19" t="n">
        <f aca="false">'Income Statement'!J38</f>
        <v>1000</v>
      </c>
      <c r="K10" s="4" t="s">
        <v>141</v>
      </c>
    </row>
    <row r="11" customFormat="false" ht="15" hidden="false" customHeight="true" outlineLevel="0" collapsed="false">
      <c r="A11" s="10" t="s">
        <v>142</v>
      </c>
      <c r="B11" s="3"/>
      <c r="C11" s="11" t="n">
        <v>1384</v>
      </c>
      <c r="D11" s="11" t="n">
        <v>1407</v>
      </c>
      <c r="E11" s="11" t="n">
        <v>1638</v>
      </c>
      <c r="F11" s="19" t="n">
        <f aca="false">'Income Statement'!F9*F12</f>
        <v>2213.1774</v>
      </c>
      <c r="G11" s="19" t="n">
        <f aca="false">'Income Statement'!G9*G12</f>
        <v>2739.32912</v>
      </c>
      <c r="H11" s="19" t="n">
        <f aca="false">'Income Statement'!H9*H12</f>
        <v>3231.7354074</v>
      </c>
      <c r="I11" s="19" t="n">
        <f aca="false">'Income Statement'!I9*I12</f>
        <v>3676.96063266</v>
      </c>
      <c r="J11" s="19" t="n">
        <f aca="false">'Income Statement'!J9*J12</f>
        <v>3957.64270385458</v>
      </c>
      <c r="K11" s="3"/>
    </row>
    <row r="12" customFormat="false" ht="15" hidden="false" customHeight="true" outlineLevel="0" collapsed="false">
      <c r="A12" s="10" t="s">
        <v>143</v>
      </c>
      <c r="B12" s="3"/>
      <c r="C12" s="14" t="n">
        <f aca="false">C11/'Income Statement'!C9</f>
        <v>0.0610229276895944</v>
      </c>
      <c r="D12" s="14" t="n">
        <f aca="false">D11/'Income Statement'!D9</f>
        <v>0.0545666084933101</v>
      </c>
      <c r="E12" s="14" t="n">
        <f aca="false">E11/'Income Statement'!E9</f>
        <v>0.0472877392534427</v>
      </c>
      <c r="F12" s="18" t="n">
        <v>0.045</v>
      </c>
      <c r="G12" s="18" t="n">
        <v>0.04</v>
      </c>
      <c r="H12" s="18" t="n">
        <v>0.037</v>
      </c>
      <c r="I12" s="18" t="n">
        <v>0.035</v>
      </c>
      <c r="J12" s="18" t="n">
        <v>0.033</v>
      </c>
      <c r="K12" s="4" t="s">
        <v>144</v>
      </c>
    </row>
    <row r="13" customFormat="false" ht="15" hidden="false" customHeight="true" outlineLevel="0" collapsed="false">
      <c r="A13" s="10" t="s">
        <v>145</v>
      </c>
      <c r="B13" s="3"/>
      <c r="C13" s="11" t="n">
        <v>-1019</v>
      </c>
      <c r="D13" s="11" t="n">
        <v>-1163</v>
      </c>
      <c r="E13" s="11" t="n">
        <v>248</v>
      </c>
      <c r="F13" s="20" t="n">
        <v>0</v>
      </c>
      <c r="G13" s="20" t="n">
        <v>0</v>
      </c>
      <c r="H13" s="20" t="n">
        <v>0</v>
      </c>
      <c r="I13" s="20" t="n">
        <v>0</v>
      </c>
      <c r="J13" s="20" t="n">
        <v>0</v>
      </c>
      <c r="K13" s="3"/>
    </row>
    <row r="14" customFormat="false" ht="15" hidden="false" customHeight="true" outlineLevel="0" collapsed="false">
      <c r="A14" s="10" t="s">
        <v>146</v>
      </c>
      <c r="B14" s="3"/>
      <c r="C14" s="11" t="n">
        <v>-1</v>
      </c>
      <c r="D14" s="11" t="n">
        <v>0</v>
      </c>
      <c r="E14" s="11" t="n">
        <v>-341</v>
      </c>
      <c r="F14" s="20" t="n">
        <v>0</v>
      </c>
      <c r="G14" s="20" t="n">
        <v>0</v>
      </c>
      <c r="H14" s="20" t="n">
        <v>0</v>
      </c>
      <c r="I14" s="20" t="n">
        <v>0</v>
      </c>
      <c r="J14" s="20" t="n">
        <v>0</v>
      </c>
      <c r="K14" s="3"/>
    </row>
    <row r="15" customFormat="false" ht="15" hidden="false" customHeight="true" outlineLevel="0" collapsed="false">
      <c r="A15" s="10" t="s">
        <v>147</v>
      </c>
      <c r="B15" s="3"/>
      <c r="C15" s="11" t="n">
        <v>45</v>
      </c>
      <c r="D15" s="11" t="n">
        <v>190</v>
      </c>
      <c r="E15" s="11" t="n">
        <v>53</v>
      </c>
      <c r="F15" s="20" t="n">
        <v>0</v>
      </c>
      <c r="G15" s="20" t="n">
        <v>0</v>
      </c>
      <c r="H15" s="20" t="n">
        <v>0</v>
      </c>
      <c r="I15" s="20" t="n">
        <v>0</v>
      </c>
      <c r="J15" s="20" t="n">
        <v>0</v>
      </c>
      <c r="K15" s="3"/>
    </row>
    <row r="16" customFormat="false" ht="15" hidden="false" customHeight="true" outlineLevel="0" collapsed="false">
      <c r="A16" s="10" t="s">
        <v>148</v>
      </c>
      <c r="B16" s="3"/>
      <c r="C16" s="3"/>
      <c r="D16" s="3"/>
      <c r="E16" s="3"/>
      <c r="F16" s="3"/>
      <c r="G16" s="3"/>
      <c r="H16" s="3"/>
      <c r="I16" s="3"/>
      <c r="J16" s="3"/>
      <c r="K16" s="3"/>
    </row>
    <row r="17" customFormat="false" ht="15" hidden="false" customHeight="true" outlineLevel="0" collapsed="false">
      <c r="A17" s="10" t="s">
        <v>149</v>
      </c>
      <c r="B17" s="3"/>
      <c r="C17" s="11" t="n">
        <v>-1339</v>
      </c>
      <c r="D17" s="11" t="n">
        <v>-1865</v>
      </c>
      <c r="E17" s="11" t="n">
        <v>-121</v>
      </c>
      <c r="F17" s="19" t="n">
        <f aca="false">-('Balance Sheet'!F8-'Balance Sheet'!E8)</f>
        <v>-2443.38849315068</v>
      </c>
      <c r="G17" s="19" t="n">
        <f aca="false">-('Balance Sheet'!G8-'Balance Sheet'!F8)</f>
        <v>-3437.25484931507</v>
      </c>
      <c r="H17" s="19" t="n">
        <f aca="false">-('Balance Sheet'!H8-'Balance Sheet'!G8)</f>
        <v>-3358.80326849315</v>
      </c>
      <c r="I17" s="19" t="n">
        <f aca="false">-('Balance Sheet'!I8-'Balance Sheet'!H8)</f>
        <v>-3154.15934778082</v>
      </c>
      <c r="J17" s="19" t="n">
        <f aca="false">-('Balance Sheet'!J8-'Balance Sheet'!I8)</f>
        <v>-2648.53607119364</v>
      </c>
      <c r="K17" s="3"/>
    </row>
    <row r="18" customFormat="false" ht="15" hidden="false" customHeight="true" outlineLevel="0" collapsed="false">
      <c r="A18" s="10" t="s">
        <v>150</v>
      </c>
      <c r="B18" s="3"/>
      <c r="C18" s="11" t="n">
        <v>-580</v>
      </c>
      <c r="D18" s="11" t="n">
        <v>-1458</v>
      </c>
      <c r="E18" s="11" t="n">
        <v>-2189</v>
      </c>
      <c r="F18" s="19" t="n">
        <f aca="false">-('Balance Sheet'!F10-'Balance Sheet'!E10)</f>
        <v>-1889.39511232877</v>
      </c>
      <c r="G18" s="19" t="n">
        <f aca="false">-('Balance Sheet'!G10-'Balance Sheet'!F10)</f>
        <v>-2855.31143561644</v>
      </c>
      <c r="H18" s="19" t="n">
        <f aca="false">-('Balance Sheet'!H10-'Balance Sheet'!G10)</f>
        <v>-2243.63228071233</v>
      </c>
      <c r="I18" s="19" t="n">
        <f aca="false">-('Balance Sheet'!I10-'Balance Sheet'!H10)</f>
        <v>-2188.44877056</v>
      </c>
      <c r="J18" s="19" t="n">
        <f aca="false">-('Balance Sheet'!J10-'Balance Sheet'!I10)</f>
        <v>-1697.49738712383</v>
      </c>
      <c r="K18" s="3"/>
    </row>
    <row r="19" customFormat="false" ht="15" hidden="false" customHeight="true" outlineLevel="0" collapsed="false">
      <c r="A19" s="10" t="s">
        <v>151</v>
      </c>
      <c r="B19" s="3"/>
      <c r="C19" s="11" t="n">
        <v>-390</v>
      </c>
      <c r="D19" s="11" t="n">
        <v>339</v>
      </c>
      <c r="E19" s="11" t="n">
        <v>-11</v>
      </c>
      <c r="F19" s="19" t="n">
        <f aca="false">-('Balance Sheet'!F12-'Balance Sheet'!E12)</f>
        <v>-790.9032</v>
      </c>
      <c r="G19" s="19" t="n">
        <f aca="false">-('Balance Sheet'!G12-'Balance Sheet'!F12)</f>
        <v>-1158.09048</v>
      </c>
      <c r="H19" s="19" t="n">
        <f aca="false">-('Balance Sheet'!H12-'Balance Sheet'!G12)</f>
        <v>-1131.658332</v>
      </c>
      <c r="I19" s="19" t="n">
        <f aca="false">-('Balance Sheet'!I12-'Balance Sheet'!H12)</f>
        <v>-1062.70907256</v>
      </c>
      <c r="J19" s="19" t="n">
        <f aca="false">-('Balance Sheet'!J12-'Balance Sheet'!I12)</f>
        <v>-892.35292244832</v>
      </c>
      <c r="K19" s="3"/>
    </row>
    <row r="20" customFormat="false" ht="15" hidden="false" customHeight="true" outlineLevel="0" collapsed="false">
      <c r="A20" s="10" t="s">
        <v>152</v>
      </c>
      <c r="B20" s="3"/>
      <c r="C20" s="11" t="n">
        <v>-519</v>
      </c>
      <c r="D20" s="11" t="n">
        <v>3</v>
      </c>
      <c r="E20" s="11" t="n">
        <v>410</v>
      </c>
      <c r="F20" s="19" t="n">
        <f aca="false">'Balance Sheet'!F23-'Balance Sheet'!E23</f>
        <v>1669.15395890411</v>
      </c>
      <c r="G20" s="19" t="n">
        <f aca="false">'Balance Sheet'!G23-'Balance Sheet'!F23</f>
        <v>1734.19931506849</v>
      </c>
      <c r="H20" s="19" t="n">
        <f aca="false">'Balance Sheet'!H23-'Balance Sheet'!G23</f>
        <v>1654.25681280822</v>
      </c>
      <c r="I20" s="19" t="n">
        <f aca="false">'Balance Sheet'!I23-'Balance Sheet'!H23</f>
        <v>1511.60524611781</v>
      </c>
      <c r="J20" s="19" t="n">
        <f aca="false">'Balance Sheet'!J23-'Balance Sheet'!I23</f>
        <v>1344.64138999062</v>
      </c>
      <c r="K20" s="3"/>
    </row>
    <row r="21" customFormat="false" ht="15" hidden="false" customHeight="true" outlineLevel="0" collapsed="false">
      <c r="A21" s="10" t="s">
        <v>153</v>
      </c>
      <c r="B21" s="3"/>
      <c r="C21" s="11" t="n">
        <v>-221</v>
      </c>
      <c r="D21" s="11" t="n">
        <v>883</v>
      </c>
      <c r="E21" s="11" t="n">
        <v>-467</v>
      </c>
      <c r="F21" s="19" t="n">
        <f aca="false">('Balance Sheet'!F25-'Balance Sheet'!E25)+('Balance Sheet'!F28-'Balance Sheet'!E28)</f>
        <v>1823.62144</v>
      </c>
      <c r="G21" s="19" t="n">
        <f aca="false">('Balance Sheet'!G25-'Balance Sheet'!F25)+('Balance Sheet'!G28-'Balance Sheet'!F28)</f>
        <v>2933.829216</v>
      </c>
      <c r="H21" s="19" t="n">
        <f aca="false">('Balance Sheet'!H25-'Balance Sheet'!G25)+('Balance Sheet'!H28-'Balance Sheet'!G28)</f>
        <v>2866.8677744</v>
      </c>
      <c r="I21" s="19" t="n">
        <f aca="false">('Balance Sheet'!I25-'Balance Sheet'!H25)+('Balance Sheet'!I28-'Balance Sheet'!H28)</f>
        <v>2692.196317152</v>
      </c>
      <c r="J21" s="19" t="n">
        <f aca="false">('Balance Sheet'!J25-'Balance Sheet'!I25)+('Balance Sheet'!J28-'Balance Sheet'!I28)</f>
        <v>2260.62740353574</v>
      </c>
      <c r="K21" s="3"/>
    </row>
    <row r="22" customFormat="false" ht="15" hidden="false" customHeight="true" outlineLevel="0" collapsed="false">
      <c r="A22" s="15" t="s">
        <v>154</v>
      </c>
      <c r="B22" s="3"/>
      <c r="C22" s="16" t="n">
        <f aca="false">SUM(C6:C21)-C9-C12</f>
        <v>1667</v>
      </c>
      <c r="D22" s="16" t="n">
        <f aca="false">SUM(D6:D21)-D9-D12</f>
        <v>3041</v>
      </c>
      <c r="E22" s="16" t="n">
        <f aca="false">SUM(E6:E21)-E9-E12</f>
        <v>6493</v>
      </c>
      <c r="F22" s="16" t="n">
        <f aca="false">SUM(F6:F21)-F9-F12</f>
        <v>11354.6543014247</v>
      </c>
      <c r="G22" s="16" t="n">
        <f aca="false">SUM(G6:G21)-G9-G12</f>
        <v>16666.9035131044</v>
      </c>
      <c r="H22" s="16" t="n">
        <f aca="false">SUM(H6:H21)-H9-H12</f>
        <v>24826.4047048</v>
      </c>
      <c r="I22" s="16" t="n">
        <f aca="false">SUM(I6:I21)-I9-I12</f>
        <v>32239.03501624</v>
      </c>
      <c r="J22" s="16" t="n">
        <f aca="false">SUM(J6:J21)-J9-J12</f>
        <v>38903.2078751983</v>
      </c>
      <c r="K22" s="3"/>
    </row>
    <row r="23" customFormat="false" ht="15" hidden="false" customHeight="true" outlineLevel="0" collapsed="false">
      <c r="A23" s="10" t="s">
        <v>155</v>
      </c>
      <c r="B23" s="3"/>
      <c r="C23" s="11" t="n">
        <v>0</v>
      </c>
      <c r="D23" s="11" t="n">
        <v>0</v>
      </c>
      <c r="E23" s="11" t="n">
        <v>1216</v>
      </c>
      <c r="F23" s="20" t="n">
        <v>0</v>
      </c>
      <c r="G23" s="20" t="n">
        <v>0</v>
      </c>
      <c r="H23" s="20" t="n">
        <v>0</v>
      </c>
      <c r="I23" s="20" t="n">
        <v>0</v>
      </c>
      <c r="J23" s="20" t="n">
        <v>0</v>
      </c>
      <c r="K23" s="3"/>
    </row>
    <row r="24" customFormat="false" ht="15" hidden="false" customHeight="true" outlineLevel="0" collapsed="false">
      <c r="A24" s="9" t="s">
        <v>156</v>
      </c>
      <c r="B24" s="3"/>
      <c r="C24" s="23" t="n">
        <f aca="false">C22+C23</f>
        <v>1667</v>
      </c>
      <c r="D24" s="23" t="n">
        <f aca="false">D22+D23</f>
        <v>3041</v>
      </c>
      <c r="E24" s="23" t="n">
        <f aca="false">E22+E23</f>
        <v>7709</v>
      </c>
      <c r="F24" s="23" t="n">
        <f aca="false">F22+F23</f>
        <v>11354.6543014247</v>
      </c>
      <c r="G24" s="23" t="n">
        <f aca="false">G22+G23</f>
        <v>16666.9035131044</v>
      </c>
      <c r="H24" s="23" t="n">
        <f aca="false">H22+H23</f>
        <v>24826.4047048</v>
      </c>
      <c r="I24" s="23" t="n">
        <f aca="false">I22+I23</f>
        <v>32239.03501624</v>
      </c>
      <c r="J24" s="23" t="n">
        <f aca="false">J22+J23</f>
        <v>38903.2078751983</v>
      </c>
      <c r="K24" s="3"/>
    </row>
    <row r="25" customFormat="false" ht="1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customFormat="false" ht="15" hidden="false" customHeight="true" outlineLevel="0" collapsed="false">
      <c r="A26" s="7" t="s">
        <v>157</v>
      </c>
      <c r="B26" s="8"/>
      <c r="C26" s="8"/>
      <c r="D26" s="8"/>
      <c r="E26" s="8"/>
      <c r="F26" s="8"/>
      <c r="G26" s="8"/>
      <c r="H26" s="8"/>
      <c r="I26" s="8"/>
      <c r="J26" s="8"/>
      <c r="K26" s="8"/>
    </row>
    <row r="27" customFormat="false" ht="15" hidden="false" customHeight="true" outlineLevel="0" collapsed="false">
      <c r="A27" s="10" t="s">
        <v>158</v>
      </c>
      <c r="B27" s="3"/>
      <c r="C27" s="11" t="n">
        <v>-546</v>
      </c>
      <c r="D27" s="11" t="n">
        <v>-636</v>
      </c>
      <c r="E27" s="11" t="n">
        <v>-974</v>
      </c>
      <c r="F27" s="19" t="n">
        <f aca="false">-'Income Statement'!F9*F28</f>
        <v>-2459.086</v>
      </c>
      <c r="G27" s="19" t="n">
        <f aca="false">-'Income Statement'!G9*G28</f>
        <v>-3081.74526</v>
      </c>
      <c r="H27" s="19" t="n">
        <f aca="false">-'Income Statement'!H9*H28</f>
        <v>-3493.768008</v>
      </c>
      <c r="I27" s="19" t="n">
        <f aca="false">-'Income Statement'!I9*I28</f>
        <v>-3676.96063266</v>
      </c>
      <c r="J27" s="19" t="n">
        <f aca="false">-'Income Statement'!J9*J28</f>
        <v>-4197.49983742152</v>
      </c>
      <c r="K27" s="3"/>
    </row>
    <row r="28" customFormat="false" ht="15" hidden="false" customHeight="true" outlineLevel="0" collapsed="false">
      <c r="A28" s="10" t="s">
        <v>159</v>
      </c>
      <c r="B28" s="3"/>
      <c r="C28" s="14" t="n">
        <f aca="false">-C27/'Income Statement'!C9</f>
        <v>0.0240740740740741</v>
      </c>
      <c r="D28" s="14" t="n">
        <f aca="false">-D27/'Income Statement'!D9</f>
        <v>0.0246655031995346</v>
      </c>
      <c r="E28" s="14" t="n">
        <f aca="false">-E27/'Income Statement'!E9</f>
        <v>0.0281185946476515</v>
      </c>
      <c r="F28" s="18" t="n">
        <v>0.05</v>
      </c>
      <c r="G28" s="18" t="n">
        <v>0.045</v>
      </c>
      <c r="H28" s="18" t="n">
        <v>0.04</v>
      </c>
      <c r="I28" s="18" t="n">
        <v>0.035</v>
      </c>
      <c r="J28" s="18" t="n">
        <v>0.035</v>
      </c>
      <c r="K28" s="4" t="s">
        <v>160</v>
      </c>
    </row>
    <row r="29" customFormat="false" ht="15" hidden="false" customHeight="true" outlineLevel="0" collapsed="false">
      <c r="A29" s="10" t="s">
        <v>161</v>
      </c>
      <c r="B29" s="3"/>
      <c r="C29" s="11" t="n">
        <v>-3722</v>
      </c>
      <c r="D29" s="11" t="n">
        <v>-1493</v>
      </c>
      <c r="E29" s="11" t="n">
        <v>-5470</v>
      </c>
      <c r="F29" s="20" t="n">
        <v>0</v>
      </c>
      <c r="G29" s="20" t="n">
        <v>0</v>
      </c>
      <c r="H29" s="20" t="n">
        <v>0</v>
      </c>
      <c r="I29" s="20" t="n">
        <v>0</v>
      </c>
      <c r="J29" s="20" t="n">
        <v>0</v>
      </c>
      <c r="K29" s="4" t="s">
        <v>162</v>
      </c>
    </row>
    <row r="30" customFormat="false" ht="15" hidden="false" customHeight="true" outlineLevel="0" collapsed="false">
      <c r="A30" s="10" t="s">
        <v>163</v>
      </c>
      <c r="B30" s="3"/>
      <c r="C30" s="11" t="n">
        <v>2987</v>
      </c>
      <c r="D30" s="11" t="n">
        <v>2032</v>
      </c>
      <c r="E30" s="11" t="n">
        <v>1845</v>
      </c>
      <c r="F30" s="20" t="n">
        <v>0</v>
      </c>
      <c r="G30" s="20" t="n">
        <v>0</v>
      </c>
      <c r="H30" s="20" t="n">
        <v>0</v>
      </c>
      <c r="I30" s="20" t="n">
        <v>0</v>
      </c>
      <c r="J30" s="20" t="n">
        <v>0</v>
      </c>
      <c r="K30" s="3"/>
    </row>
    <row r="31" customFormat="false" ht="15" hidden="false" customHeight="true" outlineLevel="0" collapsed="false">
      <c r="A31" s="10" t="s">
        <v>164</v>
      </c>
      <c r="B31" s="3"/>
      <c r="C31" s="11" t="n">
        <v>-131</v>
      </c>
      <c r="D31" s="11" t="n">
        <v>-548</v>
      </c>
      <c r="E31" s="11" t="n">
        <v>-1760</v>
      </c>
      <c r="F31" s="20" t="n">
        <v>0</v>
      </c>
      <c r="G31" s="20" t="n">
        <v>0</v>
      </c>
      <c r="H31" s="20" t="n">
        <v>0</v>
      </c>
      <c r="I31" s="20" t="n">
        <v>0</v>
      </c>
      <c r="J31" s="20" t="n">
        <v>0</v>
      </c>
      <c r="K31" s="4" t="s">
        <v>165</v>
      </c>
    </row>
    <row r="32" customFormat="false" ht="15" hidden="false" customHeight="true" outlineLevel="0" collapsed="false">
      <c r="A32" s="10" t="s">
        <v>166</v>
      </c>
      <c r="B32" s="3"/>
      <c r="C32" s="11" t="n">
        <v>-11</v>
      </c>
      <c r="D32" s="11" t="n">
        <v>-458</v>
      </c>
      <c r="E32" s="11" t="n">
        <v>-502</v>
      </c>
      <c r="F32" s="20" t="n">
        <v>0</v>
      </c>
      <c r="G32" s="20" t="n">
        <v>0</v>
      </c>
      <c r="H32" s="20" t="n">
        <v>0</v>
      </c>
      <c r="I32" s="20" t="n">
        <v>0</v>
      </c>
      <c r="J32" s="20" t="n">
        <v>0</v>
      </c>
      <c r="K32" s="3"/>
    </row>
    <row r="33" customFormat="false" ht="15" hidden="false" customHeight="true" outlineLevel="0" collapsed="false">
      <c r="A33" s="10" t="s">
        <v>167</v>
      </c>
      <c r="B33" s="3"/>
      <c r="C33" s="11" t="n">
        <v>0</v>
      </c>
      <c r="D33" s="11" t="n">
        <v>2</v>
      </c>
      <c r="E33" s="11" t="n">
        <v>10</v>
      </c>
      <c r="F33" s="20" t="n">
        <v>0</v>
      </c>
      <c r="G33" s="20" t="n">
        <v>0</v>
      </c>
      <c r="H33" s="20" t="n">
        <v>0</v>
      </c>
      <c r="I33" s="20" t="n">
        <v>0</v>
      </c>
      <c r="J33" s="20" t="n">
        <v>0</v>
      </c>
      <c r="K33" s="3"/>
    </row>
    <row r="34" customFormat="false" ht="15" hidden="false" customHeight="true" outlineLevel="0" collapsed="false">
      <c r="A34" s="21" t="s">
        <v>168</v>
      </c>
      <c r="B34" s="3"/>
      <c r="C34" s="22" t="n">
        <f aca="false">SUM(C27:C33)-C28</f>
        <v>-1423</v>
      </c>
      <c r="D34" s="22" t="n">
        <f aca="false">SUM(D27:D33)-D28</f>
        <v>-1101</v>
      </c>
      <c r="E34" s="22" t="n">
        <f aca="false">SUM(E27:E33)-E28</f>
        <v>-6851</v>
      </c>
      <c r="F34" s="22" t="n">
        <f aca="false">SUM(F27:F33)-F28</f>
        <v>-2459.086</v>
      </c>
      <c r="G34" s="22" t="n">
        <f aca="false">SUM(G27:G33)-G28</f>
        <v>-3081.74526</v>
      </c>
      <c r="H34" s="22" t="n">
        <f aca="false">SUM(H27:H33)-H28</f>
        <v>-3493.768008</v>
      </c>
      <c r="I34" s="22" t="n">
        <f aca="false">SUM(I27:I33)-I28</f>
        <v>-3676.96063266</v>
      </c>
      <c r="J34" s="22" t="n">
        <f aca="false">SUM(J27:J33)-J28</f>
        <v>-4197.49983742152</v>
      </c>
      <c r="K34" s="3"/>
    </row>
    <row r="35" customFormat="false" ht="15" hidden="false" customHeight="true" outlineLevel="0" collapsed="false">
      <c r="A35" s="10" t="s">
        <v>169</v>
      </c>
      <c r="B35" s="3"/>
      <c r="C35" s="11" t="n">
        <v>0</v>
      </c>
      <c r="D35" s="11" t="n">
        <v>0</v>
      </c>
      <c r="E35" s="11" t="n">
        <v>1318</v>
      </c>
      <c r="F35" s="20" t="n">
        <v>0</v>
      </c>
      <c r="G35" s="20" t="n">
        <v>0</v>
      </c>
      <c r="H35" s="20" t="n">
        <v>0</v>
      </c>
      <c r="I35" s="20" t="n">
        <v>0</v>
      </c>
      <c r="J35" s="20" t="n">
        <v>0</v>
      </c>
      <c r="K35" s="3"/>
    </row>
    <row r="36" customFormat="false" ht="15" hidden="false" customHeight="true" outlineLevel="0" collapsed="false">
      <c r="A36" s="9" t="s">
        <v>170</v>
      </c>
      <c r="B36" s="3"/>
      <c r="C36" s="23" t="n">
        <f aca="false">C34+C35</f>
        <v>-1423</v>
      </c>
      <c r="D36" s="23" t="n">
        <f aca="false">D34+D35</f>
        <v>-1101</v>
      </c>
      <c r="E36" s="23" t="n">
        <f aca="false">E34+E35</f>
        <v>-5533</v>
      </c>
      <c r="F36" s="23" t="n">
        <f aca="false">F34+F35</f>
        <v>-2459.086</v>
      </c>
      <c r="G36" s="23" t="n">
        <f aca="false">G34+G35</f>
        <v>-3081.74526</v>
      </c>
      <c r="H36" s="23" t="n">
        <f aca="false">H34+H35</f>
        <v>-3493.768008</v>
      </c>
      <c r="I36" s="23" t="n">
        <f aca="false">I34+I35</f>
        <v>-3676.96063266</v>
      </c>
      <c r="J36" s="23" t="n">
        <f aca="false">J34+J35</f>
        <v>-4197.49983742152</v>
      </c>
      <c r="K36" s="3"/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customFormat="false" ht="15" hidden="false" customHeight="true" outlineLevel="0" collapsed="false">
      <c r="A38" s="7" t="s">
        <v>171</v>
      </c>
      <c r="B38" s="8"/>
      <c r="C38" s="8"/>
      <c r="D38" s="8"/>
      <c r="E38" s="8"/>
      <c r="F38" s="8"/>
      <c r="G38" s="8"/>
      <c r="H38" s="8"/>
      <c r="I38" s="8"/>
      <c r="J38" s="8"/>
      <c r="K38" s="8"/>
    </row>
    <row r="39" customFormat="false" ht="15" hidden="false" customHeight="true" outlineLevel="0" collapsed="false">
      <c r="A39" s="10" t="s">
        <v>172</v>
      </c>
      <c r="B39" s="3"/>
      <c r="C39" s="11" t="n">
        <v>0</v>
      </c>
      <c r="D39" s="11" t="n">
        <v>0</v>
      </c>
      <c r="E39" s="11" t="n">
        <v>2441</v>
      </c>
      <c r="F39" s="20" t="n">
        <v>0</v>
      </c>
      <c r="G39" s="20" t="n">
        <v>0</v>
      </c>
      <c r="H39" s="20" t="n">
        <v>0</v>
      </c>
      <c r="I39" s="20" t="n">
        <v>0</v>
      </c>
      <c r="J39" s="20" t="n">
        <v>0</v>
      </c>
      <c r="K39" s="3"/>
    </row>
    <row r="40" customFormat="false" ht="15" hidden="false" customHeight="true" outlineLevel="0" collapsed="false">
      <c r="A40" s="10" t="s">
        <v>173</v>
      </c>
      <c r="B40" s="3"/>
      <c r="C40" s="11" t="n">
        <v>0</v>
      </c>
      <c r="D40" s="11" t="n">
        <v>-750</v>
      </c>
      <c r="E40" s="11" t="n">
        <v>-950</v>
      </c>
      <c r="F40" s="20" t="n">
        <v>-874</v>
      </c>
      <c r="G40" s="20" t="n">
        <v>0</v>
      </c>
      <c r="H40" s="20" t="n">
        <v>0</v>
      </c>
      <c r="I40" s="20" t="n">
        <v>0</v>
      </c>
      <c r="J40" s="20" t="n">
        <v>0</v>
      </c>
      <c r="K40" s="4" t="s">
        <v>174</v>
      </c>
    </row>
    <row r="41" customFormat="false" ht="15" hidden="false" customHeight="true" outlineLevel="0" collapsed="false">
      <c r="A41" s="10" t="s">
        <v>175</v>
      </c>
      <c r="B41" s="3"/>
      <c r="C41" s="11" t="n">
        <v>268</v>
      </c>
      <c r="D41" s="11" t="n">
        <v>279</v>
      </c>
      <c r="E41" s="11" t="n">
        <v>285</v>
      </c>
      <c r="F41" s="20" t="n">
        <v>300</v>
      </c>
      <c r="G41" s="20" t="n">
        <v>300</v>
      </c>
      <c r="H41" s="20" t="n">
        <v>300</v>
      </c>
      <c r="I41" s="20" t="n">
        <v>300</v>
      </c>
      <c r="J41" s="20" t="n">
        <v>300</v>
      </c>
      <c r="K41" s="3"/>
    </row>
    <row r="42" customFormat="false" ht="15" hidden="false" customHeight="true" outlineLevel="0" collapsed="false">
      <c r="A42" s="10" t="s">
        <v>176</v>
      </c>
      <c r="B42" s="3"/>
      <c r="C42" s="11" t="n">
        <v>-985</v>
      </c>
      <c r="D42" s="11" t="n">
        <v>-862</v>
      </c>
      <c r="E42" s="11" t="n">
        <v>-1316</v>
      </c>
      <c r="F42" s="20" t="n">
        <v>-1500</v>
      </c>
      <c r="G42" s="20" t="n">
        <v>-3000</v>
      </c>
      <c r="H42" s="20" t="n">
        <v>-5000</v>
      </c>
      <c r="I42" s="20" t="n">
        <v>-7000</v>
      </c>
      <c r="J42" s="20" t="n">
        <v>-9000</v>
      </c>
      <c r="K42" s="4" t="s">
        <v>177</v>
      </c>
    </row>
    <row r="43" customFormat="false" ht="15" hidden="false" customHeight="true" outlineLevel="0" collapsed="false">
      <c r="A43" s="10" t="s">
        <v>178</v>
      </c>
      <c r="B43" s="3"/>
      <c r="C43" s="11" t="n">
        <v>-427</v>
      </c>
      <c r="D43" s="11" t="n">
        <v>-728</v>
      </c>
      <c r="E43" s="11" t="n">
        <v>-607</v>
      </c>
      <c r="F43" s="20" t="n">
        <v>-700</v>
      </c>
      <c r="G43" s="20" t="n">
        <v>-700</v>
      </c>
      <c r="H43" s="20" t="n">
        <v>-700</v>
      </c>
      <c r="I43" s="20" t="n">
        <v>-700</v>
      </c>
      <c r="J43" s="20" t="n">
        <v>-700</v>
      </c>
      <c r="K43" s="3"/>
    </row>
    <row r="44" customFormat="false" ht="15" hidden="false" customHeight="true" outlineLevel="0" collapsed="false">
      <c r="A44" s="10" t="s">
        <v>179</v>
      </c>
      <c r="B44" s="3"/>
      <c r="C44" s="11" t="n">
        <v>-2</v>
      </c>
      <c r="D44" s="11" t="n">
        <v>-1</v>
      </c>
      <c r="E44" s="11" t="n">
        <v>-284</v>
      </c>
      <c r="F44" s="20" t="n">
        <v>0</v>
      </c>
      <c r="G44" s="20" t="n">
        <v>0</v>
      </c>
      <c r="H44" s="20" t="n">
        <v>0</v>
      </c>
      <c r="I44" s="20" t="n">
        <v>0</v>
      </c>
      <c r="J44" s="20" t="n">
        <v>0</v>
      </c>
      <c r="K44" s="3"/>
    </row>
    <row r="45" customFormat="false" ht="15" hidden="false" customHeight="true" outlineLevel="0" collapsed="false">
      <c r="A45" s="15" t="s">
        <v>180</v>
      </c>
      <c r="B45" s="3"/>
      <c r="C45" s="16" t="n">
        <f aca="false">SUM(C39:C44)</f>
        <v>-1146</v>
      </c>
      <c r="D45" s="16" t="n">
        <f aca="false">SUM(D39:D44)</f>
        <v>-2062</v>
      </c>
      <c r="E45" s="16" t="n">
        <f aca="false">SUM(E39:E44)</f>
        <v>-431</v>
      </c>
      <c r="F45" s="16" t="n">
        <f aca="false">SUM(F39:F44)</f>
        <v>-2774</v>
      </c>
      <c r="G45" s="16" t="n">
        <f aca="false">SUM(G39:G44)</f>
        <v>-3400</v>
      </c>
      <c r="H45" s="16" t="n">
        <f aca="false">SUM(H39:H44)</f>
        <v>-5400</v>
      </c>
      <c r="I45" s="16" t="n">
        <f aca="false">SUM(I39:I44)</f>
        <v>-7400</v>
      </c>
      <c r="J45" s="16" t="n">
        <f aca="false">SUM(J39:J44)</f>
        <v>-9400</v>
      </c>
      <c r="K45" s="3"/>
    </row>
    <row r="46" customFormat="false" ht="1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customFormat="false" ht="15" hidden="false" customHeight="true" outlineLevel="0" collapsed="false">
      <c r="A47" s="9" t="s">
        <v>181</v>
      </c>
      <c r="B47" s="3"/>
      <c r="C47" s="23" t="n">
        <f aca="false">C24+C36+C45</f>
        <v>-902</v>
      </c>
      <c r="D47" s="23" t="n">
        <f aca="false">D24+D36+D45</f>
        <v>-122</v>
      </c>
      <c r="E47" s="23" t="n">
        <f aca="false">E24+E36+E45</f>
        <v>1745</v>
      </c>
      <c r="F47" s="23" t="n">
        <f aca="false">F24+F36+F45</f>
        <v>6121.56830142466</v>
      </c>
      <c r="G47" s="23" t="n">
        <f aca="false">G24+G36+G45</f>
        <v>10185.1582531044</v>
      </c>
      <c r="H47" s="23" t="n">
        <f aca="false">H24+H36+H45</f>
        <v>15932.6366968</v>
      </c>
      <c r="I47" s="23" t="n">
        <f aca="false">I24+I36+I45</f>
        <v>21162.07438358</v>
      </c>
      <c r="J47" s="23" t="n">
        <f aca="false">J24+J36+J45</f>
        <v>25305.7080377767</v>
      </c>
      <c r="K47" s="3"/>
    </row>
    <row r="48" customFormat="false" ht="15" hidden="false" customHeight="true" outlineLevel="0" collapsed="false">
      <c r="A48" s="10" t="s">
        <v>182</v>
      </c>
      <c r="B48" s="3"/>
      <c r="C48" s="11" t="n">
        <v>4835</v>
      </c>
      <c r="D48" s="28" t="n">
        <f aca="false">C49</f>
        <v>3933</v>
      </c>
      <c r="E48" s="28" t="n">
        <f aca="false">D49</f>
        <v>3811</v>
      </c>
      <c r="F48" s="19" t="n">
        <f aca="false">'Balance Sheet'!E6</f>
        <v>5539</v>
      </c>
      <c r="G48" s="19" t="n">
        <f aca="false">'Balance Sheet'!F6</f>
        <v>11660.5683014247</v>
      </c>
      <c r="H48" s="19" t="n">
        <f aca="false">'Balance Sheet'!G6</f>
        <v>21845.726554529</v>
      </c>
      <c r="I48" s="19" t="n">
        <f aca="false">'Balance Sheet'!H6</f>
        <v>37778.363251329</v>
      </c>
      <c r="J48" s="19" t="n">
        <f aca="false">'Balance Sheet'!I6</f>
        <v>58940.437634909</v>
      </c>
      <c r="K48" s="4" t="s">
        <v>183</v>
      </c>
    </row>
    <row r="49" customFormat="false" ht="15" hidden="false" customHeight="true" outlineLevel="0" collapsed="false">
      <c r="A49" s="15" t="s">
        <v>184</v>
      </c>
      <c r="B49" s="3"/>
      <c r="C49" s="16" t="n">
        <f aca="false">C48+C47</f>
        <v>3933</v>
      </c>
      <c r="D49" s="16" t="n">
        <f aca="false">D48+D47</f>
        <v>3811</v>
      </c>
      <c r="E49" s="16" t="n">
        <f aca="false">E48+E47</f>
        <v>5556</v>
      </c>
      <c r="F49" s="16" t="n">
        <f aca="false">F48+F47</f>
        <v>11660.5683014247</v>
      </c>
      <c r="G49" s="16" t="n">
        <f aca="false">G48+G47</f>
        <v>21845.726554529</v>
      </c>
      <c r="H49" s="16" t="n">
        <f aca="false">H48+H47</f>
        <v>37778.363251329</v>
      </c>
      <c r="I49" s="16" t="n">
        <f aca="false">I48+I47</f>
        <v>58940.437634909</v>
      </c>
      <c r="J49" s="16" t="n">
        <f aca="false">J48+J47</f>
        <v>84246.1456726858</v>
      </c>
      <c r="K49" s="3"/>
    </row>
    <row r="50" customFormat="false" ht="15" hidden="false" customHeight="true" outlineLevel="0" collapsed="false">
      <c r="A50" s="10" t="s">
        <v>185</v>
      </c>
      <c r="B50" s="3"/>
      <c r="C50" s="11" t="n">
        <v>3933</v>
      </c>
      <c r="D50" s="11" t="n">
        <v>3811</v>
      </c>
      <c r="E50" s="11" t="n">
        <v>5556</v>
      </c>
      <c r="F50" s="3"/>
      <c r="G50" s="3"/>
      <c r="H50" s="3"/>
      <c r="I50" s="3"/>
      <c r="J50" s="3"/>
      <c r="K50" s="3"/>
    </row>
    <row r="51" customFormat="false" ht="15" hidden="false" customHeight="true" outlineLevel="0" collapsed="false">
      <c r="A51" s="10" t="s">
        <v>93</v>
      </c>
      <c r="B51" s="3"/>
      <c r="C51" s="12" t="n">
        <f aca="false">C49-C50</f>
        <v>0</v>
      </c>
      <c r="D51" s="12" t="n">
        <f aca="false">D49-D50</f>
        <v>0</v>
      </c>
      <c r="E51" s="12" t="n">
        <f aca="false">E49-E50</f>
        <v>0</v>
      </c>
      <c r="F51" s="3"/>
      <c r="G51" s="3"/>
      <c r="H51" s="3"/>
      <c r="I51" s="3"/>
      <c r="J51" s="3"/>
      <c r="K51" s="3"/>
    </row>
    <row r="52" customFormat="false" ht="1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customFormat="false" ht="15" hidden="false" customHeight="true" outlineLevel="0" collapsed="false">
      <c r="A53" s="7" t="s">
        <v>186</v>
      </c>
      <c r="B53" s="8"/>
      <c r="C53" s="8"/>
      <c r="D53" s="8"/>
      <c r="E53" s="8"/>
      <c r="F53" s="8"/>
      <c r="G53" s="8"/>
      <c r="H53" s="8"/>
      <c r="I53" s="8"/>
      <c r="J53" s="8"/>
      <c r="K53" s="8"/>
    </row>
    <row r="54" customFormat="false" ht="15" hidden="false" customHeight="true" outlineLevel="0" collapsed="false">
      <c r="A54" s="9" t="s">
        <v>187</v>
      </c>
      <c r="B54" s="3"/>
      <c r="C54" s="23" t="n">
        <f aca="false">C22+C27</f>
        <v>1121</v>
      </c>
      <c r="D54" s="23" t="n">
        <f aca="false">D22+D27</f>
        <v>2405</v>
      </c>
      <c r="E54" s="23" t="n">
        <f aca="false">E22+E27</f>
        <v>5519</v>
      </c>
      <c r="F54" s="23" t="n">
        <f aca="false">F22+F27</f>
        <v>8895.56830142466</v>
      </c>
      <c r="G54" s="23" t="n">
        <f aca="false">G22+G27</f>
        <v>13585.1582531044</v>
      </c>
      <c r="H54" s="23" t="n">
        <f aca="false">H22+H27</f>
        <v>21332.6366968</v>
      </c>
      <c r="I54" s="23" t="n">
        <f aca="false">I22+I27</f>
        <v>28562.07438358</v>
      </c>
      <c r="J54" s="23" t="n">
        <f aca="false">J22+J27</f>
        <v>34705.7080377767</v>
      </c>
      <c r="K54" s="4" t="s">
        <v>188</v>
      </c>
    </row>
    <row r="55" customFormat="false" ht="15" hidden="false" customHeight="true" outlineLevel="0" collapsed="false">
      <c r="A55" s="10" t="s">
        <v>189</v>
      </c>
      <c r="B55" s="3"/>
      <c r="C55" s="14" t="n">
        <f aca="false">C54/'Income Statement'!C9</f>
        <v>0.0494268077601411</v>
      </c>
      <c r="D55" s="14" t="n">
        <f aca="false">D54/'Income Statement'!D9</f>
        <v>0.0932712817529572</v>
      </c>
      <c r="E55" s="14" t="n">
        <f aca="false">E54/'Income Statement'!E9</f>
        <v>0.159329079938797</v>
      </c>
      <c r="F55" s="14" t="n">
        <f aca="false">F54/'Income Statement'!F9</f>
        <v>0.180871435594865</v>
      </c>
      <c r="G55" s="14" t="n">
        <f aca="false">G54/'Income Statement'!G9</f>
        <v>0.198372048892093</v>
      </c>
      <c r="H55" s="14" t="n">
        <f aca="false">H54/'Income Statement'!H9</f>
        <v>0.244236442121545</v>
      </c>
      <c r="I55" s="14" t="n">
        <f aca="false">I54/'Income Statement'!I9</f>
        <v>0.271874709385211</v>
      </c>
      <c r="J55" s="14" t="n">
        <f aca="false">J54/'Income Statement'!J9</f>
        <v>0.289386498718333</v>
      </c>
      <c r="K55" s="3"/>
    </row>
    <row r="56" customFormat="false" ht="15" hidden="false" customHeight="true" outlineLevel="0" collapsed="false">
      <c r="A56" s="10" t="s">
        <v>190</v>
      </c>
      <c r="B56" s="3"/>
      <c r="C56" s="29" t="n">
        <f aca="false">C54/'Income Statement'!C62</f>
        <v>0.689846153846154</v>
      </c>
      <c r="D56" s="29" t="n">
        <f aca="false">D54/'Income Statement'!D62</f>
        <v>1.46915088576665</v>
      </c>
      <c r="E56" s="29" t="n">
        <f aca="false">E54/'Income Statement'!E62</f>
        <v>3.37347188264059</v>
      </c>
      <c r="F56" s="29" t="n">
        <f aca="false">F54/'Income Statement'!F62</f>
        <v>5.37291396966515</v>
      </c>
      <c r="G56" s="29" t="n">
        <f aca="false">G54/'Income Statement'!G62</f>
        <v>8.16459841383766</v>
      </c>
      <c r="H56" s="29" t="n">
        <f aca="false">H54/'Income Statement'!H62</f>
        <v>12.8207863679371</v>
      </c>
      <c r="I56" s="29" t="n">
        <f aca="false">I54/'Income Statement'!I62</f>
        <v>17.2518944145144</v>
      </c>
      <c r="J56" s="29" t="n">
        <f aca="false">J54/'Income Statement'!J62</f>
        <v>21.1744803035387</v>
      </c>
      <c r="K56" s="3"/>
    </row>
    <row r="57" customFormat="false" ht="15" hidden="false" customHeight="true" outlineLevel="0" collapsed="false">
      <c r="A57" s="10" t="s">
        <v>191</v>
      </c>
      <c r="B57" s="3"/>
      <c r="C57" s="12" t="n">
        <f aca="false">C54-C11</f>
        <v>-263</v>
      </c>
      <c r="D57" s="12" t="n">
        <f aca="false">D54-D11</f>
        <v>998</v>
      </c>
      <c r="E57" s="12" t="n">
        <f aca="false">E54-E11</f>
        <v>3881</v>
      </c>
      <c r="F57" s="12" t="n">
        <f aca="false">F54-F11</f>
        <v>6682.39090142466</v>
      </c>
      <c r="G57" s="12" t="n">
        <f aca="false">G54-G11</f>
        <v>10845.8291331044</v>
      </c>
      <c r="H57" s="12" t="n">
        <f aca="false">H54-H11</f>
        <v>18100.9012894</v>
      </c>
      <c r="I57" s="12" t="n">
        <f aca="false">I54-I11</f>
        <v>24885.11375092</v>
      </c>
      <c r="J57" s="12" t="n">
        <f aca="false">J54-J11</f>
        <v>30748.0653339222</v>
      </c>
      <c r="K57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10" min="2" style="1" width="12"/>
    <col collapsed="false" customWidth="true" hidden="false" outlineLevel="0" max="11" min="11" style="1" width="70"/>
  </cols>
  <sheetData>
    <row r="1" customFormat="false" ht="17.25" hidden="false" customHeight="true" outlineLevel="0" collapsed="false">
      <c r="A1" s="2" t="s">
        <v>192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customFormat="false" ht="15" hidden="false" customHeight="true" outlineLevel="0" collapsed="false">
      <c r="A2" s="4" t="s">
        <v>193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15" hidden="false" customHeight="true" outlineLevel="0" collapsed="false">
      <c r="A4" s="5" t="s">
        <v>2</v>
      </c>
      <c r="B4" s="5"/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  <c r="K4" s="5" t="s">
        <v>11</v>
      </c>
    </row>
    <row r="5" customFormat="false" ht="15" hidden="false" customHeight="true" outlineLevel="0" collapsed="false">
      <c r="A5" s="7" t="s">
        <v>194</v>
      </c>
      <c r="B5" s="8"/>
      <c r="C5" s="8"/>
      <c r="D5" s="8"/>
      <c r="E5" s="8"/>
      <c r="F5" s="8"/>
      <c r="G5" s="8"/>
      <c r="H5" s="8"/>
      <c r="I5" s="8"/>
      <c r="J5" s="8"/>
      <c r="K5" s="8"/>
    </row>
    <row r="6" customFormat="false" ht="15" hidden="false" customHeight="true" outlineLevel="0" collapsed="false">
      <c r="A6" s="10" t="s">
        <v>195</v>
      </c>
      <c r="B6" s="3"/>
      <c r="C6" s="11" t="n">
        <v>3933</v>
      </c>
      <c r="D6" s="11" t="n">
        <v>3787</v>
      </c>
      <c r="E6" s="11" t="n">
        <v>5539</v>
      </c>
      <c r="F6" s="19" t="n">
        <f aca="false">'Cash Flow Statement'!F49</f>
        <v>11660.5683014247</v>
      </c>
      <c r="G6" s="19" t="n">
        <f aca="false">'Cash Flow Statement'!G49</f>
        <v>21845.726554529</v>
      </c>
      <c r="H6" s="19" t="n">
        <f aca="false">'Cash Flow Statement'!H49</f>
        <v>37778.363251329</v>
      </c>
      <c r="I6" s="19" t="n">
        <f aca="false">'Cash Flow Statement'!I49</f>
        <v>58940.437634909</v>
      </c>
      <c r="J6" s="19" t="n">
        <f aca="false">'Cash Flow Statement'!J49</f>
        <v>84246.1456726858</v>
      </c>
      <c r="K6" s="4" t="s">
        <v>38</v>
      </c>
    </row>
    <row r="7" customFormat="false" ht="15" hidden="false" customHeight="true" outlineLevel="0" collapsed="false">
      <c r="A7" s="10" t="s">
        <v>196</v>
      </c>
      <c r="B7" s="3"/>
      <c r="C7" s="11" t="n">
        <v>1840</v>
      </c>
      <c r="D7" s="11" t="n">
        <v>1345</v>
      </c>
      <c r="E7" s="11" t="n">
        <v>5013</v>
      </c>
      <c r="F7" s="19" t="n">
        <f aca="false">E7-'Cash Flow Statement'!F29-'Cash Flow Statement'!F30</f>
        <v>5013</v>
      </c>
      <c r="G7" s="19" t="n">
        <f aca="false">F7-'Cash Flow Statement'!G29-'Cash Flow Statement'!G30</f>
        <v>5013</v>
      </c>
      <c r="H7" s="19" t="n">
        <f aca="false">G7-'Cash Flow Statement'!H29-'Cash Flow Statement'!H30</f>
        <v>5013</v>
      </c>
      <c r="I7" s="19" t="n">
        <f aca="false">H7-'Cash Flow Statement'!I29-'Cash Flow Statement'!I30</f>
        <v>5013</v>
      </c>
      <c r="J7" s="19" t="n">
        <f aca="false">I7-'Cash Flow Statement'!J29-'Cash Flow Statement'!J30</f>
        <v>5013</v>
      </c>
      <c r="K7" s="3"/>
    </row>
    <row r="8" customFormat="false" ht="15" hidden="false" customHeight="true" outlineLevel="0" collapsed="false">
      <c r="A8" s="10" t="s">
        <v>197</v>
      </c>
      <c r="B8" s="3"/>
      <c r="C8" s="11" t="n">
        <v>4323</v>
      </c>
      <c r="D8" s="11" t="n">
        <v>6192</v>
      </c>
      <c r="E8" s="11" t="n">
        <v>6315</v>
      </c>
      <c r="F8" s="19" t="n">
        <f aca="false">'Income Statement'!F9*F9/365</f>
        <v>8758.38849315068</v>
      </c>
      <c r="G8" s="19" t="n">
        <f aca="false">'Income Statement'!G9*G9/365</f>
        <v>12195.6433424658</v>
      </c>
      <c r="H8" s="19" t="n">
        <f aca="false">'Income Statement'!H9*H9/365</f>
        <v>15554.4466109589</v>
      </c>
      <c r="I8" s="19" t="n">
        <f aca="false">'Income Statement'!I9*I9/365</f>
        <v>18708.6059587397</v>
      </c>
      <c r="J8" s="19" t="n">
        <f aca="false">'Income Statement'!J9*J9/365</f>
        <v>21357.1420299334</v>
      </c>
      <c r="K8" s="3"/>
    </row>
    <row r="9" customFormat="false" ht="15" hidden="false" customHeight="true" outlineLevel="0" collapsed="false">
      <c r="A9" s="10" t="s">
        <v>198</v>
      </c>
      <c r="B9" s="3"/>
      <c r="C9" s="30" t="n">
        <f aca="false">C8/'Income Statement'!C9*365</f>
        <v>69.57208994709</v>
      </c>
      <c r="D9" s="30" t="n">
        <f aca="false">D8/'Income Statement'!D9*365</f>
        <v>87.6509598603839</v>
      </c>
      <c r="E9" s="30" t="n">
        <f aca="false">E8/'Income Statement'!E9*365</f>
        <v>66.542769710442</v>
      </c>
      <c r="F9" s="31" t="n">
        <v>65</v>
      </c>
      <c r="G9" s="31" t="n">
        <v>65</v>
      </c>
      <c r="H9" s="31" t="n">
        <v>65</v>
      </c>
      <c r="I9" s="31" t="n">
        <v>65</v>
      </c>
      <c r="J9" s="31" t="n">
        <v>65</v>
      </c>
      <c r="K9" s="3"/>
    </row>
    <row r="10" customFormat="false" ht="15" hidden="false" customHeight="true" outlineLevel="0" collapsed="false">
      <c r="A10" s="10" t="s">
        <v>199</v>
      </c>
      <c r="B10" s="3"/>
      <c r="C10" s="11" t="n">
        <v>4351</v>
      </c>
      <c r="D10" s="11" t="n">
        <v>5734</v>
      </c>
      <c r="E10" s="11" t="n">
        <v>7920</v>
      </c>
      <c r="F10" s="19" t="n">
        <f aca="false">'Income Statement'!F13*F11/365</f>
        <v>9809.39511232877</v>
      </c>
      <c r="G10" s="19" t="n">
        <f aca="false">'Income Statement'!G13*G11/365</f>
        <v>12664.7065479452</v>
      </c>
      <c r="H10" s="19" t="n">
        <f aca="false">'Income Statement'!H13*H11/365</f>
        <v>14908.3388286575</v>
      </c>
      <c r="I10" s="19" t="n">
        <f aca="false">'Income Statement'!I13*I11/365</f>
        <v>17096.7875992175</v>
      </c>
      <c r="J10" s="19" t="n">
        <f aca="false">'Income Statement'!J13*J11/365</f>
        <v>18794.2849863414</v>
      </c>
      <c r="K10" s="3"/>
    </row>
    <row r="11" customFormat="false" ht="15" hidden="false" customHeight="true" outlineLevel="0" collapsed="false">
      <c r="A11" s="10" t="s">
        <v>200</v>
      </c>
      <c r="B11" s="3"/>
      <c r="C11" s="30" t="n">
        <f aca="false">C10/'Income Statement'!C13*365</f>
        <v>140.815304131938</v>
      </c>
      <c r="D11" s="30" t="n">
        <f aca="false">D10/'Income Statement'!D13*365</f>
        <v>172.767871883771</v>
      </c>
      <c r="E11" s="30" t="n">
        <f aca="false">E10/'Income Statement'!E13*365</f>
        <v>175.668449197861</v>
      </c>
      <c r="F11" s="31" t="n">
        <v>160</v>
      </c>
      <c r="G11" s="31" t="n">
        <v>150</v>
      </c>
      <c r="H11" s="31" t="n">
        <v>140</v>
      </c>
      <c r="I11" s="31" t="n">
        <v>135</v>
      </c>
      <c r="J11" s="31" t="n">
        <v>130</v>
      </c>
      <c r="K11" s="4" t="s">
        <v>201</v>
      </c>
    </row>
    <row r="12" customFormat="false" ht="15" hidden="false" customHeight="true" outlineLevel="0" collapsed="false">
      <c r="A12" s="10" t="s">
        <v>202</v>
      </c>
      <c r="B12" s="3"/>
      <c r="C12" s="11" t="n">
        <v>2321</v>
      </c>
      <c r="D12" s="11" t="n">
        <v>1991</v>
      </c>
      <c r="E12" s="11" t="n">
        <v>2160</v>
      </c>
      <c r="F12" s="19" t="n">
        <f aca="false">'Income Statement'!F9*F13</f>
        <v>2950.9032</v>
      </c>
      <c r="G12" s="19" t="n">
        <f aca="false">'Income Statement'!G9*G13</f>
        <v>4108.99368</v>
      </c>
      <c r="H12" s="19" t="n">
        <f aca="false">'Income Statement'!H9*H13</f>
        <v>5240.652012</v>
      </c>
      <c r="I12" s="19" t="n">
        <f aca="false">'Income Statement'!I9*I13</f>
        <v>6303.36108456</v>
      </c>
      <c r="J12" s="19" t="n">
        <f aca="false">'Income Statement'!J9*J13</f>
        <v>7195.71400700832</v>
      </c>
      <c r="K12" s="4" t="s">
        <v>203</v>
      </c>
    </row>
    <row r="13" customFormat="false" ht="15" hidden="false" customHeight="true" outlineLevel="0" collapsed="false">
      <c r="A13" s="10" t="s">
        <v>75</v>
      </c>
      <c r="B13" s="3"/>
      <c r="C13" s="14" t="n">
        <f aca="false">C12/'Income Statement'!C9</f>
        <v>0.102336860670194</v>
      </c>
      <c r="D13" s="14" t="n">
        <f aca="false">D12/'Income Statement'!D9</f>
        <v>0.0772154353306186</v>
      </c>
      <c r="E13" s="14" t="n">
        <f aca="false">E12/'Income Statement'!E9</f>
        <v>0.0623574583561881</v>
      </c>
      <c r="F13" s="18" t="n">
        <v>0.06</v>
      </c>
      <c r="G13" s="18" t="n">
        <v>0.06</v>
      </c>
      <c r="H13" s="18" t="n">
        <v>0.06</v>
      </c>
      <c r="I13" s="18" t="n">
        <v>0.06</v>
      </c>
      <c r="J13" s="18" t="n">
        <v>0.06</v>
      </c>
      <c r="K13" s="3"/>
    </row>
    <row r="14" customFormat="false" ht="15" hidden="false" customHeight="true" outlineLevel="0" collapsed="false">
      <c r="A14" s="15" t="s">
        <v>204</v>
      </c>
      <c r="B14" s="3"/>
      <c r="C14" s="16" t="n">
        <f aca="false">C6+C7+C8+C10+C12</f>
        <v>16768</v>
      </c>
      <c r="D14" s="16" t="n">
        <f aca="false">D6+D7+D8+D10+D12</f>
        <v>19049</v>
      </c>
      <c r="E14" s="16" t="n">
        <f aca="false">E6+E7+E8+E10+E12</f>
        <v>26947</v>
      </c>
      <c r="F14" s="16" t="n">
        <f aca="false">F6+F7+F8+F10+F12</f>
        <v>38192.2551069041</v>
      </c>
      <c r="G14" s="16" t="n">
        <f aca="false">G6+G7+G8+G10+G12</f>
        <v>55828.07012494</v>
      </c>
      <c r="H14" s="16" t="n">
        <f aca="false">H6+H7+H8+H10+H12</f>
        <v>78494.8007029455</v>
      </c>
      <c r="I14" s="16" t="n">
        <f aca="false">I6+I7+I8+I10+I12</f>
        <v>106062.192277426</v>
      </c>
      <c r="J14" s="16" t="n">
        <f aca="false">J6+J7+J8+J10+J12</f>
        <v>136606.286695969</v>
      </c>
      <c r="K14" s="3"/>
    </row>
    <row r="15" customFormat="false" ht="15" hidden="false" customHeight="true" outlineLevel="0" collapsed="false">
      <c r="A15" s="10" t="s">
        <v>205</v>
      </c>
      <c r="B15" s="3"/>
      <c r="C15" s="11" t="n">
        <v>1589</v>
      </c>
      <c r="D15" s="11" t="n">
        <v>1802</v>
      </c>
      <c r="E15" s="11" t="n">
        <v>2312</v>
      </c>
      <c r="F15" s="19" t="n">
        <f aca="false">E15-'Cash Flow Statement'!F27-'Cash Flow Statement'!F8</f>
        <v>3915.646</v>
      </c>
      <c r="G15" s="19" t="n">
        <f aca="false">F15-'Cash Flow Statement'!G27-'Cash Flow Statement'!G8</f>
        <v>5548.60224</v>
      </c>
      <c r="H15" s="19" t="n">
        <f aca="false">G15-'Cash Flow Statement'!H27-'Cash Flow Statement'!H8</f>
        <v>6989.3874192</v>
      </c>
      <c r="I15" s="19" t="n">
        <f aca="false">H15-'Cash Flow Statement'!I27-'Cash Flow Statement'!I8</f>
        <v>8080.274706756</v>
      </c>
      <c r="J15" s="19" t="n">
        <f aca="false">I15-'Cash Flow Statement'!J27-'Cash Flow Statement'!J8</f>
        <v>9288.0729026778</v>
      </c>
      <c r="K15" s="3"/>
    </row>
    <row r="16" customFormat="false" ht="15" hidden="false" customHeight="true" outlineLevel="0" collapsed="false">
      <c r="A16" s="10" t="s">
        <v>206</v>
      </c>
      <c r="B16" s="3"/>
      <c r="C16" s="11" t="n">
        <v>24262</v>
      </c>
      <c r="D16" s="11" t="n">
        <v>24839</v>
      </c>
      <c r="E16" s="11" t="n">
        <v>25126</v>
      </c>
      <c r="F16" s="12" t="n">
        <f aca="false">E16</f>
        <v>25126</v>
      </c>
      <c r="G16" s="12" t="n">
        <f aca="false">F16</f>
        <v>25126</v>
      </c>
      <c r="H16" s="12" t="n">
        <f aca="false">G16</f>
        <v>25126</v>
      </c>
      <c r="I16" s="12" t="n">
        <f aca="false">H16</f>
        <v>25126</v>
      </c>
      <c r="J16" s="12" t="n">
        <f aca="false">I16</f>
        <v>25126</v>
      </c>
      <c r="K16" s="3"/>
    </row>
    <row r="17" customFormat="false" ht="15" hidden="false" customHeight="true" outlineLevel="0" collapsed="false">
      <c r="A17" s="10" t="s">
        <v>207</v>
      </c>
      <c r="B17" s="3"/>
      <c r="C17" s="11" t="n">
        <v>21363</v>
      </c>
      <c r="D17" s="11" t="n">
        <v>18930</v>
      </c>
      <c r="E17" s="11" t="n">
        <v>16705</v>
      </c>
      <c r="F17" s="19" t="n">
        <f aca="false">E17-'Cash Flow Statement'!F10</f>
        <v>14525</v>
      </c>
      <c r="G17" s="19" t="n">
        <f aca="false">F17-'Cash Flow Statement'!G10</f>
        <v>12675</v>
      </c>
      <c r="H17" s="19" t="n">
        <f aca="false">G17-'Cash Flow Statement'!H10</f>
        <v>11125</v>
      </c>
      <c r="I17" s="19" t="n">
        <f aca="false">H17-'Cash Flow Statement'!I10</f>
        <v>9925</v>
      </c>
      <c r="J17" s="19" t="n">
        <f aca="false">I17-'Cash Flow Statement'!J10</f>
        <v>8925</v>
      </c>
      <c r="K17" s="3"/>
    </row>
    <row r="18" customFormat="false" ht="15" hidden="false" customHeight="true" outlineLevel="0" collapsed="false">
      <c r="A18" s="10" t="s">
        <v>208</v>
      </c>
      <c r="B18" s="3"/>
      <c r="C18" s="11" t="n">
        <v>366</v>
      </c>
      <c r="D18" s="11" t="n">
        <v>688</v>
      </c>
      <c r="E18" s="11" t="n">
        <v>384</v>
      </c>
      <c r="F18" s="12" t="n">
        <f aca="false">E18</f>
        <v>384</v>
      </c>
      <c r="G18" s="12" t="n">
        <f aca="false">F18</f>
        <v>384</v>
      </c>
      <c r="H18" s="12" t="n">
        <f aca="false">G18</f>
        <v>384</v>
      </c>
      <c r="I18" s="12" t="n">
        <f aca="false">H18</f>
        <v>384</v>
      </c>
      <c r="J18" s="12" t="n">
        <f aca="false">I18</f>
        <v>384</v>
      </c>
      <c r="K18" s="3"/>
    </row>
    <row r="19" customFormat="false" ht="15" hidden="false" customHeight="true" outlineLevel="0" collapsed="false">
      <c r="A19" s="10" t="s">
        <v>209</v>
      </c>
      <c r="B19" s="3"/>
      <c r="C19" s="11" t="n">
        <v>3537</v>
      </c>
      <c r="D19" s="11" t="n">
        <v>3918</v>
      </c>
      <c r="E19" s="11" t="n">
        <v>5452</v>
      </c>
      <c r="F19" s="19" t="n">
        <f aca="false">E19-'Cash Flow Statement'!F32-'Cash Flow Statement'!F31-'Cash Flow Statement'!F33</f>
        <v>5452</v>
      </c>
      <c r="G19" s="19" t="n">
        <f aca="false">F19-'Cash Flow Statement'!G32-'Cash Flow Statement'!G31-'Cash Flow Statement'!G33</f>
        <v>5452</v>
      </c>
      <c r="H19" s="19" t="n">
        <f aca="false">G19-'Cash Flow Statement'!H32-'Cash Flow Statement'!H31-'Cash Flow Statement'!H33</f>
        <v>5452</v>
      </c>
      <c r="I19" s="19" t="n">
        <f aca="false">H19-'Cash Flow Statement'!I32-'Cash Flow Statement'!I31-'Cash Flow Statement'!I33</f>
        <v>5452</v>
      </c>
      <c r="J19" s="19" t="n">
        <f aca="false">I19-'Cash Flow Statement'!J32-'Cash Flow Statement'!J31-'Cash Flow Statement'!J33</f>
        <v>5452</v>
      </c>
      <c r="K19" s="4" t="s">
        <v>210</v>
      </c>
    </row>
    <row r="20" customFormat="false" ht="15" hidden="false" customHeight="true" outlineLevel="0" collapsed="false">
      <c r="A20" s="15" t="s">
        <v>211</v>
      </c>
      <c r="B20" s="3"/>
      <c r="C20" s="16" t="n">
        <f aca="false">C14+C15+C16+C17+C18+C19</f>
        <v>67885</v>
      </c>
      <c r="D20" s="16" t="n">
        <f aca="false">D14+D15+D16+D17+D18+D19</f>
        <v>69226</v>
      </c>
      <c r="E20" s="16" t="n">
        <f aca="false">E14+E15+E16+E17+E18+E19</f>
        <v>76926</v>
      </c>
      <c r="F20" s="16" t="n">
        <f aca="false">F14+F15+F16+F17+F18+F19</f>
        <v>87594.9011069041</v>
      </c>
      <c r="G20" s="16" t="n">
        <f aca="false">G14+G15+G16+G17+G18+G19</f>
        <v>105013.67236494</v>
      </c>
      <c r="H20" s="16" t="n">
        <f aca="false">H14+H15+H16+H17+H18+H19</f>
        <v>127571.188122145</v>
      </c>
      <c r="I20" s="16" t="n">
        <f aca="false">I14+I15+I16+I17+I18+I19</f>
        <v>155029.466984182</v>
      </c>
      <c r="J20" s="16" t="n">
        <f aca="false">J14+J15+J16+J17+J18+J19</f>
        <v>185781.359598647</v>
      </c>
      <c r="K20" s="3"/>
    </row>
    <row r="21" customFormat="false" ht="1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customFormat="false" ht="15" hidden="false" customHeight="true" outlineLevel="0" collapsed="false">
      <c r="A22" s="7" t="s">
        <v>212</v>
      </c>
      <c r="B22" s="8"/>
      <c r="C22" s="8"/>
      <c r="D22" s="8"/>
      <c r="E22" s="8"/>
      <c r="F22" s="8"/>
      <c r="G22" s="8"/>
      <c r="H22" s="8"/>
      <c r="I22" s="8"/>
      <c r="J22" s="8"/>
      <c r="K22" s="8"/>
    </row>
    <row r="23" customFormat="false" ht="15" hidden="false" customHeight="true" outlineLevel="0" collapsed="false">
      <c r="A23" s="10" t="s">
        <v>213</v>
      </c>
      <c r="B23" s="3"/>
      <c r="C23" s="11" t="n">
        <v>2418</v>
      </c>
      <c r="D23" s="11" t="n">
        <v>2466</v>
      </c>
      <c r="E23" s="11" t="n">
        <v>2929</v>
      </c>
      <c r="F23" s="19" t="n">
        <f aca="false">'Income Statement'!F13*F24/365</f>
        <v>4598.15395890411</v>
      </c>
      <c r="G23" s="19" t="n">
        <f aca="false">'Income Statement'!G13*G24/365</f>
        <v>6332.3532739726</v>
      </c>
      <c r="H23" s="19" t="n">
        <f aca="false">'Income Statement'!H13*H24/365</f>
        <v>7986.61008678082</v>
      </c>
      <c r="I23" s="19" t="n">
        <f aca="false">'Income Statement'!I13*I24/365</f>
        <v>9498.21533289863</v>
      </c>
      <c r="J23" s="19" t="n">
        <f aca="false">'Income Statement'!J13*J24/365</f>
        <v>10842.8567228892</v>
      </c>
      <c r="K23" s="4" t="s">
        <v>214</v>
      </c>
    </row>
    <row r="24" customFormat="false" ht="15" hidden="false" customHeight="true" outlineLevel="0" collapsed="false">
      <c r="A24" s="10" t="s">
        <v>215</v>
      </c>
      <c r="B24" s="3"/>
      <c r="C24" s="30" t="n">
        <f aca="false">C23/'Income Statement'!C13*365</f>
        <v>78.2558964355382</v>
      </c>
      <c r="D24" s="30" t="n">
        <f aca="false">D23/'Income Statement'!D13*365</f>
        <v>74.3016344725111</v>
      </c>
      <c r="E24" s="30" t="n">
        <f aca="false">E23/'Income Statement'!E13*365</f>
        <v>64.9662736995625</v>
      </c>
      <c r="F24" s="31" t="n">
        <v>75</v>
      </c>
      <c r="G24" s="31" t="n">
        <v>75</v>
      </c>
      <c r="H24" s="31" t="n">
        <v>75</v>
      </c>
      <c r="I24" s="31" t="n">
        <v>75</v>
      </c>
      <c r="J24" s="31" t="n">
        <v>75</v>
      </c>
      <c r="K24" s="4" t="s">
        <v>216</v>
      </c>
    </row>
    <row r="25" customFormat="false" ht="15" hidden="false" customHeight="true" outlineLevel="0" collapsed="false">
      <c r="A25" s="10" t="s">
        <v>217</v>
      </c>
      <c r="B25" s="3"/>
      <c r="C25" s="11" t="n">
        <v>3082</v>
      </c>
      <c r="D25" s="11" t="n">
        <v>4260</v>
      </c>
      <c r="E25" s="11" t="n">
        <v>5250</v>
      </c>
      <c r="F25" s="19" t="n">
        <f aca="false">'Income Statement'!F9*F26</f>
        <v>6885.4408</v>
      </c>
      <c r="G25" s="19" t="n">
        <f aca="false">'Income Statement'!G9*G26</f>
        <v>9587.65192</v>
      </c>
      <c r="H25" s="19" t="n">
        <f aca="false">'Income Statement'!H9*H26</f>
        <v>12228.188028</v>
      </c>
      <c r="I25" s="19" t="n">
        <f aca="false">'Income Statement'!I9*I26</f>
        <v>14707.84253064</v>
      </c>
      <c r="J25" s="19" t="n">
        <f aca="false">'Income Statement'!J9*J26</f>
        <v>16789.9993496861</v>
      </c>
      <c r="K25" s="3"/>
    </row>
    <row r="26" customFormat="false" ht="15" hidden="false" customHeight="true" outlineLevel="0" collapsed="false">
      <c r="A26" s="10" t="s">
        <v>75</v>
      </c>
      <c r="B26" s="3"/>
      <c r="C26" s="14" t="n">
        <f aca="false">C25/'Income Statement'!C9</f>
        <v>0.135890652557319</v>
      </c>
      <c r="D26" s="14" t="n">
        <f aca="false">D25/'Income Statement'!D9</f>
        <v>0.1652123327516</v>
      </c>
      <c r="E26" s="14" t="n">
        <f aca="false">E25/'Income Statement'!E9</f>
        <v>0.151563266837957</v>
      </c>
      <c r="F26" s="18" t="n">
        <v>0.14</v>
      </c>
      <c r="G26" s="18" t="n">
        <v>0.14</v>
      </c>
      <c r="H26" s="18" t="n">
        <v>0.14</v>
      </c>
      <c r="I26" s="18" t="n">
        <v>0.14</v>
      </c>
      <c r="J26" s="18" t="n">
        <v>0.14</v>
      </c>
      <c r="K26" s="3"/>
    </row>
    <row r="27" customFormat="false" ht="15" hidden="false" customHeight="true" outlineLevel="0" collapsed="false">
      <c r="A27" s="10" t="s">
        <v>218</v>
      </c>
      <c r="B27" s="3"/>
      <c r="C27" s="11" t="n">
        <v>751</v>
      </c>
      <c r="D27" s="11" t="n">
        <v>0</v>
      </c>
      <c r="E27" s="11" t="n">
        <v>874</v>
      </c>
      <c r="F27" s="20" t="n">
        <v>0</v>
      </c>
      <c r="G27" s="20" t="n">
        <v>0</v>
      </c>
      <c r="H27" s="20" t="n">
        <v>0</v>
      </c>
      <c r="I27" s="20" t="n">
        <v>0</v>
      </c>
      <c r="J27" s="20" t="n">
        <v>0</v>
      </c>
      <c r="K27" s="3"/>
    </row>
    <row r="28" customFormat="false" ht="15" hidden="false" customHeight="true" outlineLevel="0" collapsed="false">
      <c r="A28" s="10" t="s">
        <v>219</v>
      </c>
      <c r="B28" s="3"/>
      <c r="C28" s="11" t="n">
        <v>438</v>
      </c>
      <c r="D28" s="11" t="n">
        <v>555</v>
      </c>
      <c r="E28" s="11" t="n">
        <v>402</v>
      </c>
      <c r="F28" s="19" t="n">
        <f aca="false">'Income Statement'!F9*F29</f>
        <v>590.18064</v>
      </c>
      <c r="G28" s="19" t="n">
        <f aca="false">'Income Statement'!G9*G29</f>
        <v>821.798736</v>
      </c>
      <c r="H28" s="19" t="n">
        <f aca="false">'Income Statement'!H9*H29</f>
        <v>1048.1304024</v>
      </c>
      <c r="I28" s="19" t="n">
        <f aca="false">'Income Statement'!I9*I29</f>
        <v>1260.672216912</v>
      </c>
      <c r="J28" s="19" t="n">
        <f aca="false">'Income Statement'!J9*J29</f>
        <v>1439.14280140166</v>
      </c>
      <c r="K28" s="3"/>
    </row>
    <row r="29" customFormat="false" ht="15" hidden="false" customHeight="true" outlineLevel="0" collapsed="false">
      <c r="A29" s="10" t="s">
        <v>75</v>
      </c>
      <c r="B29" s="3"/>
      <c r="C29" s="14" t="n">
        <f aca="false">C28/'Income Statement'!C9</f>
        <v>0.0193121693121693</v>
      </c>
      <c r="D29" s="14" t="n">
        <f aca="false">D28/'Income Statement'!D9</f>
        <v>0.0215241419429901</v>
      </c>
      <c r="E29" s="14" t="n">
        <f aca="false">E28/'Income Statement'!E9</f>
        <v>0.011605415860735</v>
      </c>
      <c r="F29" s="18" t="n">
        <v>0.012</v>
      </c>
      <c r="G29" s="18" t="n">
        <v>0.012</v>
      </c>
      <c r="H29" s="18" t="n">
        <v>0.012</v>
      </c>
      <c r="I29" s="18" t="n">
        <v>0.012</v>
      </c>
      <c r="J29" s="18" t="n">
        <v>0.012</v>
      </c>
      <c r="K29" s="3"/>
    </row>
    <row r="30" customFormat="false" ht="15" hidden="false" customHeight="true" outlineLevel="0" collapsed="false">
      <c r="A30" s="15" t="s">
        <v>220</v>
      </c>
      <c r="B30" s="3"/>
      <c r="C30" s="16" t="n">
        <f aca="false">C23+C25+C27+C28</f>
        <v>6689</v>
      </c>
      <c r="D30" s="16" t="n">
        <f aca="false">D23+D25+D27+D28</f>
        <v>7281</v>
      </c>
      <c r="E30" s="16" t="n">
        <f aca="false">E23+E25+E27+E28</f>
        <v>9455</v>
      </c>
      <c r="F30" s="16" t="n">
        <f aca="false">F23+F25+F27+F28</f>
        <v>12073.7753989041</v>
      </c>
      <c r="G30" s="16" t="n">
        <f aca="false">G23+G25+G27+G28</f>
        <v>16741.8039299726</v>
      </c>
      <c r="H30" s="16" t="n">
        <f aca="false">H23+H25+H27+H28</f>
        <v>21262.9285171808</v>
      </c>
      <c r="I30" s="16" t="n">
        <f aca="false">I23+I25+I27+I28</f>
        <v>25466.7300804506</v>
      </c>
      <c r="J30" s="16" t="n">
        <f aca="false">J23+J25+J27+J28</f>
        <v>29071.998873977</v>
      </c>
      <c r="K30" s="3"/>
    </row>
    <row r="31" customFormat="false" ht="15" hidden="false" customHeight="true" outlineLevel="0" collapsed="false">
      <c r="A31" s="10" t="s">
        <v>221</v>
      </c>
      <c r="B31" s="3"/>
      <c r="C31" s="11" t="n">
        <v>1717</v>
      </c>
      <c r="D31" s="11" t="n">
        <v>1721</v>
      </c>
      <c r="E31" s="11" t="n">
        <v>2348</v>
      </c>
      <c r="F31" s="19" t="n">
        <f aca="false">E31+E27-F27+'Cash Flow Statement'!F39+'Cash Flow Statement'!F40</f>
        <v>2348</v>
      </c>
      <c r="G31" s="19" t="n">
        <f aca="false">F31+F27-G27+'Cash Flow Statement'!G39+'Cash Flow Statement'!G40</f>
        <v>2348</v>
      </c>
      <c r="H31" s="19" t="n">
        <f aca="false">G31+G27-H27+'Cash Flow Statement'!H39+'Cash Flow Statement'!H40</f>
        <v>2348</v>
      </c>
      <c r="I31" s="19" t="n">
        <f aca="false">H31+H27-I27+'Cash Flow Statement'!I39+'Cash Flow Statement'!I40</f>
        <v>2348</v>
      </c>
      <c r="J31" s="19" t="n">
        <f aca="false">I31+I27-J27+'Cash Flow Statement'!J39+'Cash Flow Statement'!J40</f>
        <v>2348</v>
      </c>
      <c r="K31" s="3"/>
    </row>
    <row r="32" customFormat="false" ht="15" hidden="false" customHeight="true" outlineLevel="0" collapsed="false">
      <c r="A32" s="10" t="s">
        <v>222</v>
      </c>
      <c r="B32" s="3"/>
      <c r="C32" s="11" t="n">
        <v>535</v>
      </c>
      <c r="D32" s="11" t="n">
        <v>491</v>
      </c>
      <c r="E32" s="11" t="n">
        <v>625</v>
      </c>
      <c r="F32" s="12" t="n">
        <f aca="false">E32</f>
        <v>625</v>
      </c>
      <c r="G32" s="12" t="n">
        <f aca="false">F32</f>
        <v>625</v>
      </c>
      <c r="H32" s="12" t="n">
        <f aca="false">G32</f>
        <v>625</v>
      </c>
      <c r="I32" s="12" t="n">
        <f aca="false">H32</f>
        <v>625</v>
      </c>
      <c r="J32" s="12" t="n">
        <f aca="false">I32</f>
        <v>625</v>
      </c>
      <c r="K32" s="3"/>
    </row>
    <row r="33" customFormat="false" ht="15" hidden="false" customHeight="true" outlineLevel="0" collapsed="false">
      <c r="A33" s="10" t="s">
        <v>223</v>
      </c>
      <c r="B33" s="3"/>
      <c r="C33" s="11" t="n">
        <v>1202</v>
      </c>
      <c r="D33" s="11" t="n">
        <v>349</v>
      </c>
      <c r="E33" s="11" t="n">
        <v>313</v>
      </c>
      <c r="F33" s="12" t="n">
        <f aca="false">E33</f>
        <v>313</v>
      </c>
      <c r="G33" s="12" t="n">
        <f aca="false">F33</f>
        <v>313</v>
      </c>
      <c r="H33" s="12" t="n">
        <f aca="false">G33</f>
        <v>313</v>
      </c>
      <c r="I33" s="12" t="n">
        <f aca="false">H33</f>
        <v>313</v>
      </c>
      <c r="J33" s="12" t="n">
        <f aca="false">I33</f>
        <v>313</v>
      </c>
      <c r="K33" s="3"/>
    </row>
    <row r="34" customFormat="false" ht="15" hidden="false" customHeight="true" outlineLevel="0" collapsed="false">
      <c r="A34" s="10" t="s">
        <v>224</v>
      </c>
      <c r="B34" s="3"/>
      <c r="C34" s="11" t="n">
        <v>1850</v>
      </c>
      <c r="D34" s="11" t="n">
        <v>1816</v>
      </c>
      <c r="E34" s="11" t="n">
        <v>1186</v>
      </c>
      <c r="F34" s="12" t="n">
        <f aca="false">E34</f>
        <v>1186</v>
      </c>
      <c r="G34" s="12" t="n">
        <f aca="false">F34</f>
        <v>1186</v>
      </c>
      <c r="H34" s="12" t="n">
        <f aca="false">G34</f>
        <v>1186</v>
      </c>
      <c r="I34" s="12" t="n">
        <f aca="false">H34</f>
        <v>1186</v>
      </c>
      <c r="J34" s="12" t="n">
        <f aca="false">I34</f>
        <v>1186</v>
      </c>
      <c r="K34" s="3"/>
    </row>
    <row r="35" customFormat="false" ht="15" hidden="false" customHeight="true" outlineLevel="0" collapsed="false">
      <c r="A35" s="15" t="s">
        <v>225</v>
      </c>
      <c r="B35" s="3"/>
      <c r="C35" s="16" t="n">
        <f aca="false">C30+C31+C32+C33+C34</f>
        <v>11993</v>
      </c>
      <c r="D35" s="16" t="n">
        <f aca="false">D30+D31+D32+D33+D34</f>
        <v>11658</v>
      </c>
      <c r="E35" s="16" t="n">
        <f aca="false">E30+E31+E32+E33+E34</f>
        <v>13927</v>
      </c>
      <c r="F35" s="16" t="n">
        <f aca="false">F30+F31+F32+F33+F34</f>
        <v>16545.7753989041</v>
      </c>
      <c r="G35" s="16" t="n">
        <f aca="false">G30+G31+G32+G33+G34</f>
        <v>21213.8039299726</v>
      </c>
      <c r="H35" s="16" t="n">
        <f aca="false">H30+H31+H32+H33+H34</f>
        <v>25734.9285171808</v>
      </c>
      <c r="I35" s="16" t="n">
        <f aca="false">I30+I31+I32+I33+I34</f>
        <v>29938.7300804506</v>
      </c>
      <c r="J35" s="16" t="n">
        <f aca="false">J30+J31+J32+J33+J34</f>
        <v>33543.998873977</v>
      </c>
      <c r="K35" s="3"/>
    </row>
    <row r="36" customFormat="false" ht="1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customFormat="false" ht="15" hidden="false" customHeight="true" outlineLevel="0" collapsed="false">
      <c r="A37" s="7" t="s">
        <v>226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customFormat="false" ht="15" hidden="false" customHeight="true" outlineLevel="0" collapsed="false">
      <c r="A38" s="10" t="s">
        <v>227</v>
      </c>
      <c r="B38" s="3"/>
      <c r="C38" s="11" t="n">
        <v>59693</v>
      </c>
      <c r="D38" s="11" t="n">
        <v>61379</v>
      </c>
      <c r="E38" s="11" t="n">
        <v>63382</v>
      </c>
      <c r="F38" s="19" t="n">
        <f aca="false">E38+'Cash Flow Statement'!F11+'Cash Flow Statement'!F41+'Cash Flow Statement'!F43</f>
        <v>65195.1774</v>
      </c>
      <c r="G38" s="19" t="n">
        <f aca="false">F38+'Cash Flow Statement'!G11+'Cash Flow Statement'!G41+'Cash Flow Statement'!G43</f>
        <v>67534.50652</v>
      </c>
      <c r="H38" s="19" t="n">
        <f aca="false">G38+'Cash Flow Statement'!H11+'Cash Flow Statement'!H41+'Cash Flow Statement'!H43</f>
        <v>70366.2419274</v>
      </c>
      <c r="I38" s="19" t="n">
        <f aca="false">H38+'Cash Flow Statement'!I11+'Cash Flow Statement'!I41+'Cash Flow Statement'!I43</f>
        <v>73643.20256006</v>
      </c>
      <c r="J38" s="19" t="n">
        <f aca="false">I38+'Cash Flow Statement'!J11+'Cash Flow Statement'!J41+'Cash Flow Statement'!J43</f>
        <v>77200.8452639146</v>
      </c>
      <c r="K38" s="4" t="s">
        <v>228</v>
      </c>
    </row>
    <row r="39" customFormat="false" ht="15" hidden="false" customHeight="true" outlineLevel="0" collapsed="false">
      <c r="A39" s="10" t="s">
        <v>229</v>
      </c>
      <c r="B39" s="3"/>
      <c r="C39" s="11" t="n">
        <v>-4514</v>
      </c>
      <c r="D39" s="11" t="n">
        <v>-6106</v>
      </c>
      <c r="E39" s="11" t="n">
        <v>-7079</v>
      </c>
      <c r="F39" s="19" t="n">
        <f aca="false">E39+'Cash Flow Statement'!F42</f>
        <v>-8579</v>
      </c>
      <c r="G39" s="19" t="n">
        <f aca="false">F39+'Cash Flow Statement'!G42</f>
        <v>-11579</v>
      </c>
      <c r="H39" s="19" t="n">
        <f aca="false">G39+'Cash Flow Statement'!H42</f>
        <v>-16579</v>
      </c>
      <c r="I39" s="19" t="n">
        <f aca="false">H39+'Cash Flow Statement'!I42</f>
        <v>-23579</v>
      </c>
      <c r="J39" s="19" t="n">
        <f aca="false">I39+'Cash Flow Statement'!J42</f>
        <v>-32579</v>
      </c>
      <c r="K39" s="4" t="s">
        <v>230</v>
      </c>
    </row>
    <row r="40" customFormat="false" ht="15" hidden="false" customHeight="true" outlineLevel="0" collapsed="false">
      <c r="A40" s="10" t="s">
        <v>231</v>
      </c>
      <c r="B40" s="3"/>
      <c r="C40" s="11" t="n">
        <v>723</v>
      </c>
      <c r="D40" s="11" t="n">
        <v>2364</v>
      </c>
      <c r="E40" s="11" t="n">
        <v>6699</v>
      </c>
      <c r="F40" s="19" t="n">
        <f aca="false">E40+'Income Statement'!F56</f>
        <v>14435.948308</v>
      </c>
      <c r="G40" s="19" t="n">
        <f aca="false">F40+'Income Statement'!G56</f>
        <v>27847.3619149674</v>
      </c>
      <c r="H40" s="19" t="n">
        <f aca="false">G40+'Income Statement'!H56</f>
        <v>48052.0176775646</v>
      </c>
      <c r="I40" s="19" t="n">
        <f aca="false">H40+'Income Statement'!I56</f>
        <v>75029.5343436717</v>
      </c>
      <c r="J40" s="19" t="n">
        <f aca="false">I40+'Income Statement'!J56</f>
        <v>107618.515460755</v>
      </c>
      <c r="K40" s="3"/>
    </row>
    <row r="41" customFormat="false" ht="15" hidden="false" customHeight="true" outlineLevel="0" collapsed="false">
      <c r="A41" s="10" t="s">
        <v>232</v>
      </c>
      <c r="B41" s="3"/>
      <c r="C41" s="11" t="n">
        <v>-10</v>
      </c>
      <c r="D41" s="11" t="n">
        <v>-69</v>
      </c>
      <c r="E41" s="11" t="n">
        <v>-3</v>
      </c>
      <c r="F41" s="12" t="n">
        <f aca="false">E41</f>
        <v>-3</v>
      </c>
      <c r="G41" s="12" t="n">
        <f aca="false">F41</f>
        <v>-3</v>
      </c>
      <c r="H41" s="12" t="n">
        <f aca="false">G41</f>
        <v>-3</v>
      </c>
      <c r="I41" s="12" t="n">
        <f aca="false">H41</f>
        <v>-3</v>
      </c>
      <c r="J41" s="12" t="n">
        <f aca="false">I41</f>
        <v>-3</v>
      </c>
      <c r="K41" s="3"/>
    </row>
    <row r="42" customFormat="false" ht="15" hidden="false" customHeight="true" outlineLevel="0" collapsed="false">
      <c r="A42" s="15" t="s">
        <v>233</v>
      </c>
      <c r="B42" s="3"/>
      <c r="C42" s="16" t="n">
        <f aca="false">C38+C39+C40+C41</f>
        <v>55892</v>
      </c>
      <c r="D42" s="16" t="n">
        <f aca="false">D38+D39+D40+D41</f>
        <v>57568</v>
      </c>
      <c r="E42" s="16" t="n">
        <f aca="false">E38+E39+E40+E41</f>
        <v>62999</v>
      </c>
      <c r="F42" s="16" t="n">
        <f aca="false">F38+F39+F40+F41</f>
        <v>71049.125708</v>
      </c>
      <c r="G42" s="16" t="n">
        <f aca="false">G38+G39+G40+G41</f>
        <v>83799.8684349674</v>
      </c>
      <c r="H42" s="16" t="n">
        <f aca="false">H38+H39+H40+H41</f>
        <v>101836.259604965</v>
      </c>
      <c r="I42" s="16" t="n">
        <f aca="false">I38+I39+I40+I41</f>
        <v>125090.736903732</v>
      </c>
      <c r="J42" s="16" t="n">
        <f aca="false">J38+J39+J40+J41</f>
        <v>152237.36072467</v>
      </c>
      <c r="K42" s="3"/>
    </row>
    <row r="43" customFormat="false" ht="15" hidden="false" customHeight="true" outlineLevel="0" collapsed="false">
      <c r="A43" s="15" t="s">
        <v>234</v>
      </c>
      <c r="B43" s="3"/>
      <c r="C43" s="16" t="n">
        <f aca="false">C35+C42</f>
        <v>67885</v>
      </c>
      <c r="D43" s="16" t="n">
        <f aca="false">D35+D42</f>
        <v>69226</v>
      </c>
      <c r="E43" s="16" t="n">
        <f aca="false">E35+E42</f>
        <v>76926</v>
      </c>
      <c r="F43" s="16" t="n">
        <f aca="false">F35+F42</f>
        <v>87594.9011069041</v>
      </c>
      <c r="G43" s="16" t="n">
        <f aca="false">G35+G42</f>
        <v>105013.67236494</v>
      </c>
      <c r="H43" s="16" t="n">
        <f aca="false">H35+H42</f>
        <v>127571.188122145</v>
      </c>
      <c r="I43" s="16" t="n">
        <f aca="false">I35+I42</f>
        <v>155029.466984182</v>
      </c>
      <c r="J43" s="16" t="n">
        <f aca="false">J35+J42</f>
        <v>185781.359598647</v>
      </c>
      <c r="K43" s="3"/>
    </row>
    <row r="44" customFormat="false" ht="1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customFormat="false" ht="15" hidden="false" customHeight="true" outlineLevel="0" collapsed="false">
      <c r="A45" s="9" t="s">
        <v>235</v>
      </c>
      <c r="B45" s="3"/>
      <c r="C45" s="23" t="n">
        <f aca="false">ROUND(C20-C43,3)</f>
        <v>0</v>
      </c>
      <c r="D45" s="23" t="n">
        <f aca="false">ROUND(D20-D43,3)</f>
        <v>0</v>
      </c>
      <c r="E45" s="23" t="n">
        <f aca="false">ROUND(E20-E43,3)</f>
        <v>0</v>
      </c>
      <c r="F45" s="23" t="n">
        <f aca="false">ROUND(F20-F43,3)</f>
        <v>0</v>
      </c>
      <c r="G45" s="23" t="n">
        <f aca="false">ROUND(G20-G43,3)</f>
        <v>0</v>
      </c>
      <c r="H45" s="23" t="n">
        <f aca="false">ROUND(H20-H43,3)</f>
        <v>0</v>
      </c>
      <c r="I45" s="23" t="n">
        <f aca="false">ROUND(I20-I43,3)</f>
        <v>0</v>
      </c>
      <c r="J45" s="23" t="n">
        <f aca="false">ROUND(J20-J43,3)</f>
        <v>0</v>
      </c>
      <c r="K45" s="3"/>
    </row>
    <row r="46" customFormat="false" ht="15" hidden="false" customHeight="true" outlineLevel="0" collapsed="false">
      <c r="A46" s="10" t="s">
        <v>236</v>
      </c>
      <c r="B46" s="3"/>
      <c r="C46" s="32" t="str">
        <f aca="false">IF(C45=0,"OK","ERROR")</f>
        <v>OK</v>
      </c>
      <c r="D46" s="32" t="str">
        <f aca="false">IF(D45=0,"OK","ERROR")</f>
        <v>OK</v>
      </c>
      <c r="E46" s="32" t="str">
        <f aca="false">IF(E45=0,"OK","ERROR")</f>
        <v>OK</v>
      </c>
      <c r="F46" s="32" t="str">
        <f aca="false">IF(F45=0,"OK","ERROR")</f>
        <v>OK</v>
      </c>
      <c r="G46" s="32" t="str">
        <f aca="false">IF(G45=0,"OK","ERROR")</f>
        <v>OK</v>
      </c>
      <c r="H46" s="32" t="str">
        <f aca="false">IF(H45=0,"OK","ERROR")</f>
        <v>OK</v>
      </c>
      <c r="I46" s="32" t="str">
        <f aca="false">IF(I45=0,"OK","ERROR")</f>
        <v>OK</v>
      </c>
      <c r="J46" s="32" t="str">
        <f aca="false">IF(J45=0,"OK","ERROR")</f>
        <v>OK</v>
      </c>
      <c r="K46" s="3"/>
    </row>
    <row r="47" customFormat="false" ht="15" hidden="false" customHeight="true" outlineLevel="0" collapsed="false">
      <c r="A47" s="10" t="s">
        <v>237</v>
      </c>
      <c r="B47" s="3"/>
      <c r="C47" s="11" t="n">
        <v>67885</v>
      </c>
      <c r="D47" s="11" t="n">
        <v>69226</v>
      </c>
      <c r="E47" s="11" t="n">
        <v>76926</v>
      </c>
      <c r="F47" s="3"/>
      <c r="G47" s="3"/>
      <c r="H47" s="3"/>
      <c r="I47" s="3"/>
      <c r="J47" s="3"/>
      <c r="K47" s="3"/>
    </row>
    <row r="48" customFormat="false" ht="15" hidden="false" customHeight="true" outlineLevel="0" collapsed="false">
      <c r="A48" s="10" t="s">
        <v>238</v>
      </c>
      <c r="B48" s="3"/>
      <c r="C48" s="11" t="n">
        <v>55892</v>
      </c>
      <c r="D48" s="11" t="n">
        <v>57568</v>
      </c>
      <c r="E48" s="11" t="n">
        <v>62999</v>
      </c>
      <c r="F48" s="3"/>
      <c r="G48" s="3"/>
      <c r="H48" s="3"/>
      <c r="I48" s="3"/>
      <c r="J48" s="3"/>
      <c r="K48" s="3"/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customFormat="false" ht="15" hidden="false" customHeight="true" outlineLevel="0" collapsed="false">
      <c r="A50" s="7" t="s">
        <v>239</v>
      </c>
      <c r="B50" s="8"/>
      <c r="C50" s="8"/>
      <c r="D50" s="8"/>
      <c r="E50" s="8"/>
      <c r="F50" s="8"/>
      <c r="G50" s="8"/>
      <c r="H50" s="8"/>
      <c r="I50" s="8"/>
      <c r="J50" s="8"/>
      <c r="K50" s="8"/>
    </row>
    <row r="51" customFormat="false" ht="15" hidden="false" customHeight="true" outlineLevel="0" collapsed="false">
      <c r="A51" s="10" t="s">
        <v>240</v>
      </c>
      <c r="B51" s="3"/>
      <c r="C51" s="12" t="n">
        <f aca="false">C27+C31</f>
        <v>2468</v>
      </c>
      <c r="D51" s="12" t="n">
        <f aca="false">D27+D31</f>
        <v>1721</v>
      </c>
      <c r="E51" s="12" t="n">
        <f aca="false">E27+E31</f>
        <v>3222</v>
      </c>
      <c r="F51" s="12" t="n">
        <f aca="false">F27+F31</f>
        <v>2348</v>
      </c>
      <c r="G51" s="12" t="n">
        <f aca="false">G27+G31</f>
        <v>2348</v>
      </c>
      <c r="H51" s="12" t="n">
        <f aca="false">H27+H31</f>
        <v>2348</v>
      </c>
      <c r="I51" s="12" t="n">
        <f aca="false">I27+I31</f>
        <v>2348</v>
      </c>
      <c r="J51" s="12" t="n">
        <f aca="false">J27+J31</f>
        <v>2348</v>
      </c>
      <c r="K51" s="3"/>
    </row>
    <row r="52" customFormat="false" ht="15" hidden="false" customHeight="true" outlineLevel="0" collapsed="false">
      <c r="A52" s="10" t="s">
        <v>241</v>
      </c>
      <c r="B52" s="3"/>
      <c r="C52" s="12" t="n">
        <f aca="false">C6+C7</f>
        <v>5773</v>
      </c>
      <c r="D52" s="12" t="n">
        <f aca="false">D6+D7</f>
        <v>5132</v>
      </c>
      <c r="E52" s="12" t="n">
        <f aca="false">E6+E7</f>
        <v>10552</v>
      </c>
      <c r="F52" s="12" t="n">
        <f aca="false">F6+F7</f>
        <v>16673.5683014247</v>
      </c>
      <c r="G52" s="12" t="n">
        <f aca="false">G6+G7</f>
        <v>26858.726554529</v>
      </c>
      <c r="H52" s="12" t="n">
        <f aca="false">H6+H7</f>
        <v>42791.363251329</v>
      </c>
      <c r="I52" s="12" t="n">
        <f aca="false">I6+I7</f>
        <v>63953.437634909</v>
      </c>
      <c r="J52" s="12" t="n">
        <f aca="false">J6+J7</f>
        <v>89259.1456726858</v>
      </c>
      <c r="K52" s="3"/>
    </row>
    <row r="53" customFormat="false" ht="15" hidden="false" customHeight="true" outlineLevel="0" collapsed="false">
      <c r="A53" s="9" t="s">
        <v>242</v>
      </c>
      <c r="B53" s="3"/>
      <c r="C53" s="23" t="n">
        <f aca="false">C52-C51</f>
        <v>3305</v>
      </c>
      <c r="D53" s="23" t="n">
        <f aca="false">D52-D51</f>
        <v>3411</v>
      </c>
      <c r="E53" s="23" t="n">
        <f aca="false">E52-E51</f>
        <v>7330</v>
      </c>
      <c r="F53" s="23" t="n">
        <f aca="false">F52-F51</f>
        <v>14325.5683014247</v>
      </c>
      <c r="G53" s="23" t="n">
        <f aca="false">G52-G51</f>
        <v>24510.726554529</v>
      </c>
      <c r="H53" s="23" t="n">
        <f aca="false">H52-H51</f>
        <v>40443.363251329</v>
      </c>
      <c r="I53" s="23" t="n">
        <f aca="false">I52-I51</f>
        <v>61605.437634909</v>
      </c>
      <c r="J53" s="23" t="n">
        <f aca="false">J52-J51</f>
        <v>86911.1456726858</v>
      </c>
      <c r="K53" s="3"/>
    </row>
    <row r="54" customFormat="false" ht="15" hidden="false" customHeight="true" outlineLevel="0" collapsed="false">
      <c r="A54" s="10" t="s">
        <v>243</v>
      </c>
      <c r="B54" s="3"/>
      <c r="C54" s="33" t="n">
        <f aca="false">C14/C30</f>
        <v>2.50680221258783</v>
      </c>
      <c r="D54" s="33" t="n">
        <f aca="false">D14/D30</f>
        <v>2.61626150254086</v>
      </c>
      <c r="E54" s="33" t="n">
        <f aca="false">E14/E30</f>
        <v>2.85002644103649</v>
      </c>
      <c r="F54" s="33" t="n">
        <f aca="false">F14/F30</f>
        <v>3.1632404815457</v>
      </c>
      <c r="G54" s="33" t="n">
        <f aca="false">G14/G30</f>
        <v>3.33465081531578</v>
      </c>
      <c r="H54" s="33" t="n">
        <f aca="false">H14/H30</f>
        <v>3.69162698541362</v>
      </c>
      <c r="I54" s="33" t="n">
        <f aca="false">I14/I30</f>
        <v>4.16473539957312</v>
      </c>
      <c r="J54" s="33" t="n">
        <f aca="false">J14/J30</f>
        <v>4.69889556917424</v>
      </c>
      <c r="K54" s="3"/>
    </row>
    <row r="55" customFormat="false" ht="15" hidden="false" customHeight="true" outlineLevel="0" collapsed="false">
      <c r="A55" s="10" t="s">
        <v>244</v>
      </c>
      <c r="B55" s="3"/>
      <c r="C55" s="34" t="n">
        <f aca="false">C51/C42</f>
        <v>0.0441565877048594</v>
      </c>
      <c r="D55" s="34" t="n">
        <f aca="false">D51/D42</f>
        <v>0.0298950806003335</v>
      </c>
      <c r="E55" s="34" t="n">
        <f aca="false">E51/E42</f>
        <v>0.0511436689471261</v>
      </c>
      <c r="F55" s="34" t="n">
        <f aca="false">F51/F42</f>
        <v>0.0330475565547405</v>
      </c>
      <c r="G55" s="34" t="n">
        <f aca="false">G51/G42</f>
        <v>0.0280191370684807</v>
      </c>
      <c r="H55" s="34" t="n">
        <f aca="false">H51/H42</f>
        <v>0.0230566205898388</v>
      </c>
      <c r="I55" s="34" t="n">
        <f aca="false">I51/I42</f>
        <v>0.0187703746745612</v>
      </c>
      <c r="J55" s="34" t="n">
        <f aca="false">J51/J42</f>
        <v>0.015423283672439</v>
      </c>
      <c r="K55" s="3"/>
    </row>
    <row r="56" customFormat="false" ht="15" hidden="false" customHeight="true" outlineLevel="0" collapsed="false">
      <c r="A56" s="10" t="s">
        <v>245</v>
      </c>
      <c r="B56" s="3"/>
      <c r="C56" s="12" t="n">
        <f aca="false">C8+C10+C12-C23-C25-C28</f>
        <v>5057</v>
      </c>
      <c r="D56" s="12" t="n">
        <f aca="false">D8+D10+D12-D23-D25-D28</f>
        <v>6636</v>
      </c>
      <c r="E56" s="12" t="n">
        <f aca="false">E8+E10+E12-E23-E25-E28</f>
        <v>7814</v>
      </c>
      <c r="F56" s="12" t="n">
        <f aca="false">F8+F10+F12-F23-F25-F28</f>
        <v>9444.91140657534</v>
      </c>
      <c r="G56" s="12" t="n">
        <f aca="false">G8+G10+G12-G23-G25-G28</f>
        <v>12227.5396404384</v>
      </c>
      <c r="H56" s="12" t="n">
        <f aca="false">H8+H10+H12-H23-H25-H28</f>
        <v>14440.5089344356</v>
      </c>
      <c r="I56" s="12" t="n">
        <f aca="false">I8+I10+I12-I23-I25-I28</f>
        <v>16642.0245620666</v>
      </c>
      <c r="J56" s="12" t="n">
        <f aca="false">J8+J10+J12-J23-J25-J28</f>
        <v>18275.1421493061</v>
      </c>
      <c r="K56" s="3"/>
    </row>
    <row r="57" customFormat="false" ht="15" hidden="false" customHeight="true" outlineLevel="0" collapsed="false">
      <c r="A57" s="10" t="s">
        <v>246</v>
      </c>
      <c r="B57" s="3"/>
      <c r="C57" s="14" t="n">
        <f aca="false">'Income Statement'!C31*(1-0.15)/(C42+C51-C52)</f>
        <v>0.00648163994903683</v>
      </c>
      <c r="D57" s="14" t="n">
        <f aca="false">'Income Statement'!D31*(1-0.15)/(D42+D51-D52)</f>
        <v>0.0298207064645383</v>
      </c>
      <c r="E57" s="14" t="n">
        <f aca="false">'Income Statement'!E31*(1-0.15)/(E42+E51-E52)</f>
        <v>0.0564030250229032</v>
      </c>
      <c r="F57" s="14" t="n">
        <f aca="false">'Income Statement'!F31*(1-'Income Statement'!F52)/(F42+F51-F52)</f>
        <v>0.132516040101686</v>
      </c>
      <c r="G57" s="14" t="n">
        <f aca="false">'Income Statement'!G31*(1-'Income Statement'!G52)/(G42+G51-G52)</f>
        <v>0.218930238123123</v>
      </c>
      <c r="H57" s="14" t="n">
        <f aca="false">'Income Statement'!H31*(1-'Income Statement'!H52)/(H42+H51-H52)</f>
        <v>0.317144503745945</v>
      </c>
      <c r="I57" s="14" t="n">
        <f aca="false">'Income Statement'!I31*(1-'Income Statement'!I52)/(I42+I51-I52)</f>
        <v>0.40590947677922</v>
      </c>
      <c r="J57" s="14" t="n">
        <f aca="false">'Income Statement'!J31*(1-'Income Statement'!J52)/(J42+J51-J52)</f>
        <v>0.470732573791002</v>
      </c>
      <c r="K57" s="4" t="s">
        <v>247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10" min="2" style="1" width="12"/>
    <col collapsed="false" customWidth="true" hidden="false" outlineLevel="0" max="11" min="11" style="1" width="70"/>
  </cols>
  <sheetData>
    <row r="1" customFormat="false" ht="17.25" hidden="false" customHeight="true" outlineLevel="0" collapsed="false">
      <c r="A1" s="2" t="s">
        <v>248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customFormat="false" ht="15" hidden="false" customHeight="true" outlineLevel="0" collapsed="false">
      <c r="A2" s="4" t="s">
        <v>249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15" hidden="false" customHeight="true" outlineLevel="0" collapsed="false">
      <c r="A4" s="9" t="s">
        <v>250</v>
      </c>
      <c r="B4" s="3"/>
      <c r="C4" s="35" t="n">
        <v>2</v>
      </c>
      <c r="D4" s="9" t="str">
        <f aca="false">CHOOSE($C$4,"Bull","Base","Bear")</f>
        <v>Base</v>
      </c>
      <c r="E4" s="3"/>
      <c r="F4" s="3"/>
      <c r="G4" s="3"/>
      <c r="H4" s="3"/>
      <c r="I4" s="3"/>
      <c r="J4" s="3"/>
      <c r="K4" s="3"/>
    </row>
    <row r="5" customFormat="false" ht="15" hidden="false" customHeight="tru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customFormat="false" ht="15" hidden="false" customHeight="true" outlineLevel="0" collapsed="false">
      <c r="A6" s="5" t="s">
        <v>251</v>
      </c>
      <c r="B6" s="5"/>
      <c r="C6" s="6" t="s">
        <v>3</v>
      </c>
      <c r="D6" s="6" t="s">
        <v>4</v>
      </c>
      <c r="E6" s="6" t="s">
        <v>5</v>
      </c>
      <c r="F6" s="6" t="s">
        <v>6</v>
      </c>
      <c r="G6" s="6" t="s">
        <v>7</v>
      </c>
      <c r="H6" s="6" t="s">
        <v>8</v>
      </c>
      <c r="I6" s="6" t="s">
        <v>9</v>
      </c>
      <c r="J6" s="6" t="s">
        <v>10</v>
      </c>
      <c r="K6" s="5" t="s">
        <v>11</v>
      </c>
    </row>
    <row r="7" customFormat="false" ht="15" hidden="false" customHeight="true" outlineLevel="0" collapsed="false">
      <c r="A7" s="7" t="s">
        <v>252</v>
      </c>
      <c r="B7" s="8"/>
      <c r="C7" s="8"/>
      <c r="D7" s="8"/>
      <c r="E7" s="8"/>
      <c r="F7" s="8"/>
      <c r="G7" s="8"/>
      <c r="H7" s="8"/>
      <c r="I7" s="8"/>
      <c r="J7" s="8"/>
      <c r="K7" s="8"/>
    </row>
    <row r="8" customFormat="false" ht="15" hidden="false" customHeight="true" outlineLevel="0" collapsed="false">
      <c r="A8" s="10" t="s">
        <v>253</v>
      </c>
      <c r="B8" s="3"/>
      <c r="C8" s="3"/>
      <c r="D8" s="3"/>
      <c r="E8" s="3"/>
      <c r="F8" s="18" t="n">
        <v>2</v>
      </c>
      <c r="G8" s="18" t="n">
        <v>1.1</v>
      </c>
      <c r="H8" s="18" t="n">
        <v>0.6</v>
      </c>
      <c r="I8" s="18" t="n">
        <v>0.4</v>
      </c>
      <c r="J8" s="18" t="n">
        <v>0.25</v>
      </c>
      <c r="K8" s="3"/>
    </row>
    <row r="9" customFormat="false" ht="15" hidden="false" customHeight="true" outlineLevel="0" collapsed="false">
      <c r="A9" s="10" t="s">
        <v>254</v>
      </c>
      <c r="B9" s="3"/>
      <c r="C9" s="3"/>
      <c r="D9" s="3"/>
      <c r="E9" s="3"/>
      <c r="F9" s="18" t="n">
        <v>1.7</v>
      </c>
      <c r="G9" s="18" t="n">
        <v>0.9</v>
      </c>
      <c r="H9" s="18" t="n">
        <v>0.45</v>
      </c>
      <c r="I9" s="18" t="n">
        <v>0.3</v>
      </c>
      <c r="J9" s="18" t="n">
        <v>0.2</v>
      </c>
      <c r="K9" s="4" t="s">
        <v>255</v>
      </c>
    </row>
    <row r="10" customFormat="false" ht="15" hidden="false" customHeight="true" outlineLevel="0" collapsed="false">
      <c r="A10" s="10" t="s">
        <v>256</v>
      </c>
      <c r="B10" s="3"/>
      <c r="C10" s="3"/>
      <c r="D10" s="3"/>
      <c r="E10" s="3"/>
      <c r="F10" s="18" t="n">
        <v>1.5</v>
      </c>
      <c r="G10" s="18" t="n">
        <v>0.45</v>
      </c>
      <c r="H10" s="18" t="n">
        <v>0.2</v>
      </c>
      <c r="I10" s="18" t="n">
        <v>0.12</v>
      </c>
      <c r="J10" s="18" t="n">
        <v>0.08</v>
      </c>
      <c r="K10" s="3"/>
    </row>
    <row r="11" customFormat="false" ht="15" hidden="false" customHeight="true" outlineLevel="0" collapsed="false">
      <c r="A11" s="9" t="s">
        <v>257</v>
      </c>
      <c r="B11" s="3"/>
      <c r="C11" s="3"/>
      <c r="D11" s="3"/>
      <c r="E11" s="3"/>
      <c r="F11" s="36" t="n">
        <f aca="false">CHOOSE($C$4,F8,F9,F10)</f>
        <v>1.7</v>
      </c>
      <c r="G11" s="36" t="n">
        <f aca="false">CHOOSE($C$4,G8,G9,G10)</f>
        <v>0.9</v>
      </c>
      <c r="H11" s="36" t="n">
        <f aca="false">CHOOSE($C$4,H8,H9,H10)</f>
        <v>0.45</v>
      </c>
      <c r="I11" s="36" t="n">
        <f aca="false">CHOOSE($C$4,I8,I9,I10)</f>
        <v>0.3</v>
      </c>
      <c r="J11" s="36" t="n">
        <f aca="false">CHOOSE($C$4,J8,J9,J10)</f>
        <v>0.2</v>
      </c>
      <c r="K11" s="3"/>
    </row>
    <row r="12" customFormat="false" ht="15" hidden="false" customHeight="true" outlineLevel="0" collapsed="false">
      <c r="A12" s="7" t="s">
        <v>258</v>
      </c>
      <c r="B12" s="8"/>
      <c r="C12" s="8"/>
      <c r="D12" s="8"/>
      <c r="E12" s="8"/>
      <c r="F12" s="8"/>
      <c r="G12" s="8"/>
      <c r="H12" s="8"/>
      <c r="I12" s="8"/>
      <c r="J12" s="8"/>
      <c r="K12" s="8"/>
    </row>
    <row r="13" customFormat="false" ht="15" hidden="false" customHeight="true" outlineLevel="0" collapsed="false">
      <c r="A13" s="10" t="s">
        <v>253</v>
      </c>
      <c r="B13" s="3"/>
      <c r="C13" s="3"/>
      <c r="D13" s="3"/>
      <c r="E13" s="3"/>
      <c r="F13" s="18" t="n">
        <v>0.25</v>
      </c>
      <c r="G13" s="18" t="n">
        <v>0.22</v>
      </c>
      <c r="H13" s="18" t="n">
        <v>0.18</v>
      </c>
      <c r="I13" s="18" t="n">
        <v>0.15</v>
      </c>
      <c r="J13" s="18" t="n">
        <v>0.12</v>
      </c>
      <c r="K13" s="3"/>
    </row>
    <row r="14" customFormat="false" ht="15" hidden="false" customHeight="true" outlineLevel="0" collapsed="false">
      <c r="A14" s="10" t="s">
        <v>254</v>
      </c>
      <c r="B14" s="3"/>
      <c r="C14" s="3"/>
      <c r="D14" s="3"/>
      <c r="E14" s="3"/>
      <c r="F14" s="18" t="n">
        <v>0.22</v>
      </c>
      <c r="G14" s="18" t="n">
        <v>0.18</v>
      </c>
      <c r="H14" s="18" t="n">
        <v>0.14</v>
      </c>
      <c r="I14" s="18" t="n">
        <v>0.12</v>
      </c>
      <c r="J14" s="18" t="n">
        <v>0.1</v>
      </c>
      <c r="K14" s="4" t="s">
        <v>259</v>
      </c>
    </row>
    <row r="15" customFormat="false" ht="15" hidden="false" customHeight="true" outlineLevel="0" collapsed="false">
      <c r="A15" s="10" t="s">
        <v>256</v>
      </c>
      <c r="B15" s="3"/>
      <c r="C15" s="3"/>
      <c r="D15" s="3"/>
      <c r="E15" s="3"/>
      <c r="F15" s="18" t="n">
        <v>0.18</v>
      </c>
      <c r="G15" s="18" t="n">
        <v>0.1</v>
      </c>
      <c r="H15" s="18" t="n">
        <v>0.06</v>
      </c>
      <c r="I15" s="18" t="n">
        <v>0.05</v>
      </c>
      <c r="J15" s="18" t="n">
        <v>0.04</v>
      </c>
      <c r="K15" s="3"/>
    </row>
    <row r="16" customFormat="false" ht="15" hidden="false" customHeight="true" outlineLevel="0" collapsed="false">
      <c r="A16" s="9" t="s">
        <v>257</v>
      </c>
      <c r="B16" s="3"/>
      <c r="C16" s="3"/>
      <c r="D16" s="3"/>
      <c r="E16" s="3"/>
      <c r="F16" s="36" t="n">
        <f aca="false">CHOOSE($C$4,F13,F14,F15)</f>
        <v>0.22</v>
      </c>
      <c r="G16" s="36" t="n">
        <f aca="false">CHOOSE($C$4,G13,G14,G15)</f>
        <v>0.18</v>
      </c>
      <c r="H16" s="36" t="n">
        <f aca="false">CHOOSE($C$4,H13,H14,H15)</f>
        <v>0.14</v>
      </c>
      <c r="I16" s="36" t="n">
        <f aca="false">CHOOSE($C$4,I13,I14,I15)</f>
        <v>0.12</v>
      </c>
      <c r="J16" s="36" t="n">
        <f aca="false">CHOOSE($C$4,J13,J14,J15)</f>
        <v>0.1</v>
      </c>
      <c r="K16" s="3"/>
    </row>
    <row r="17" customFormat="false" ht="15" hidden="false" customHeight="true" outlineLevel="0" collapsed="false">
      <c r="A17" s="7" t="s">
        <v>260</v>
      </c>
      <c r="B17" s="8"/>
      <c r="C17" s="8"/>
      <c r="D17" s="8"/>
      <c r="E17" s="8"/>
      <c r="F17" s="8"/>
      <c r="G17" s="8"/>
      <c r="H17" s="8"/>
      <c r="I17" s="8"/>
      <c r="J17" s="8"/>
      <c r="K17" s="8"/>
    </row>
    <row r="18" customFormat="false" ht="15" hidden="false" customHeight="true" outlineLevel="0" collapsed="false">
      <c r="A18" s="10" t="s">
        <v>253</v>
      </c>
      <c r="B18" s="3"/>
      <c r="C18" s="3"/>
      <c r="D18" s="3"/>
      <c r="E18" s="3"/>
      <c r="F18" s="18" t="n">
        <v>0.18</v>
      </c>
      <c r="G18" s="18" t="n">
        <v>0.1</v>
      </c>
      <c r="H18" s="18" t="n">
        <v>0.08</v>
      </c>
      <c r="I18" s="18" t="n">
        <v>0.07</v>
      </c>
      <c r="J18" s="18" t="n">
        <v>0.06</v>
      </c>
      <c r="K18" s="3"/>
    </row>
    <row r="19" customFormat="false" ht="15" hidden="false" customHeight="true" outlineLevel="0" collapsed="false">
      <c r="A19" s="10" t="s">
        <v>254</v>
      </c>
      <c r="B19" s="3"/>
      <c r="C19" s="3"/>
      <c r="D19" s="3"/>
      <c r="E19" s="3"/>
      <c r="F19" s="18" t="n">
        <v>0.15</v>
      </c>
      <c r="G19" s="18" t="n">
        <v>0.06</v>
      </c>
      <c r="H19" s="18" t="n">
        <v>0.05</v>
      </c>
      <c r="I19" s="18" t="n">
        <v>0.05</v>
      </c>
      <c r="J19" s="18" t="n">
        <v>0.04</v>
      </c>
      <c r="K19" s="4" t="s">
        <v>261</v>
      </c>
    </row>
    <row r="20" customFormat="false" ht="15" hidden="false" customHeight="true" outlineLevel="0" collapsed="false">
      <c r="A20" s="10" t="s">
        <v>256</v>
      </c>
      <c r="B20" s="3"/>
      <c r="C20" s="3"/>
      <c r="D20" s="3"/>
      <c r="E20" s="3"/>
      <c r="F20" s="18" t="n">
        <v>0.12</v>
      </c>
      <c r="G20" s="18" t="n">
        <v>-0.02</v>
      </c>
      <c r="H20" s="18" t="n">
        <v>0</v>
      </c>
      <c r="I20" s="18" t="n">
        <v>0.02</v>
      </c>
      <c r="J20" s="18" t="n">
        <v>0.02</v>
      </c>
      <c r="K20" s="3"/>
    </row>
    <row r="21" customFormat="false" ht="15" hidden="false" customHeight="true" outlineLevel="0" collapsed="false">
      <c r="A21" s="9" t="s">
        <v>257</v>
      </c>
      <c r="B21" s="3"/>
      <c r="C21" s="3"/>
      <c r="D21" s="3"/>
      <c r="E21" s="3"/>
      <c r="F21" s="36" t="n">
        <f aca="false">CHOOSE($C$4,F18,F19,F20)</f>
        <v>0.15</v>
      </c>
      <c r="G21" s="36" t="n">
        <f aca="false">CHOOSE($C$4,G18,G19,G20)</f>
        <v>0.06</v>
      </c>
      <c r="H21" s="36" t="n">
        <f aca="false">CHOOSE($C$4,H18,H19,H20)</f>
        <v>0.05</v>
      </c>
      <c r="I21" s="36" t="n">
        <f aca="false">CHOOSE($C$4,I18,I19,I20)</f>
        <v>0.05</v>
      </c>
      <c r="J21" s="36" t="n">
        <f aca="false">CHOOSE($C$4,J18,J19,J20)</f>
        <v>0.04</v>
      </c>
      <c r="K21" s="3"/>
    </row>
    <row r="22" customFormat="false" ht="15" hidden="false" customHeight="true" outlineLevel="0" collapsed="false">
      <c r="A22" s="7" t="s">
        <v>262</v>
      </c>
      <c r="B22" s="8"/>
      <c r="C22" s="8"/>
      <c r="D22" s="8"/>
      <c r="E22" s="8"/>
      <c r="F22" s="8"/>
      <c r="G22" s="8"/>
      <c r="H22" s="8"/>
      <c r="I22" s="8"/>
      <c r="J22" s="8"/>
      <c r="K22" s="8"/>
    </row>
    <row r="23" customFormat="false" ht="15" hidden="false" customHeight="true" outlineLevel="0" collapsed="false">
      <c r="A23" s="10" t="s">
        <v>253</v>
      </c>
      <c r="B23" s="3"/>
      <c r="C23" s="3"/>
      <c r="D23" s="3"/>
      <c r="E23" s="3"/>
      <c r="F23" s="18" t="n">
        <v>-0.18</v>
      </c>
      <c r="G23" s="18" t="n">
        <v>0.1</v>
      </c>
      <c r="H23" s="18" t="n">
        <v>0.3</v>
      </c>
      <c r="I23" s="18" t="n">
        <v>0.08</v>
      </c>
      <c r="J23" s="18" t="n">
        <v>-0.05</v>
      </c>
      <c r="K23" s="3"/>
    </row>
    <row r="24" customFormat="false" ht="15" hidden="false" customHeight="true" outlineLevel="0" collapsed="false">
      <c r="A24" s="10" t="s">
        <v>254</v>
      </c>
      <c r="B24" s="3"/>
      <c r="C24" s="3"/>
      <c r="D24" s="3"/>
      <c r="E24" s="3"/>
      <c r="F24" s="18" t="n">
        <v>-0.2</v>
      </c>
      <c r="G24" s="18" t="n">
        <v>0.05</v>
      </c>
      <c r="H24" s="18" t="n">
        <v>0.25</v>
      </c>
      <c r="I24" s="18" t="n">
        <v>0.05</v>
      </c>
      <c r="J24" s="18" t="n">
        <v>-0.1</v>
      </c>
      <c r="K24" s="4" t="s">
        <v>263</v>
      </c>
    </row>
    <row r="25" customFormat="false" ht="15" hidden="false" customHeight="true" outlineLevel="0" collapsed="false">
      <c r="A25" s="10" t="s">
        <v>256</v>
      </c>
      <c r="B25" s="3"/>
      <c r="C25" s="3"/>
      <c r="D25" s="3"/>
      <c r="E25" s="3"/>
      <c r="F25" s="18" t="n">
        <v>-0.24</v>
      </c>
      <c r="G25" s="18" t="n">
        <v>-0.05</v>
      </c>
      <c r="H25" s="18" t="n">
        <v>0.15</v>
      </c>
      <c r="I25" s="18" t="n">
        <v>0</v>
      </c>
      <c r="J25" s="18" t="n">
        <v>-0.15</v>
      </c>
      <c r="K25" s="3"/>
    </row>
    <row r="26" customFormat="false" ht="15" hidden="false" customHeight="true" outlineLevel="0" collapsed="false">
      <c r="A26" s="9" t="s">
        <v>257</v>
      </c>
      <c r="B26" s="3"/>
      <c r="C26" s="3"/>
      <c r="D26" s="3"/>
      <c r="E26" s="3"/>
      <c r="F26" s="36" t="n">
        <f aca="false">CHOOSE($C$4,F23,F24,F25)</f>
        <v>-0.2</v>
      </c>
      <c r="G26" s="36" t="n">
        <f aca="false">CHOOSE($C$4,G23,G24,G25)</f>
        <v>0.05</v>
      </c>
      <c r="H26" s="36" t="n">
        <f aca="false">CHOOSE($C$4,H23,H24,H25)</f>
        <v>0.25</v>
      </c>
      <c r="I26" s="36" t="n">
        <f aca="false">CHOOSE($C$4,I23,I24,I25)</f>
        <v>0.05</v>
      </c>
      <c r="J26" s="36" t="n">
        <f aca="false">CHOOSE($C$4,J23,J24,J25)</f>
        <v>-0.1</v>
      </c>
      <c r="K26" s="3"/>
    </row>
    <row r="27" customFormat="false" ht="15" hidden="false" customHeight="true" outlineLevel="0" collapsed="false">
      <c r="A27" s="7" t="s">
        <v>264</v>
      </c>
      <c r="B27" s="8"/>
      <c r="C27" s="8"/>
      <c r="D27" s="8"/>
      <c r="E27" s="8"/>
      <c r="F27" s="8"/>
      <c r="G27" s="8"/>
      <c r="H27" s="8"/>
      <c r="I27" s="8"/>
      <c r="J27" s="8"/>
      <c r="K27" s="8"/>
    </row>
    <row r="28" customFormat="false" ht="15" hidden="false" customHeight="true" outlineLevel="0" collapsed="false">
      <c r="A28" s="10" t="s">
        <v>253</v>
      </c>
      <c r="B28" s="3"/>
      <c r="C28" s="3"/>
      <c r="D28" s="3"/>
      <c r="E28" s="3"/>
      <c r="F28" s="18" t="n">
        <v>0.15</v>
      </c>
      <c r="G28" s="18" t="n">
        <v>0.13</v>
      </c>
      <c r="H28" s="18" t="n">
        <v>0.11</v>
      </c>
      <c r="I28" s="18" t="n">
        <v>0.09</v>
      </c>
      <c r="J28" s="18" t="n">
        <v>0.08</v>
      </c>
      <c r="K28" s="3"/>
    </row>
    <row r="29" customFormat="false" ht="15" hidden="false" customHeight="true" outlineLevel="0" collapsed="false">
      <c r="A29" s="10" t="s">
        <v>254</v>
      </c>
      <c r="B29" s="3"/>
      <c r="C29" s="3"/>
      <c r="D29" s="3"/>
      <c r="E29" s="3"/>
      <c r="F29" s="18" t="n">
        <v>0.13</v>
      </c>
      <c r="G29" s="18" t="n">
        <v>0.1</v>
      </c>
      <c r="H29" s="18" t="n">
        <v>0.08</v>
      </c>
      <c r="I29" s="18" t="n">
        <v>0.07</v>
      </c>
      <c r="J29" s="18" t="n">
        <v>0.06</v>
      </c>
      <c r="K29" s="4" t="s">
        <v>265</v>
      </c>
    </row>
    <row r="30" customFormat="false" ht="15" hidden="false" customHeight="true" outlineLevel="0" collapsed="false">
      <c r="A30" s="10" t="s">
        <v>256</v>
      </c>
      <c r="B30" s="3"/>
      <c r="C30" s="3"/>
      <c r="D30" s="3"/>
      <c r="E30" s="3"/>
      <c r="F30" s="18" t="n">
        <v>0.1</v>
      </c>
      <c r="G30" s="18" t="n">
        <v>0.05</v>
      </c>
      <c r="H30" s="18" t="n">
        <v>0.04</v>
      </c>
      <c r="I30" s="18" t="n">
        <v>0.03</v>
      </c>
      <c r="J30" s="18" t="n">
        <v>0.03</v>
      </c>
      <c r="K30" s="3"/>
    </row>
    <row r="31" customFormat="false" ht="15" hidden="false" customHeight="true" outlineLevel="0" collapsed="false">
      <c r="A31" s="9" t="s">
        <v>257</v>
      </c>
      <c r="B31" s="3"/>
      <c r="C31" s="3"/>
      <c r="D31" s="3"/>
      <c r="E31" s="3"/>
      <c r="F31" s="36" t="n">
        <f aca="false">CHOOSE($C$4,F28,F29,F30)</f>
        <v>0.13</v>
      </c>
      <c r="G31" s="36" t="n">
        <f aca="false">CHOOSE($C$4,G28,G29,G30)</f>
        <v>0.1</v>
      </c>
      <c r="H31" s="36" t="n">
        <f aca="false">CHOOSE($C$4,H28,H29,H30)</f>
        <v>0.08</v>
      </c>
      <c r="I31" s="36" t="n">
        <f aca="false">CHOOSE($C$4,I28,I29,I30)</f>
        <v>0.07</v>
      </c>
      <c r="J31" s="36" t="n">
        <f aca="false">CHOOSE($C$4,J28,J29,J30)</f>
        <v>0.06</v>
      </c>
      <c r="K31" s="3"/>
    </row>
    <row r="32" customFormat="false" ht="15" hidden="false" customHeight="true" outlineLevel="0" collapsed="false">
      <c r="A32" s="7" t="s">
        <v>266</v>
      </c>
      <c r="B32" s="8"/>
      <c r="C32" s="8"/>
      <c r="D32" s="8"/>
      <c r="E32" s="8"/>
      <c r="F32" s="8"/>
      <c r="G32" s="8"/>
      <c r="H32" s="8"/>
      <c r="I32" s="8"/>
      <c r="J32" s="8"/>
      <c r="K32" s="8"/>
    </row>
    <row r="33" customFormat="false" ht="15" hidden="false" customHeight="true" outlineLevel="0" collapsed="false">
      <c r="A33" s="10" t="s">
        <v>253</v>
      </c>
      <c r="B33" s="3"/>
      <c r="C33" s="3"/>
      <c r="D33" s="3"/>
      <c r="E33" s="3"/>
      <c r="F33" s="18" t="n">
        <v>0.45</v>
      </c>
      <c r="G33" s="18" t="n">
        <v>0.44</v>
      </c>
      <c r="H33" s="18" t="n">
        <v>0.43</v>
      </c>
      <c r="I33" s="18" t="n">
        <v>0.425</v>
      </c>
      <c r="J33" s="18" t="n">
        <v>0.42</v>
      </c>
      <c r="K33" s="3"/>
    </row>
    <row r="34" customFormat="false" ht="15" hidden="false" customHeight="true" outlineLevel="0" collapsed="false">
      <c r="A34" s="10" t="s">
        <v>254</v>
      </c>
      <c r="B34" s="3"/>
      <c r="C34" s="3"/>
      <c r="D34" s="3"/>
      <c r="E34" s="3"/>
      <c r="F34" s="18" t="n">
        <v>0.455</v>
      </c>
      <c r="G34" s="18" t="n">
        <v>0.45</v>
      </c>
      <c r="H34" s="18" t="n">
        <v>0.445</v>
      </c>
      <c r="I34" s="18" t="n">
        <v>0.44</v>
      </c>
      <c r="J34" s="18" t="n">
        <v>0.44</v>
      </c>
      <c r="K34" s="4" t="s">
        <v>267</v>
      </c>
    </row>
    <row r="35" customFormat="false" ht="15" hidden="false" customHeight="true" outlineLevel="0" collapsed="false">
      <c r="A35" s="10" t="s">
        <v>256</v>
      </c>
      <c r="B35" s="3"/>
      <c r="C35" s="3"/>
      <c r="D35" s="3"/>
      <c r="E35" s="3"/>
      <c r="F35" s="18" t="n">
        <v>0.465</v>
      </c>
      <c r="G35" s="18" t="n">
        <v>0.47</v>
      </c>
      <c r="H35" s="18" t="n">
        <v>0.47</v>
      </c>
      <c r="I35" s="18" t="n">
        <v>0.47</v>
      </c>
      <c r="J35" s="18" t="n">
        <v>0.47</v>
      </c>
      <c r="K35" s="3"/>
    </row>
    <row r="36" customFormat="false" ht="15" hidden="false" customHeight="true" outlineLevel="0" collapsed="false">
      <c r="A36" s="9" t="s">
        <v>257</v>
      </c>
      <c r="B36" s="3"/>
      <c r="C36" s="3"/>
      <c r="D36" s="3"/>
      <c r="E36" s="3"/>
      <c r="F36" s="36" t="n">
        <f aca="false">CHOOSE($C$4,F33,F34,F35)</f>
        <v>0.455</v>
      </c>
      <c r="G36" s="36" t="n">
        <f aca="false">CHOOSE($C$4,G33,G34,G35)</f>
        <v>0.45</v>
      </c>
      <c r="H36" s="36" t="n">
        <f aca="false">CHOOSE($C$4,H33,H34,H35)</f>
        <v>0.445</v>
      </c>
      <c r="I36" s="36" t="n">
        <f aca="false">CHOOSE($C$4,I33,I34,I35)</f>
        <v>0.44</v>
      </c>
      <c r="J36" s="36" t="n">
        <f aca="false">CHOOSE($C$4,J33,J34,J35)</f>
        <v>0.44</v>
      </c>
      <c r="K36" s="3"/>
    </row>
    <row r="37" customFormat="false" ht="15" hidden="false" customHeight="true" outlineLevel="0" collapsed="false">
      <c r="A37" s="7" t="s">
        <v>268</v>
      </c>
      <c r="B37" s="8"/>
      <c r="C37" s="8"/>
      <c r="D37" s="8"/>
      <c r="E37" s="8"/>
      <c r="F37" s="8"/>
      <c r="G37" s="8"/>
      <c r="H37" s="8"/>
      <c r="I37" s="8"/>
      <c r="J37" s="8"/>
      <c r="K37" s="8"/>
    </row>
    <row r="38" customFormat="false" ht="15" hidden="false" customHeight="true" outlineLevel="0" collapsed="false">
      <c r="A38" s="10" t="s">
        <v>253</v>
      </c>
      <c r="B38" s="3"/>
      <c r="C38" s="3"/>
      <c r="D38" s="3"/>
      <c r="E38" s="3"/>
      <c r="F38" s="18" t="n">
        <v>0.205</v>
      </c>
      <c r="G38" s="18" t="n">
        <v>0.18</v>
      </c>
      <c r="H38" s="18" t="n">
        <v>0.16</v>
      </c>
      <c r="I38" s="18" t="n">
        <v>0.15</v>
      </c>
      <c r="J38" s="18" t="n">
        <v>0.145</v>
      </c>
      <c r="K38" s="3"/>
    </row>
    <row r="39" customFormat="false" ht="15" hidden="false" customHeight="true" outlineLevel="0" collapsed="false">
      <c r="A39" s="10" t="s">
        <v>254</v>
      </c>
      <c r="B39" s="3"/>
      <c r="C39" s="3"/>
      <c r="D39" s="3"/>
      <c r="E39" s="3"/>
      <c r="F39" s="18" t="n">
        <v>0.21</v>
      </c>
      <c r="G39" s="18" t="n">
        <v>0.195</v>
      </c>
      <c r="H39" s="18" t="n">
        <v>0.18</v>
      </c>
      <c r="I39" s="18" t="n">
        <v>0.17</v>
      </c>
      <c r="J39" s="18" t="n">
        <v>0.165</v>
      </c>
      <c r="K39" s="4" t="s">
        <v>269</v>
      </c>
    </row>
    <row r="40" customFormat="false" ht="15" hidden="false" customHeight="true" outlineLevel="0" collapsed="false">
      <c r="A40" s="10" t="s">
        <v>256</v>
      </c>
      <c r="B40" s="3"/>
      <c r="C40" s="3"/>
      <c r="D40" s="3"/>
      <c r="E40" s="3"/>
      <c r="F40" s="18" t="n">
        <v>0.215</v>
      </c>
      <c r="G40" s="18" t="n">
        <v>0.215</v>
      </c>
      <c r="H40" s="18" t="n">
        <v>0.21</v>
      </c>
      <c r="I40" s="18" t="n">
        <v>0.205</v>
      </c>
      <c r="J40" s="18" t="n">
        <v>0.2</v>
      </c>
      <c r="K40" s="3"/>
    </row>
    <row r="41" customFormat="false" ht="15" hidden="false" customHeight="true" outlineLevel="0" collapsed="false">
      <c r="A41" s="9" t="s">
        <v>257</v>
      </c>
      <c r="B41" s="3"/>
      <c r="C41" s="3"/>
      <c r="D41" s="3"/>
      <c r="E41" s="3"/>
      <c r="F41" s="36" t="n">
        <f aca="false">CHOOSE($C$4,F38,F39,F40)</f>
        <v>0.21</v>
      </c>
      <c r="G41" s="36" t="n">
        <f aca="false">CHOOSE($C$4,G38,G39,G40)</f>
        <v>0.195</v>
      </c>
      <c r="H41" s="36" t="n">
        <f aca="false">CHOOSE($C$4,H38,H39,H40)</f>
        <v>0.18</v>
      </c>
      <c r="I41" s="36" t="n">
        <f aca="false">CHOOSE($C$4,I38,I39,I40)</f>
        <v>0.17</v>
      </c>
      <c r="J41" s="36" t="n">
        <f aca="false">CHOOSE($C$4,J38,J39,J40)</f>
        <v>0.165</v>
      </c>
      <c r="K41" s="3"/>
    </row>
    <row r="42" customFormat="false" ht="15" hidden="false" customHeight="true" outlineLevel="0" collapsed="false">
      <c r="A42" s="7" t="s">
        <v>270</v>
      </c>
      <c r="B42" s="8"/>
      <c r="C42" s="8"/>
      <c r="D42" s="8"/>
      <c r="E42" s="8"/>
      <c r="F42" s="8"/>
      <c r="G42" s="8"/>
      <c r="H42" s="8"/>
      <c r="I42" s="8"/>
      <c r="J42" s="8"/>
      <c r="K42" s="8"/>
    </row>
    <row r="43" customFormat="false" ht="15" hidden="false" customHeight="true" outlineLevel="0" collapsed="false">
      <c r="A43" s="10" t="s">
        <v>253</v>
      </c>
      <c r="B43" s="3"/>
      <c r="C43" s="3"/>
      <c r="D43" s="3"/>
      <c r="E43" s="3"/>
      <c r="F43" s="18" t="n">
        <v>0.112</v>
      </c>
      <c r="G43" s="18" t="n">
        <v>0.1</v>
      </c>
      <c r="H43" s="18" t="n">
        <v>0.09</v>
      </c>
      <c r="I43" s="18" t="n">
        <v>0.085</v>
      </c>
      <c r="J43" s="18" t="n">
        <v>0.08</v>
      </c>
      <c r="K43" s="3"/>
    </row>
    <row r="44" customFormat="false" ht="15" hidden="false" customHeight="true" outlineLevel="0" collapsed="false">
      <c r="A44" s="10" t="s">
        <v>254</v>
      </c>
      <c r="B44" s="3"/>
      <c r="C44" s="3"/>
      <c r="D44" s="3"/>
      <c r="E44" s="3"/>
      <c r="F44" s="18" t="n">
        <v>0.115</v>
      </c>
      <c r="G44" s="18" t="n">
        <v>0.105</v>
      </c>
      <c r="H44" s="18" t="n">
        <v>0.095</v>
      </c>
      <c r="I44" s="18" t="n">
        <v>0.09</v>
      </c>
      <c r="J44" s="18" t="n">
        <v>0.085</v>
      </c>
      <c r="K44" s="4" t="s">
        <v>271</v>
      </c>
    </row>
    <row r="45" customFormat="false" ht="15" hidden="false" customHeight="true" outlineLevel="0" collapsed="false">
      <c r="A45" s="10" t="s">
        <v>256</v>
      </c>
      <c r="B45" s="3"/>
      <c r="C45" s="3"/>
      <c r="D45" s="3"/>
      <c r="E45" s="3"/>
      <c r="F45" s="18" t="n">
        <v>0.118</v>
      </c>
      <c r="G45" s="18" t="n">
        <v>0.115</v>
      </c>
      <c r="H45" s="18" t="n">
        <v>0.11</v>
      </c>
      <c r="I45" s="18" t="n">
        <v>0.105</v>
      </c>
      <c r="J45" s="18" t="n">
        <v>0.1</v>
      </c>
      <c r="K45" s="3"/>
    </row>
    <row r="46" customFormat="false" ht="15" hidden="false" customHeight="true" outlineLevel="0" collapsed="false">
      <c r="A46" s="9" t="s">
        <v>257</v>
      </c>
      <c r="B46" s="3"/>
      <c r="C46" s="3"/>
      <c r="D46" s="3"/>
      <c r="E46" s="3"/>
      <c r="F46" s="36" t="n">
        <f aca="false">CHOOSE($C$4,F43,F44,F45)</f>
        <v>0.115</v>
      </c>
      <c r="G46" s="36" t="n">
        <f aca="false">CHOOSE($C$4,G43,G44,G45)</f>
        <v>0.105</v>
      </c>
      <c r="H46" s="36" t="n">
        <f aca="false">CHOOSE($C$4,H43,H44,H45)</f>
        <v>0.095</v>
      </c>
      <c r="I46" s="36" t="n">
        <f aca="false">CHOOSE($C$4,I43,I44,I45)</f>
        <v>0.09</v>
      </c>
      <c r="J46" s="36" t="n">
        <f aca="false">CHOOSE($C$4,J43,J44,J45)</f>
        <v>0.085</v>
      </c>
      <c r="K46" s="3"/>
    </row>
    <row r="47" customFormat="false" ht="1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customFormat="false" ht="15" hidden="false" customHeight="true" outlineLevel="0" collapsed="false">
      <c r="A48" s="10" t="s">
        <v>272</v>
      </c>
      <c r="B48" s="3"/>
      <c r="C48" s="3"/>
      <c r="D48" s="3"/>
      <c r="E48" s="3"/>
      <c r="F48" s="18" t="n">
        <v>0.15</v>
      </c>
      <c r="G48" s="18" t="n">
        <v>0.15</v>
      </c>
      <c r="H48" s="18" t="n">
        <v>0.15</v>
      </c>
      <c r="I48" s="18" t="n">
        <v>0.15</v>
      </c>
      <c r="J48" s="18" t="n">
        <v>0.15</v>
      </c>
      <c r="K48" s="4" t="s">
        <v>273</v>
      </c>
    </row>
    <row r="49" customFormat="false" ht="1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customFormat="false" ht="1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customFormat="false" ht="15" hidden="false" customHeight="true" outlineLevel="0" collapsed="false">
      <c r="A51" s="7" t="s">
        <v>274</v>
      </c>
      <c r="B51" s="8"/>
      <c r="C51" s="8"/>
      <c r="D51" s="8"/>
      <c r="E51" s="8"/>
      <c r="F51" s="8"/>
      <c r="G51" s="8"/>
      <c r="H51" s="8"/>
      <c r="I51" s="8"/>
      <c r="J51" s="8"/>
      <c r="K51" s="8"/>
    </row>
    <row r="52" customFormat="false" ht="15" hidden="false" customHeight="true" outlineLevel="0" collapsed="false">
      <c r="A52" s="9" t="s">
        <v>275</v>
      </c>
      <c r="B52" s="3"/>
      <c r="C52" s="3"/>
      <c r="D52" s="3"/>
      <c r="E52" s="3"/>
      <c r="F52" s="3"/>
      <c r="G52" s="3"/>
      <c r="H52" s="3"/>
      <c r="I52" s="3"/>
      <c r="J52" s="3"/>
      <c r="K52" s="3"/>
    </row>
    <row r="53" customFormat="false" ht="15" hidden="false" customHeight="true" outlineLevel="0" collapsed="false">
      <c r="A53" s="10" t="s">
        <v>276</v>
      </c>
      <c r="B53" s="3"/>
      <c r="C53" s="3"/>
      <c r="D53" s="3"/>
      <c r="E53" s="19" t="n">
        <f aca="false">'Revenue Model'!E7</f>
        <v>6500</v>
      </c>
      <c r="F53" s="12" t="n">
        <f aca="false">E53*(1+F8)</f>
        <v>19500</v>
      </c>
      <c r="G53" s="12" t="n">
        <f aca="false">F53*(1+G8)</f>
        <v>40950</v>
      </c>
      <c r="H53" s="12" t="n">
        <f aca="false">G53*(1+H8)</f>
        <v>65520</v>
      </c>
      <c r="I53" s="12" t="n">
        <f aca="false">H53*(1+I8)</f>
        <v>91728</v>
      </c>
      <c r="J53" s="12" t="n">
        <f aca="false">I53*(1+J8)</f>
        <v>114660</v>
      </c>
      <c r="K53" s="3"/>
    </row>
    <row r="54" customFormat="false" ht="15" hidden="false" customHeight="true" outlineLevel="0" collapsed="false">
      <c r="A54" s="10" t="s">
        <v>277</v>
      </c>
      <c r="B54" s="3"/>
      <c r="C54" s="3"/>
      <c r="D54" s="3"/>
      <c r="E54" s="19" t="n">
        <f aca="false">'Revenue Model'!E9</f>
        <v>10135</v>
      </c>
      <c r="F54" s="12" t="n">
        <f aca="false">E54*(1+F13)</f>
        <v>12668.75</v>
      </c>
      <c r="G54" s="12" t="n">
        <f aca="false">F54*(1+G13)</f>
        <v>15455.875</v>
      </c>
      <c r="H54" s="12" t="n">
        <f aca="false">G54*(1+H13)</f>
        <v>18237.9325</v>
      </c>
      <c r="I54" s="12" t="n">
        <f aca="false">H54*(1+I13)</f>
        <v>20973.622375</v>
      </c>
      <c r="J54" s="12" t="n">
        <f aca="false">I54*(1+J13)</f>
        <v>23490.45706</v>
      </c>
      <c r="K54" s="3"/>
    </row>
    <row r="55" customFormat="false" ht="15" hidden="false" customHeight="true" outlineLevel="0" collapsed="false">
      <c r="A55" s="10" t="s">
        <v>278</v>
      </c>
      <c r="B55" s="3"/>
      <c r="C55" s="3"/>
      <c r="D55" s="3"/>
      <c r="E55" s="19" t="n">
        <f aca="false">'Revenue Model'!E18</f>
        <v>10640</v>
      </c>
      <c r="F55" s="12" t="n">
        <f aca="false">E55*(1+F18)</f>
        <v>12555.2</v>
      </c>
      <c r="G55" s="12" t="n">
        <f aca="false">F55*(1+G18)</f>
        <v>13810.72</v>
      </c>
      <c r="H55" s="12" t="n">
        <f aca="false">G55*(1+H18)</f>
        <v>14915.5776</v>
      </c>
      <c r="I55" s="12" t="n">
        <f aca="false">H55*(1+I18)</f>
        <v>15959.668032</v>
      </c>
      <c r="J55" s="12" t="n">
        <f aca="false">I55*(1+J18)</f>
        <v>16917.24811392</v>
      </c>
      <c r="K55" s="3"/>
    </row>
    <row r="56" customFormat="false" ht="15" hidden="false" customHeight="true" outlineLevel="0" collapsed="false">
      <c r="A56" s="10" t="s">
        <v>279</v>
      </c>
      <c r="B56" s="3"/>
      <c r="C56" s="3"/>
      <c r="D56" s="3"/>
      <c r="E56" s="19" t="n">
        <f aca="false">'Revenue Model'!E20</f>
        <v>3910</v>
      </c>
      <c r="F56" s="12" t="n">
        <f aca="false">E56*(1+F23)</f>
        <v>3206.2</v>
      </c>
      <c r="G56" s="12" t="n">
        <f aca="false">F56*(1+G23)</f>
        <v>3526.82</v>
      </c>
      <c r="H56" s="12" t="n">
        <f aca="false">G56*(1+H23)</f>
        <v>4584.866</v>
      </c>
      <c r="I56" s="12" t="n">
        <f aca="false">H56*(1+I23)</f>
        <v>4951.65528</v>
      </c>
      <c r="J56" s="12" t="n">
        <f aca="false">I56*(1+J23)</f>
        <v>4704.072516</v>
      </c>
      <c r="K56" s="3"/>
    </row>
    <row r="57" customFormat="false" ht="15" hidden="false" customHeight="true" outlineLevel="0" collapsed="false">
      <c r="A57" s="10" t="s">
        <v>280</v>
      </c>
      <c r="B57" s="3"/>
      <c r="C57" s="3"/>
      <c r="D57" s="3"/>
      <c r="E57" s="19" t="n">
        <f aca="false">'Revenue Model'!E27</f>
        <v>3454</v>
      </c>
      <c r="F57" s="12" t="n">
        <f aca="false">E57*(1+F28)</f>
        <v>3972.1</v>
      </c>
      <c r="G57" s="12" t="n">
        <f aca="false">F57*(1+G28)</f>
        <v>4488.473</v>
      </c>
      <c r="H57" s="12" t="n">
        <f aca="false">G57*(1+H28)</f>
        <v>4982.20503</v>
      </c>
      <c r="I57" s="12" t="n">
        <f aca="false">H57*(1+I28)</f>
        <v>5430.6034827</v>
      </c>
      <c r="J57" s="12" t="n">
        <f aca="false">I57*(1+J28)</f>
        <v>5865.051761316</v>
      </c>
      <c r="K57" s="3"/>
    </row>
    <row r="58" customFormat="false" ht="15" hidden="false" customHeight="true" outlineLevel="0" collapsed="false">
      <c r="A58" s="15" t="s">
        <v>281</v>
      </c>
      <c r="B58" s="3"/>
      <c r="C58" s="17"/>
      <c r="D58" s="17"/>
      <c r="E58" s="16" t="n">
        <f aca="false">SUM(E53:E57)</f>
        <v>34639</v>
      </c>
      <c r="F58" s="16" t="n">
        <f aca="false">SUM(F53:F57)</f>
        <v>51902.25</v>
      </c>
      <c r="G58" s="16" t="n">
        <f aca="false">SUM(G53:G57)</f>
        <v>78231.888</v>
      </c>
      <c r="H58" s="16" t="n">
        <f aca="false">SUM(H53:H57)</f>
        <v>108240.58113</v>
      </c>
      <c r="I58" s="16" t="n">
        <f aca="false">SUM(I53:I57)</f>
        <v>139043.5491697</v>
      </c>
      <c r="J58" s="16" t="n">
        <f aca="false">SUM(J53:J57)</f>
        <v>165636.829451236</v>
      </c>
      <c r="K58" s="3"/>
    </row>
    <row r="59" customFormat="false" ht="15" hidden="false" customHeight="true" outlineLevel="0" collapsed="false">
      <c r="A59" s="10" t="s">
        <v>282</v>
      </c>
      <c r="B59" s="3"/>
      <c r="C59" s="3"/>
      <c r="D59" s="3"/>
      <c r="E59" s="3"/>
      <c r="F59" s="13" t="n">
        <f aca="false">F58/E58-1</f>
        <v>0.498376107855308</v>
      </c>
      <c r="G59" s="13" t="n">
        <f aca="false">G58/F58-1</f>
        <v>0.507292805225207</v>
      </c>
      <c r="H59" s="13" t="n">
        <f aca="false">H58/G58-1</f>
        <v>0.383586461955258</v>
      </c>
      <c r="I59" s="13" t="n">
        <f aca="false">I58/H58-1</f>
        <v>0.284578738566682</v>
      </c>
      <c r="J59" s="13" t="n">
        <f aca="false">J58/I58-1</f>
        <v>0.191258641197942</v>
      </c>
      <c r="K59" s="3"/>
    </row>
    <row r="60" customFormat="false" ht="15" hidden="false" customHeight="true" outlineLevel="0" collapsed="false">
      <c r="A60" s="10" t="s">
        <v>283</v>
      </c>
      <c r="B60" s="3"/>
      <c r="C60" s="3"/>
      <c r="D60" s="3"/>
      <c r="E60" s="3"/>
      <c r="F60" s="19" t="n">
        <f aca="false">F58*(1-F33-F38-F43)-'Income Statement'!F38-'Income Statement'!F27</f>
        <v>9913.22425000001</v>
      </c>
      <c r="G60" s="19" t="n">
        <f aca="false">G58*(1-G33-G38-G43)-'Income Statement'!G38-'Income Statement'!G27</f>
        <v>20054.92864</v>
      </c>
      <c r="H60" s="19" t="n">
        <f aca="false">H58*(1-H33-H38-H43)-'Income Statement'!H38-'Income Statement'!H27</f>
        <v>33086.9859616</v>
      </c>
      <c r="I60" s="19" t="n">
        <f aca="false">I58*(1-I33-I38-I43)-'Income Statement'!I38-'Income Statement'!I27</f>
        <v>46074.806717698</v>
      </c>
      <c r="J60" s="19" t="n">
        <f aca="false">J58*(1-J33-J38-J43)-'Income Statement'!J38-'Income Statement'!J27</f>
        <v>57801.0744551888</v>
      </c>
      <c r="K60" s="3"/>
    </row>
    <row r="61" customFormat="false" ht="15" hidden="false" customHeight="true" outlineLevel="0" collapsed="false">
      <c r="A61" s="10" t="s">
        <v>91</v>
      </c>
      <c r="B61" s="3"/>
      <c r="C61" s="3"/>
      <c r="D61" s="3"/>
      <c r="E61" s="3"/>
      <c r="F61" s="13" t="n">
        <f aca="false">F60/F58</f>
        <v>0.190997967332823</v>
      </c>
      <c r="G61" s="13" t="n">
        <f aca="false">G60/G58</f>
        <v>0.256352353914813</v>
      </c>
      <c r="H61" s="13" t="n">
        <f aca="false">H60/H58</f>
        <v>0.305680047318497</v>
      </c>
      <c r="I61" s="13" t="n">
        <f aca="false">I60/I58</f>
        <v>0.331369610405043</v>
      </c>
      <c r="J61" s="13" t="n">
        <f aca="false">J60/J58</f>
        <v>0.348962695353968</v>
      </c>
      <c r="K61" s="3"/>
    </row>
    <row r="62" customFormat="false" ht="15" hidden="false" customHeight="true" outlineLevel="0" collapsed="false">
      <c r="A62" s="10" t="s">
        <v>284</v>
      </c>
      <c r="B62" s="3"/>
      <c r="C62" s="3"/>
      <c r="D62" s="3"/>
      <c r="E62" s="3"/>
      <c r="F62" s="19" t="n">
        <f aca="false">(F60+'Income Statement'!F46+'Income Statement'!F48)*(1-'Income Statement'!F52)+'Income Statement'!F53</f>
        <v>8844.6721975</v>
      </c>
      <c r="G62" s="19" t="n">
        <f aca="false">(G60+'Income Statement'!G46+'Income Statement'!G48)*(1-'Income Statement'!G52)+'Income Statement'!G53</f>
        <v>17477.9170009674</v>
      </c>
      <c r="H62" s="19" t="n">
        <f aca="false">(H60+'Income Statement'!H46+'Income Statement'!H48)*(1-'Income Statement'!H52)+'Income Statement'!H53</f>
        <v>28858.1741823572</v>
      </c>
      <c r="I62" s="19" t="n">
        <f aca="false">(I60+'Income Statement'!I46+'Income Statement'!I48)*(1-'Income Statement'!I52)+'Income Statement'!I53</f>
        <v>40371.8177667703</v>
      </c>
      <c r="J62" s="19" t="n">
        <f aca="false">(J60+'Income Statement'!J46+'Income Statement'!J48)*(1-'Income Statement'!J52)+'Income Statement'!J53</f>
        <v>50968.717056549</v>
      </c>
      <c r="K62" s="3"/>
    </row>
    <row r="63" customFormat="false" ht="15" hidden="false" customHeight="true" outlineLevel="0" collapsed="false">
      <c r="A63" s="10" t="s">
        <v>128</v>
      </c>
      <c r="B63" s="3"/>
      <c r="C63" s="3"/>
      <c r="D63" s="3"/>
      <c r="E63" s="3"/>
      <c r="F63" s="29" t="n">
        <f aca="false">F62/'Income Statement'!F62</f>
        <v>5.34217277601545</v>
      </c>
      <c r="G63" s="29" t="n">
        <f aca="false">G62/'Income Statement'!G62</f>
        <v>10.5041230116459</v>
      </c>
      <c r="H63" s="29" t="n">
        <f aca="false">H62/'Income Statement'!H62</f>
        <v>17.3435891408688</v>
      </c>
      <c r="I63" s="29" t="n">
        <f aca="false">I62/'Income Statement'!I62</f>
        <v>24.385145423287</v>
      </c>
      <c r="J63" s="29" t="n">
        <f aca="false">J62/'Income Statement'!J62</f>
        <v>31.0967894455805</v>
      </c>
      <c r="K63" s="3"/>
    </row>
    <row r="64" customFormat="false" ht="15" hidden="false" customHeight="true" outlineLevel="0" collapsed="false">
      <c r="A64" s="10" t="s">
        <v>285</v>
      </c>
      <c r="B64" s="3"/>
      <c r="C64" s="3"/>
      <c r="D64" s="3"/>
      <c r="E64" s="3"/>
      <c r="F64" s="19" t="n">
        <f aca="false">F62+'Income Statement'!F38+'Cash Flow Statement'!F12*F58+'Cash Flow Statement'!F8-'Cash Flow Statement'!F28*F58-F48*(F58-E58)</f>
        <v>9031.1134475</v>
      </c>
      <c r="G64" s="19" t="n">
        <f aca="false">G62+'Income Statement'!G38+'Cash Flow Statement'!G12*G58+'Cash Flow Statement'!G8-'Cash Flow Statement'!G28*G58-G48*(G58-F58)</f>
        <v>16436.1008809674</v>
      </c>
      <c r="H64" s="19" t="n">
        <f aca="false">H62+'Income Statement'!H38+'Cash Flow Statement'!H12*H58+'Cash Flow Statement'!H8-'Cash Flow Statement'!H28*H58-H48*(H58-G58)</f>
        <v>27635.1312982672</v>
      </c>
      <c r="I64" s="19" t="n">
        <f aca="false">I62+'Income Statement'!I38+'Cash Flow Statement'!I12*I58+'Cash Flow Statement'!I8-'Cash Flow Statement'!I28*I58-I48*(I58-H58)</f>
        <v>39537.4459059193</v>
      </c>
      <c r="J64" s="19" t="n">
        <f aca="false">J62+'Income Statement'!J38+'Cash Flow Statement'!J12*J58+'Cash Flow Statement'!J8-'Cash Flow Statement'!J28*J58-J48*(J58-I58)</f>
        <v>50638.1529969159</v>
      </c>
      <c r="K64" s="3"/>
    </row>
    <row r="65" customFormat="false" ht="15" hidden="false" customHeight="true" outlineLevel="0" collapsed="false">
      <c r="A65" s="10" t="s">
        <v>189</v>
      </c>
      <c r="B65" s="3"/>
      <c r="C65" s="3"/>
      <c r="D65" s="3"/>
      <c r="E65" s="3"/>
      <c r="F65" s="13" t="n">
        <f aca="false">F64/F58</f>
        <v>0.174002349560954</v>
      </c>
      <c r="G65" s="13" t="n">
        <f aca="false">G64/G58</f>
        <v>0.210094646839756</v>
      </c>
      <c r="H65" s="13" t="n">
        <f aca="false">H64/H58</f>
        <v>0.255312111315041</v>
      </c>
      <c r="I65" s="13" t="n">
        <f aca="false">I64/I58</f>
        <v>0.284352968131334</v>
      </c>
      <c r="J65" s="13" t="n">
        <f aca="false">J64/J58</f>
        <v>0.305717956354772</v>
      </c>
      <c r="K65" s="3"/>
    </row>
    <row r="66" customFormat="false" ht="1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customFormat="false" ht="15" hidden="false" customHeight="true" outlineLevel="0" collapsed="false">
      <c r="A67" s="9" t="s">
        <v>286</v>
      </c>
      <c r="B67" s="3"/>
      <c r="C67" s="3"/>
      <c r="D67" s="3"/>
      <c r="E67" s="3"/>
      <c r="F67" s="3"/>
      <c r="G67" s="3"/>
      <c r="H67" s="3"/>
      <c r="I67" s="3"/>
      <c r="J67" s="3"/>
      <c r="K67" s="3"/>
    </row>
    <row r="68" customFormat="false" ht="15" hidden="false" customHeight="true" outlineLevel="0" collapsed="false">
      <c r="A68" s="10" t="s">
        <v>276</v>
      </c>
      <c r="B68" s="3"/>
      <c r="C68" s="3"/>
      <c r="D68" s="3"/>
      <c r="E68" s="19" t="n">
        <f aca="false">'Revenue Model'!E7</f>
        <v>6500</v>
      </c>
      <c r="F68" s="12" t="n">
        <f aca="false">E68*(1+F9)</f>
        <v>17550</v>
      </c>
      <c r="G68" s="12" t="n">
        <f aca="false">F68*(1+G9)</f>
        <v>33345</v>
      </c>
      <c r="H68" s="12" t="n">
        <f aca="false">G68*(1+H9)</f>
        <v>48350.25</v>
      </c>
      <c r="I68" s="12" t="n">
        <f aca="false">H68*(1+I9)</f>
        <v>62855.325</v>
      </c>
      <c r="J68" s="12" t="n">
        <f aca="false">I68*(1+J9)</f>
        <v>75426.39</v>
      </c>
      <c r="K68" s="3"/>
    </row>
    <row r="69" customFormat="false" ht="15" hidden="false" customHeight="true" outlineLevel="0" collapsed="false">
      <c r="A69" s="10" t="s">
        <v>277</v>
      </c>
      <c r="B69" s="3"/>
      <c r="C69" s="3"/>
      <c r="D69" s="3"/>
      <c r="E69" s="19" t="n">
        <f aca="false">'Revenue Model'!E9</f>
        <v>10135</v>
      </c>
      <c r="F69" s="12" t="n">
        <f aca="false">E69*(1+F14)</f>
        <v>12364.7</v>
      </c>
      <c r="G69" s="12" t="n">
        <f aca="false">F69*(1+G14)</f>
        <v>14590.346</v>
      </c>
      <c r="H69" s="12" t="n">
        <f aca="false">G69*(1+H14)</f>
        <v>16632.99444</v>
      </c>
      <c r="I69" s="12" t="n">
        <f aca="false">H69*(1+I14)</f>
        <v>18628.9537728</v>
      </c>
      <c r="J69" s="12" t="n">
        <f aca="false">I69*(1+J14)</f>
        <v>20491.84915008</v>
      </c>
      <c r="K69" s="3"/>
    </row>
    <row r="70" customFormat="false" ht="15" hidden="false" customHeight="true" outlineLevel="0" collapsed="false">
      <c r="A70" s="10" t="s">
        <v>278</v>
      </c>
      <c r="B70" s="3"/>
      <c r="C70" s="3"/>
      <c r="D70" s="3"/>
      <c r="E70" s="19" t="n">
        <f aca="false">'Revenue Model'!E18</f>
        <v>10640</v>
      </c>
      <c r="F70" s="12" t="n">
        <f aca="false">E70*(1+F19)</f>
        <v>12236</v>
      </c>
      <c r="G70" s="12" t="n">
        <f aca="false">F70*(1+G19)</f>
        <v>12970.16</v>
      </c>
      <c r="H70" s="12" t="n">
        <f aca="false">G70*(1+H19)</f>
        <v>13618.668</v>
      </c>
      <c r="I70" s="12" t="n">
        <f aca="false">H70*(1+I19)</f>
        <v>14299.6014</v>
      </c>
      <c r="J70" s="12" t="n">
        <f aca="false">I70*(1+J19)</f>
        <v>14871.585456</v>
      </c>
      <c r="K70" s="3"/>
    </row>
    <row r="71" customFormat="false" ht="15" hidden="false" customHeight="true" outlineLevel="0" collapsed="false">
      <c r="A71" s="10" t="s">
        <v>279</v>
      </c>
      <c r="B71" s="3"/>
      <c r="C71" s="3"/>
      <c r="D71" s="3"/>
      <c r="E71" s="19" t="n">
        <f aca="false">'Revenue Model'!E20</f>
        <v>3910</v>
      </c>
      <c r="F71" s="12" t="n">
        <f aca="false">E71*(1+F24)</f>
        <v>3128</v>
      </c>
      <c r="G71" s="12" t="n">
        <f aca="false">F71*(1+G24)</f>
        <v>3284.4</v>
      </c>
      <c r="H71" s="12" t="n">
        <f aca="false">G71*(1+H24)</f>
        <v>4105.5</v>
      </c>
      <c r="I71" s="12" t="n">
        <f aca="false">H71*(1+I24)</f>
        <v>4310.775</v>
      </c>
      <c r="J71" s="12" t="n">
        <f aca="false">I71*(1+J24)</f>
        <v>3879.6975</v>
      </c>
      <c r="K71" s="3"/>
    </row>
    <row r="72" customFormat="false" ht="15" hidden="false" customHeight="true" outlineLevel="0" collapsed="false">
      <c r="A72" s="10" t="s">
        <v>280</v>
      </c>
      <c r="B72" s="3"/>
      <c r="C72" s="3"/>
      <c r="D72" s="3"/>
      <c r="E72" s="19" t="n">
        <f aca="false">'Revenue Model'!E27</f>
        <v>3454</v>
      </c>
      <c r="F72" s="12" t="n">
        <f aca="false">E72*(1+F29)</f>
        <v>3903.02</v>
      </c>
      <c r="G72" s="12" t="n">
        <f aca="false">F72*(1+G29)</f>
        <v>4293.322</v>
      </c>
      <c r="H72" s="12" t="n">
        <f aca="false">G72*(1+H29)</f>
        <v>4636.78776</v>
      </c>
      <c r="I72" s="12" t="n">
        <f aca="false">H72*(1+I29)</f>
        <v>4961.3629032</v>
      </c>
      <c r="J72" s="12" t="n">
        <f aca="false">I72*(1+J29)</f>
        <v>5259.044677392</v>
      </c>
      <c r="K72" s="3"/>
    </row>
    <row r="73" customFormat="false" ht="15" hidden="false" customHeight="true" outlineLevel="0" collapsed="false">
      <c r="A73" s="15" t="s">
        <v>281</v>
      </c>
      <c r="B73" s="3"/>
      <c r="C73" s="17"/>
      <c r="D73" s="17"/>
      <c r="E73" s="16" t="n">
        <f aca="false">SUM(E68:E72)</f>
        <v>34639</v>
      </c>
      <c r="F73" s="16" t="n">
        <f aca="false">SUM(F68:F72)</f>
        <v>49181.72</v>
      </c>
      <c r="G73" s="16" t="n">
        <f aca="false">SUM(G68:G72)</f>
        <v>68483.228</v>
      </c>
      <c r="H73" s="16" t="n">
        <f aca="false">SUM(H68:H72)</f>
        <v>87344.2002</v>
      </c>
      <c r="I73" s="16" t="n">
        <f aca="false">SUM(I68:I72)</f>
        <v>105056.018076</v>
      </c>
      <c r="J73" s="16" t="n">
        <f aca="false">SUM(J68:J72)</f>
        <v>119928.566783472</v>
      </c>
      <c r="K73" s="3"/>
    </row>
    <row r="74" customFormat="false" ht="15" hidden="false" customHeight="true" outlineLevel="0" collapsed="false">
      <c r="A74" s="10" t="s">
        <v>282</v>
      </c>
      <c r="B74" s="3"/>
      <c r="C74" s="3"/>
      <c r="D74" s="3"/>
      <c r="E74" s="3"/>
      <c r="F74" s="13" t="n">
        <f aca="false">F73/E73-1</f>
        <v>0.419836600363752</v>
      </c>
      <c r="G74" s="13" t="n">
        <f aca="false">G73/F73-1</f>
        <v>0.392452886966947</v>
      </c>
      <c r="H74" s="13" t="n">
        <f aca="false">H73/G73-1</f>
        <v>0.275410093110681</v>
      </c>
      <c r="I74" s="13" t="n">
        <f aca="false">I73/H73-1</f>
        <v>0.202781842817767</v>
      </c>
      <c r="J74" s="13" t="n">
        <f aca="false">J73/I73-1</f>
        <v>0.141567793828935</v>
      </c>
      <c r="K74" s="3"/>
    </row>
    <row r="75" customFormat="false" ht="15" hidden="false" customHeight="true" outlineLevel="0" collapsed="false">
      <c r="A75" s="10" t="s">
        <v>283</v>
      </c>
      <c r="B75" s="3"/>
      <c r="C75" s="3"/>
      <c r="D75" s="3"/>
      <c r="E75" s="3"/>
      <c r="F75" s="19" t="n">
        <f aca="false">F73*(1-F34-F39-F44)-'Income Statement'!F38-'Income Statement'!F27</f>
        <v>8639.9784</v>
      </c>
      <c r="G75" s="19" t="n">
        <f aca="false">G73*(1-G34-G39-G44)-'Income Statement'!G38-'Income Statement'!G27</f>
        <v>15270.807</v>
      </c>
      <c r="H75" s="19" t="n">
        <f aca="false">H73*(1-H34-H39-H44)-'Income Statement'!H38-'Income Statement'!H27</f>
        <v>22906.376056</v>
      </c>
      <c r="I75" s="19" t="n">
        <f aca="false">I73*(1-I34-I39-I44)-'Income Statement'!I38-'Income Statement'!I27</f>
        <v>30316.8054228</v>
      </c>
      <c r="J75" s="19" t="n">
        <f aca="false">J73*(1-J34-J39-J44)-'Income Statement'!J38-'Income Statement'!J27</f>
        <v>36177.8557028763</v>
      </c>
      <c r="K75" s="3"/>
    </row>
    <row r="76" customFormat="false" ht="15" hidden="false" customHeight="true" outlineLevel="0" collapsed="false">
      <c r="A76" s="10" t="s">
        <v>91</v>
      </c>
      <c r="B76" s="3"/>
      <c r="C76" s="3"/>
      <c r="D76" s="3"/>
      <c r="E76" s="3"/>
      <c r="F76" s="13" t="n">
        <f aca="false">F75/F73</f>
        <v>0.175674588037995</v>
      </c>
      <c r="G76" s="13" t="n">
        <f aca="false">G75/G73</f>
        <v>0.222986086461929</v>
      </c>
      <c r="H76" s="13" t="n">
        <f aca="false">H75/H73</f>
        <v>0.262254116513165</v>
      </c>
      <c r="I76" s="13" t="n">
        <f aca="false">I75/I73</f>
        <v>0.288577522525822</v>
      </c>
      <c r="J76" s="13" t="n">
        <f aca="false">J75/J73</f>
        <v>0.301661703071917</v>
      </c>
      <c r="K76" s="3"/>
    </row>
    <row r="77" customFormat="false" ht="15" hidden="false" customHeight="true" outlineLevel="0" collapsed="false">
      <c r="A77" s="10" t="s">
        <v>284</v>
      </c>
      <c r="B77" s="3"/>
      <c r="C77" s="3"/>
      <c r="D77" s="3"/>
      <c r="E77" s="3"/>
      <c r="F77" s="19" t="n">
        <f aca="false">(F75+'Income Statement'!F46+'Income Statement'!F48)*(1-'Income Statement'!F52)+'Income Statement'!F53</f>
        <v>7736.948308</v>
      </c>
      <c r="G77" s="19" t="n">
        <f aca="false">(G75+'Income Statement'!G46+'Income Statement'!G48)*(1-'Income Statement'!G52)+'Income Statement'!G53</f>
        <v>13411.4136069674</v>
      </c>
      <c r="H77" s="19" t="n">
        <f aca="false">(H75+'Income Statement'!H46+'Income Statement'!H48)*(1-'Income Statement'!H52)+'Income Statement'!H53</f>
        <v>20204.6557625972</v>
      </c>
      <c r="I77" s="19" t="n">
        <f aca="false">(I75+'Income Statement'!I46+'Income Statement'!I48)*(1-'Income Statement'!I52)+'Income Statement'!I53</f>
        <v>26977.516666107</v>
      </c>
      <c r="J77" s="19" t="n">
        <f aca="false">(J75+'Income Statement'!J46+'Income Statement'!J48)*(1-'Income Statement'!J52)+'Income Statement'!J53</f>
        <v>32588.9811170834</v>
      </c>
      <c r="K77" s="3"/>
    </row>
    <row r="78" customFormat="false" ht="15" hidden="false" customHeight="true" outlineLevel="0" collapsed="false">
      <c r="A78" s="10" t="s">
        <v>128</v>
      </c>
      <c r="B78" s="3"/>
      <c r="C78" s="3"/>
      <c r="D78" s="3"/>
      <c r="E78" s="3"/>
      <c r="F78" s="29" t="n">
        <f aca="false">F77/'Income Statement'!F62</f>
        <v>4.67310870290016</v>
      </c>
      <c r="G78" s="29" t="n">
        <f aca="false">G77/'Income Statement'!G62</f>
        <v>8.06017892634744</v>
      </c>
      <c r="H78" s="29" t="n">
        <f aca="false">H77/'Income Statement'!H62</f>
        <v>12.1428766097547</v>
      </c>
      <c r="I78" s="29" t="n">
        <f aca="false">I77/'Income Statement'!I62</f>
        <v>16.2947992796014</v>
      </c>
      <c r="J78" s="29" t="n">
        <f aca="false">J77/'Income Statement'!J62</f>
        <v>19.8830330164986</v>
      </c>
      <c r="K78" s="3"/>
    </row>
    <row r="79" customFormat="false" ht="15" hidden="false" customHeight="true" outlineLevel="0" collapsed="false">
      <c r="A79" s="10" t="s">
        <v>285</v>
      </c>
      <c r="B79" s="3"/>
      <c r="C79" s="3"/>
      <c r="D79" s="3"/>
      <c r="E79" s="3"/>
      <c r="F79" s="19" t="n">
        <f aca="false">F77+'Income Statement'!F38+'Cash Flow Statement'!F12*F73+'Cash Flow Statement'!F8-'Cash Flow Statement'!F28*F73-F48*(F73-E73)</f>
        <v>8345.071708</v>
      </c>
      <c r="G79" s="19" t="n">
        <f aca="false">G77+'Income Statement'!G38+'Cash Flow Statement'!G12*G73+'Cash Flow Statement'!G8-'Cash Flow Statement'!G28*G73-G48*(G73-F73)</f>
        <v>13472.5602869674</v>
      </c>
      <c r="H79" s="19" t="n">
        <f aca="false">H77+'Income Statement'!H38+'Cash Flow Statement'!H12*H73+'Cash Flow Statement'!H8-'Cash Flow Statement'!H28*H73-H48*(H73-G73)</f>
        <v>20716.4601607972</v>
      </c>
      <c r="I79" s="19" t="n">
        <f aca="false">I77+'Income Statement'!I38+'Cash Flow Statement'!I12*I73+'Cash Flow Statement'!I8-'Cash Flow Statement'!I28*I73-I48*(I73-H73)</f>
        <v>28106.817329811</v>
      </c>
      <c r="J79" s="19" t="n">
        <f aca="false">J77+'Income Statement'!J38+'Cash Flow Statement'!J12*J73+'Cash Flow Statement'!J8-'Cash Flow Statement'!J28*J73-J48*(J73-I73)</f>
        <v>34107.9433188954</v>
      </c>
      <c r="K79" s="3"/>
    </row>
    <row r="80" customFormat="false" ht="15" hidden="false" customHeight="true" outlineLevel="0" collapsed="false">
      <c r="A80" s="10" t="s">
        <v>189</v>
      </c>
      <c r="B80" s="3"/>
      <c r="C80" s="3"/>
      <c r="D80" s="3"/>
      <c r="E80" s="3"/>
      <c r="F80" s="13" t="n">
        <f aca="false">F79/F73</f>
        <v>0.16967832170164</v>
      </c>
      <c r="G80" s="13" t="n">
        <f aca="false">G79/G73</f>
        <v>0.19672788039383</v>
      </c>
      <c r="H80" s="13" t="n">
        <f aca="false">H79/H73</f>
        <v>0.237181863402045</v>
      </c>
      <c r="I80" s="13" t="n">
        <f aca="false">I79/I73</f>
        <v>0.267541239850514</v>
      </c>
      <c r="J80" s="13" t="n">
        <f aca="false">J79/J73</f>
        <v>0.284402158999168</v>
      </c>
      <c r="K80" s="3"/>
    </row>
    <row r="81" customFormat="false" ht="1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customFormat="false" ht="15" hidden="false" customHeight="true" outlineLevel="0" collapsed="false">
      <c r="A82" s="9" t="s">
        <v>287</v>
      </c>
      <c r="B82" s="3"/>
      <c r="C82" s="3"/>
      <c r="D82" s="3"/>
      <c r="E82" s="3"/>
      <c r="F82" s="3"/>
      <c r="G82" s="3"/>
      <c r="H82" s="3"/>
      <c r="I82" s="3"/>
      <c r="J82" s="3"/>
      <c r="K82" s="3"/>
    </row>
    <row r="83" customFormat="false" ht="15" hidden="false" customHeight="true" outlineLevel="0" collapsed="false">
      <c r="A83" s="10" t="s">
        <v>276</v>
      </c>
      <c r="B83" s="3"/>
      <c r="C83" s="3"/>
      <c r="D83" s="3"/>
      <c r="E83" s="19" t="n">
        <f aca="false">'Revenue Model'!E7</f>
        <v>6500</v>
      </c>
      <c r="F83" s="12" t="n">
        <f aca="false">E83*(1+F10)</f>
        <v>16250</v>
      </c>
      <c r="G83" s="12" t="n">
        <f aca="false">F83*(1+G10)</f>
        <v>23562.5</v>
      </c>
      <c r="H83" s="12" t="n">
        <f aca="false">G83*(1+H10)</f>
        <v>28275</v>
      </c>
      <c r="I83" s="12" t="n">
        <f aca="false">H83*(1+I10)</f>
        <v>31668</v>
      </c>
      <c r="J83" s="12" t="n">
        <f aca="false">I83*(1+J10)</f>
        <v>34201.44</v>
      </c>
      <c r="K83" s="3"/>
    </row>
    <row r="84" customFormat="false" ht="15" hidden="false" customHeight="true" outlineLevel="0" collapsed="false">
      <c r="A84" s="10" t="s">
        <v>277</v>
      </c>
      <c r="B84" s="3"/>
      <c r="C84" s="3"/>
      <c r="D84" s="3"/>
      <c r="E84" s="19" t="n">
        <f aca="false">'Revenue Model'!E9</f>
        <v>10135</v>
      </c>
      <c r="F84" s="12" t="n">
        <f aca="false">E84*(1+F15)</f>
        <v>11959.3</v>
      </c>
      <c r="G84" s="12" t="n">
        <f aca="false">F84*(1+G15)</f>
        <v>13155.23</v>
      </c>
      <c r="H84" s="12" t="n">
        <f aca="false">G84*(1+H15)</f>
        <v>13944.5438</v>
      </c>
      <c r="I84" s="12" t="n">
        <f aca="false">H84*(1+I15)</f>
        <v>14641.77099</v>
      </c>
      <c r="J84" s="12" t="n">
        <f aca="false">I84*(1+J15)</f>
        <v>15227.4418296</v>
      </c>
      <c r="K84" s="3"/>
    </row>
    <row r="85" customFormat="false" ht="15" hidden="false" customHeight="true" outlineLevel="0" collapsed="false">
      <c r="A85" s="10" t="s">
        <v>278</v>
      </c>
      <c r="B85" s="3"/>
      <c r="C85" s="3"/>
      <c r="D85" s="3"/>
      <c r="E85" s="19" t="n">
        <f aca="false">'Revenue Model'!E18</f>
        <v>10640</v>
      </c>
      <c r="F85" s="12" t="n">
        <f aca="false">E85*(1+F20)</f>
        <v>11916.8</v>
      </c>
      <c r="G85" s="12" t="n">
        <f aca="false">F85*(1+G20)</f>
        <v>11678.464</v>
      </c>
      <c r="H85" s="12" t="n">
        <f aca="false">G85*(1+H20)</f>
        <v>11678.464</v>
      </c>
      <c r="I85" s="12" t="n">
        <f aca="false">H85*(1+I20)</f>
        <v>11912.03328</v>
      </c>
      <c r="J85" s="12" t="n">
        <f aca="false">I85*(1+J20)</f>
        <v>12150.2739456</v>
      </c>
      <c r="K85" s="3"/>
    </row>
    <row r="86" customFormat="false" ht="15" hidden="false" customHeight="true" outlineLevel="0" collapsed="false">
      <c r="A86" s="10" t="s">
        <v>279</v>
      </c>
      <c r="B86" s="3"/>
      <c r="C86" s="3"/>
      <c r="D86" s="3"/>
      <c r="E86" s="19" t="n">
        <f aca="false">'Revenue Model'!E20</f>
        <v>3910</v>
      </c>
      <c r="F86" s="12" t="n">
        <f aca="false">E86*(1+F25)</f>
        <v>2971.6</v>
      </c>
      <c r="G86" s="12" t="n">
        <f aca="false">F86*(1+G25)</f>
        <v>2823.02</v>
      </c>
      <c r="H86" s="12" t="n">
        <f aca="false">G86*(1+H25)</f>
        <v>3246.473</v>
      </c>
      <c r="I86" s="12" t="n">
        <f aca="false">H86*(1+I25)</f>
        <v>3246.473</v>
      </c>
      <c r="J86" s="12" t="n">
        <f aca="false">I86*(1+J25)</f>
        <v>2759.50205</v>
      </c>
      <c r="K86" s="3"/>
    </row>
    <row r="87" customFormat="false" ht="15" hidden="false" customHeight="true" outlineLevel="0" collapsed="false">
      <c r="A87" s="10" t="s">
        <v>280</v>
      </c>
      <c r="B87" s="3"/>
      <c r="C87" s="3"/>
      <c r="D87" s="3"/>
      <c r="E87" s="19" t="n">
        <f aca="false">'Revenue Model'!E27</f>
        <v>3454</v>
      </c>
      <c r="F87" s="12" t="n">
        <f aca="false">E87*(1+F30)</f>
        <v>3799.4</v>
      </c>
      <c r="G87" s="12" t="n">
        <f aca="false">F87*(1+G30)</f>
        <v>3989.37</v>
      </c>
      <c r="H87" s="12" t="n">
        <f aca="false">G87*(1+H30)</f>
        <v>4148.9448</v>
      </c>
      <c r="I87" s="12" t="n">
        <f aca="false">H87*(1+I30)</f>
        <v>4273.413144</v>
      </c>
      <c r="J87" s="12" t="n">
        <f aca="false">I87*(1+J30)</f>
        <v>4401.61553832</v>
      </c>
      <c r="K87" s="3"/>
    </row>
    <row r="88" customFormat="false" ht="15" hidden="false" customHeight="true" outlineLevel="0" collapsed="false">
      <c r="A88" s="15" t="s">
        <v>281</v>
      </c>
      <c r="B88" s="3"/>
      <c r="C88" s="17"/>
      <c r="D88" s="17"/>
      <c r="E88" s="16" t="n">
        <f aca="false">SUM(E83:E87)</f>
        <v>34639</v>
      </c>
      <c r="F88" s="16" t="n">
        <f aca="false">SUM(F83:F87)</f>
        <v>46897.1</v>
      </c>
      <c r="G88" s="16" t="n">
        <f aca="false">SUM(G83:G87)</f>
        <v>55208.584</v>
      </c>
      <c r="H88" s="16" t="n">
        <f aca="false">SUM(H83:H87)</f>
        <v>61293.4256</v>
      </c>
      <c r="I88" s="16" t="n">
        <f aca="false">SUM(I83:I87)</f>
        <v>65741.690414</v>
      </c>
      <c r="J88" s="16" t="n">
        <f aca="false">SUM(J83:J87)</f>
        <v>68740.27336352</v>
      </c>
      <c r="K88" s="3"/>
    </row>
    <row r="89" customFormat="false" ht="15" hidden="false" customHeight="true" outlineLevel="0" collapsed="false">
      <c r="A89" s="10" t="s">
        <v>282</v>
      </c>
      <c r="B89" s="3"/>
      <c r="C89" s="3"/>
      <c r="D89" s="3"/>
      <c r="E89" s="3"/>
      <c r="F89" s="13" t="n">
        <f aca="false">F88/E88-1</f>
        <v>0.353881463090736</v>
      </c>
      <c r="G89" s="13" t="n">
        <f aca="false">G88/F88-1</f>
        <v>0.177228101524402</v>
      </c>
      <c r="H89" s="13" t="n">
        <f aca="false">H88/G88-1</f>
        <v>0.110215498372499</v>
      </c>
      <c r="I89" s="13" t="n">
        <f aca="false">I88/H88-1</f>
        <v>0.0725732779732256</v>
      </c>
      <c r="J89" s="13" t="n">
        <f aca="false">J88/I88-1</f>
        <v>0.0456115887899566</v>
      </c>
      <c r="K89" s="3"/>
    </row>
    <row r="90" customFormat="false" ht="15" hidden="false" customHeight="true" outlineLevel="0" collapsed="false">
      <c r="A90" s="10" t="s">
        <v>283</v>
      </c>
      <c r="B90" s="3"/>
      <c r="C90" s="3"/>
      <c r="D90" s="3"/>
      <c r="E90" s="3"/>
      <c r="F90" s="19" t="n">
        <f aca="false">F88*(1-F35-F40-F45)-'Income Statement'!F38-'Income Statement'!F27</f>
        <v>7293.2142</v>
      </c>
      <c r="G90" s="19" t="n">
        <f aca="false">G88*(1-G35-G40-G45)-'Income Statement'!G38-'Income Statement'!G27</f>
        <v>9191.7168</v>
      </c>
      <c r="H90" s="19" t="n">
        <f aca="false">H88*(1-H35-H40-H45)-'Income Statement'!H38-'Income Statement'!H27</f>
        <v>11321.619376</v>
      </c>
      <c r="I90" s="19" t="n">
        <f aca="false">I88*(1-I35-I40-I45)-'Income Statement'!I38-'Income Statement'!I27</f>
        <v>13263.17189108</v>
      </c>
      <c r="J90" s="19" t="n">
        <f aca="false">J88*(1-J35-J40-J45)-'Income Statement'!J38-'Income Statement'!J27</f>
        <v>14810.2628736096</v>
      </c>
      <c r="K90" s="3"/>
    </row>
    <row r="91" customFormat="false" ht="15" hidden="false" customHeight="true" outlineLevel="0" collapsed="false">
      <c r="A91" s="10" t="s">
        <v>91</v>
      </c>
      <c r="B91" s="3"/>
      <c r="C91" s="3"/>
      <c r="D91" s="3"/>
      <c r="E91" s="3"/>
      <c r="F91" s="13" t="n">
        <f aca="false">F90/F88</f>
        <v>0.155515249343776</v>
      </c>
      <c r="G91" s="13" t="n">
        <f aca="false">G90/G88</f>
        <v>0.16649071818252</v>
      </c>
      <c r="H91" s="13" t="n">
        <f aca="false">H90/H88</f>
        <v>0.184711806611768</v>
      </c>
      <c r="I91" s="13" t="n">
        <f aca="false">I90/I88</f>
        <v>0.201746742554943</v>
      </c>
      <c r="J91" s="13" t="n">
        <f aca="false">J90/J88</f>
        <v>0.215452487296469</v>
      </c>
      <c r="K91" s="3"/>
    </row>
    <row r="92" customFormat="false" ht="15" hidden="false" customHeight="true" outlineLevel="0" collapsed="false">
      <c r="A92" s="10" t="s">
        <v>284</v>
      </c>
      <c r="B92" s="3"/>
      <c r="C92" s="3"/>
      <c r="D92" s="3"/>
      <c r="E92" s="3"/>
      <c r="F92" s="19" t="n">
        <f aca="false">(F90+'Income Statement'!F46+'Income Statement'!F48)*(1-'Income Statement'!F52)+'Income Statement'!F53</f>
        <v>6565.263454</v>
      </c>
      <c r="G92" s="19" t="n">
        <f aca="false">(G90+'Income Statement'!G46+'Income Statement'!G48)*(1-'Income Statement'!G52)+'Income Statement'!G53</f>
        <v>8244.18693696739</v>
      </c>
      <c r="H92" s="19" t="n">
        <f aca="false">(H90+'Income Statement'!H46+'Income Statement'!H48)*(1-'Income Statement'!H52)+'Income Statement'!H53</f>
        <v>10357.6125845972</v>
      </c>
      <c r="I92" s="19" t="n">
        <f aca="false">(I90+'Income Statement'!I46+'Income Statement'!I48)*(1-'Income Statement'!I52)+'Income Statement'!I53</f>
        <v>12481.928164145</v>
      </c>
      <c r="J92" s="19" t="n">
        <f aca="false">(J90+'Income Statement'!J46+'Income Statement'!J48)*(1-'Income Statement'!J52)+'Income Statement'!J53</f>
        <v>14426.5272122067</v>
      </c>
      <c r="K92" s="3"/>
    </row>
    <row r="93" customFormat="false" ht="15" hidden="false" customHeight="true" outlineLevel="0" collapsed="false">
      <c r="A93" s="10" t="s">
        <v>128</v>
      </c>
      <c r="B93" s="3"/>
      <c r="C93" s="3"/>
      <c r="D93" s="3"/>
      <c r="E93" s="3"/>
      <c r="F93" s="29" t="n">
        <f aca="false">F92/'Income Statement'!F62</f>
        <v>3.96541227398359</v>
      </c>
      <c r="G93" s="29" t="n">
        <f aca="false">G92/'Income Statement'!G62</f>
        <v>4.95470677152869</v>
      </c>
      <c r="H93" s="29" t="n">
        <f aca="false">H92/'Income Statement'!H62</f>
        <v>6.22486287636902</v>
      </c>
      <c r="I93" s="29" t="n">
        <f aca="false">I92/'Income Statement'!I62</f>
        <v>7.53926006512954</v>
      </c>
      <c r="J93" s="29" t="n">
        <f aca="false">J92/'Income Statement'!J62</f>
        <v>8.80184366130295</v>
      </c>
      <c r="K93" s="3"/>
    </row>
    <row r="94" customFormat="false" ht="15" hidden="false" customHeight="true" outlineLevel="0" collapsed="false">
      <c r="A94" s="10" t="s">
        <v>285</v>
      </c>
      <c r="B94" s="3"/>
      <c r="C94" s="3"/>
      <c r="D94" s="3"/>
      <c r="E94" s="3"/>
      <c r="F94" s="19" t="n">
        <f aca="false">F92+'Income Statement'!F38+'Cash Flow Statement'!F12*F88+'Cash Flow Statement'!F8-'Cash Flow Statement'!F28*F88-F48*(F88-E88)</f>
        <v>7527.502954</v>
      </c>
      <c r="G94" s="19" t="n">
        <f aca="false">G92+'Income Statement'!G38+'Cash Flow Statement'!G12*G88+'Cash Flow Statement'!G8-'Cash Flow Statement'!G28*G88-G48*(G88-F88)</f>
        <v>10020.2104369674</v>
      </c>
      <c r="H94" s="19" t="n">
        <f aca="false">H92+'Income Statement'!H38+'Cash Flow Statement'!H12*H88+'Cash Flow Statement'!H8-'Cash Flow Statement'!H28*H88-H48*(H88-G88)</f>
        <v>12863.9888965972</v>
      </c>
      <c r="I94" s="19" t="n">
        <f aca="false">I92+'Income Statement'!I38+'Cash Flow Statement'!I12*I88+'Cash Flow Statement'!I8-'Cash Flow Statement'!I28*I88-I48*(I88-H88)</f>
        <v>15600.761787149</v>
      </c>
      <c r="J94" s="19" t="n">
        <f aca="false">J92+'Income Statement'!J38+'Cash Flow Statement'!J12*J88+'Cash Flow Statement'!J8-'Cash Flow Statement'!J28*J88-J48*(J88-I88)</f>
        <v>17828.9608645514</v>
      </c>
      <c r="K94" s="3"/>
    </row>
    <row r="95" customFormat="false" ht="15" hidden="false" customHeight="true" outlineLevel="0" collapsed="false">
      <c r="A95" s="10" t="s">
        <v>189</v>
      </c>
      <c r="B95" s="3"/>
      <c r="C95" s="3"/>
      <c r="D95" s="3"/>
      <c r="E95" s="3"/>
      <c r="F95" s="13" t="n">
        <f aca="false">F94/F88</f>
        <v>0.160511054073706</v>
      </c>
      <c r="G95" s="13" t="n">
        <f aca="false">G94/G88</f>
        <v>0.181497327244752</v>
      </c>
      <c r="H95" s="13" t="n">
        <f aca="false">H94/H88</f>
        <v>0.209875509007238</v>
      </c>
      <c r="I95" s="13" t="n">
        <f aca="false">I94/I88</f>
        <v>0.237303934366537</v>
      </c>
      <c r="J95" s="13" t="n">
        <f aca="false">J94/J88</f>
        <v>0.259367034667818</v>
      </c>
      <c r="K95" s="3"/>
    </row>
    <row r="96" customFormat="false" ht="1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customFormat="false" ht="15" hidden="false" customHeight="true" outlineLevel="0" collapsed="false">
      <c r="A97" s="7" t="s">
        <v>288</v>
      </c>
      <c r="B97" s="8"/>
      <c r="C97" s="8"/>
      <c r="D97" s="8"/>
      <c r="E97" s="8"/>
      <c r="F97" s="8"/>
      <c r="G97" s="8"/>
      <c r="H97" s="8"/>
      <c r="I97" s="8"/>
      <c r="J97" s="8"/>
      <c r="K97" s="8"/>
    </row>
    <row r="98" customFormat="false" ht="15" hidden="false" customHeight="true" outlineLevel="0" collapsed="false">
      <c r="A98" s="5" t="s">
        <v>289</v>
      </c>
      <c r="B98" s="37"/>
      <c r="C98" s="5" t="s">
        <v>290</v>
      </c>
      <c r="D98" s="5" t="s">
        <v>291</v>
      </c>
      <c r="E98" s="5" t="s">
        <v>292</v>
      </c>
      <c r="F98" s="3"/>
      <c r="G98" s="3"/>
      <c r="H98" s="3"/>
      <c r="I98" s="3"/>
      <c r="J98" s="3"/>
      <c r="K98" s="3"/>
    </row>
    <row r="99" customFormat="false" ht="15" hidden="false" customHeight="true" outlineLevel="0" collapsed="false">
      <c r="A99" s="10" t="s">
        <v>293</v>
      </c>
      <c r="B99" s="3"/>
      <c r="C99" s="12" t="n">
        <f aca="false">J58</f>
        <v>165636.829451236</v>
      </c>
      <c r="D99" s="12" t="n">
        <f aca="false">J73</f>
        <v>119928.566783472</v>
      </c>
      <c r="E99" s="12" t="n">
        <f aca="false">J88</f>
        <v>68740.27336352</v>
      </c>
      <c r="F99" s="3"/>
      <c r="G99" s="3"/>
      <c r="H99" s="3"/>
      <c r="I99" s="3"/>
      <c r="J99" s="3"/>
      <c r="K99" s="3"/>
    </row>
    <row r="100" customFormat="false" ht="15" hidden="false" customHeight="true" outlineLevel="0" collapsed="false">
      <c r="A100" s="10" t="s">
        <v>294</v>
      </c>
      <c r="B100" s="3"/>
      <c r="C100" s="13" t="n">
        <f aca="false">(J58/E58)^(1/5)-1</f>
        <v>0.367471590702638</v>
      </c>
      <c r="D100" s="13" t="n">
        <f aca="false">(J73/E73)^(1/5)-1</f>
        <v>0.281951100663162</v>
      </c>
      <c r="E100" s="13" t="n">
        <f aca="false">(J88/E88)^(1/5)-1</f>
        <v>0.146909583841499</v>
      </c>
      <c r="F100" s="3"/>
      <c r="G100" s="3"/>
      <c r="H100" s="3"/>
      <c r="I100" s="3"/>
      <c r="J100" s="3"/>
      <c r="K100" s="3"/>
    </row>
    <row r="101" customFormat="false" ht="15" hidden="false" customHeight="true" outlineLevel="0" collapsed="false">
      <c r="A101" s="10" t="s">
        <v>295</v>
      </c>
      <c r="B101" s="3"/>
      <c r="C101" s="12" t="n">
        <f aca="false">F58</f>
        <v>51902.25</v>
      </c>
      <c r="D101" s="12" t="n">
        <f aca="false">F73</f>
        <v>49181.72</v>
      </c>
      <c r="E101" s="12" t="n">
        <f aca="false">F88</f>
        <v>46897.1</v>
      </c>
      <c r="F101" s="3"/>
      <c r="G101" s="3"/>
      <c r="H101" s="3"/>
      <c r="I101" s="3"/>
      <c r="J101" s="3"/>
      <c r="K101" s="3"/>
    </row>
    <row r="102" customFormat="false" ht="15" hidden="false" customHeight="true" outlineLevel="0" collapsed="false">
      <c r="A102" s="10" t="s">
        <v>296</v>
      </c>
      <c r="B102" s="3"/>
      <c r="C102" s="13" t="n">
        <f aca="false">F60/F58</f>
        <v>0.190997967332823</v>
      </c>
      <c r="D102" s="13" t="n">
        <f aca="false">F75/F73</f>
        <v>0.175674588037995</v>
      </c>
      <c r="E102" s="13" t="n">
        <f aca="false">F90/F88</f>
        <v>0.155515249343776</v>
      </c>
      <c r="F102" s="3"/>
      <c r="G102" s="3"/>
      <c r="H102" s="3"/>
      <c r="I102" s="3"/>
      <c r="J102" s="3"/>
      <c r="K102" s="3"/>
    </row>
    <row r="103" customFormat="false" ht="15" hidden="false" customHeight="true" outlineLevel="0" collapsed="false">
      <c r="A103" s="10" t="s">
        <v>297</v>
      </c>
      <c r="B103" s="3"/>
      <c r="C103" s="12" t="n">
        <f aca="false">J60</f>
        <v>57801.0744551888</v>
      </c>
      <c r="D103" s="12" t="n">
        <f aca="false">J75</f>
        <v>36177.8557028763</v>
      </c>
      <c r="E103" s="12" t="n">
        <f aca="false">J90</f>
        <v>14810.2628736096</v>
      </c>
      <c r="F103" s="3"/>
      <c r="G103" s="3"/>
      <c r="H103" s="3"/>
      <c r="I103" s="3"/>
      <c r="J103" s="3"/>
      <c r="K103" s="3"/>
    </row>
    <row r="104" customFormat="false" ht="15" hidden="false" customHeight="true" outlineLevel="0" collapsed="false">
      <c r="A104" s="10" t="s">
        <v>298</v>
      </c>
      <c r="B104" s="3"/>
      <c r="C104" s="13" t="n">
        <f aca="false">J60/J58</f>
        <v>0.348962695353968</v>
      </c>
      <c r="D104" s="13" t="n">
        <f aca="false">J75/J73</f>
        <v>0.301661703071917</v>
      </c>
      <c r="E104" s="13" t="n">
        <f aca="false">J90/J88</f>
        <v>0.215452487296469</v>
      </c>
      <c r="F104" s="3"/>
      <c r="G104" s="3"/>
      <c r="H104" s="3"/>
      <c r="I104" s="3"/>
      <c r="J104" s="3"/>
      <c r="K104" s="3"/>
    </row>
    <row r="105" customFormat="false" ht="15" hidden="false" customHeight="true" outlineLevel="0" collapsed="false">
      <c r="A105" s="10" t="s">
        <v>299</v>
      </c>
      <c r="B105" s="3"/>
      <c r="C105" s="12" t="n">
        <f aca="false">J62</f>
        <v>50968.717056549</v>
      </c>
      <c r="D105" s="12" t="n">
        <f aca="false">J77</f>
        <v>32588.9811170834</v>
      </c>
      <c r="E105" s="12" t="n">
        <f aca="false">J92</f>
        <v>14426.5272122067</v>
      </c>
      <c r="F105" s="3"/>
      <c r="G105" s="3"/>
      <c r="H105" s="3"/>
      <c r="I105" s="3"/>
      <c r="J105" s="3"/>
      <c r="K105" s="3"/>
    </row>
    <row r="106" customFormat="false" ht="15" hidden="false" customHeight="true" outlineLevel="0" collapsed="false">
      <c r="A106" s="10" t="s">
        <v>300</v>
      </c>
      <c r="B106" s="3"/>
      <c r="C106" s="25" t="n">
        <f aca="false">J62/'Income Statement'!J62</f>
        <v>31.0967894455805</v>
      </c>
      <c r="D106" s="25" t="n">
        <f aca="false">J77/'Income Statement'!J62</f>
        <v>19.8830330164986</v>
      </c>
      <c r="E106" s="25" t="n">
        <f aca="false">J92/'Income Statement'!J62</f>
        <v>8.80184366130295</v>
      </c>
      <c r="F106" s="3"/>
      <c r="G106" s="3"/>
      <c r="H106" s="3"/>
      <c r="I106" s="3"/>
      <c r="J106" s="3"/>
      <c r="K106" s="3"/>
    </row>
    <row r="107" customFormat="false" ht="15" hidden="false" customHeight="true" outlineLevel="0" collapsed="false">
      <c r="A107" s="10" t="s">
        <v>301</v>
      </c>
      <c r="B107" s="3"/>
      <c r="C107" s="12" t="n">
        <f aca="false">J64</f>
        <v>50638.1529969159</v>
      </c>
      <c r="D107" s="12" t="n">
        <f aca="false">J79</f>
        <v>34107.9433188954</v>
      </c>
      <c r="E107" s="12" t="n">
        <f aca="false">J94</f>
        <v>17828.9608645514</v>
      </c>
      <c r="F107" s="3"/>
      <c r="G107" s="3"/>
      <c r="H107" s="3"/>
      <c r="I107" s="3"/>
      <c r="J107" s="3"/>
      <c r="K107" s="3"/>
    </row>
    <row r="108" customFormat="false" ht="15" hidden="false" customHeight="true" outlineLevel="0" collapsed="false">
      <c r="A108" s="10" t="s">
        <v>302</v>
      </c>
      <c r="B108" s="3"/>
      <c r="C108" s="13" t="n">
        <f aca="false">J64/J58</f>
        <v>0.305717956354772</v>
      </c>
      <c r="D108" s="13" t="n">
        <f aca="false">J79/J73</f>
        <v>0.284402158999168</v>
      </c>
      <c r="E108" s="13" t="n">
        <f aca="false">J94/J88</f>
        <v>0.259367034667818</v>
      </c>
      <c r="F108" s="3"/>
      <c r="G108" s="3"/>
      <c r="H108" s="3"/>
      <c r="I108" s="3"/>
      <c r="J108" s="3"/>
      <c r="K108" s="3"/>
    </row>
    <row r="109" customFormat="false" ht="15" hidden="false" customHeight="true" outlineLevel="0" collapsed="false">
      <c r="A109" s="10" t="s">
        <v>303</v>
      </c>
      <c r="B109" s="3"/>
      <c r="C109" s="12" t="n">
        <f aca="false">SUM(F64:J64)</f>
        <v>143277.94452957</v>
      </c>
      <c r="D109" s="12" t="n">
        <f aca="false">SUM(F79:J79)</f>
        <v>104748.852804471</v>
      </c>
      <c r="E109" s="12" t="n">
        <f aca="false">SUM(F94:J94)</f>
        <v>63841.4249392651</v>
      </c>
      <c r="F109" s="3"/>
      <c r="G109" s="3"/>
      <c r="H109" s="3"/>
      <c r="I109" s="3"/>
      <c r="J109" s="3"/>
      <c r="K109" s="3"/>
    </row>
    <row r="110" customFormat="false" ht="1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</row>
    <row r="111" customFormat="false" ht="15" hidden="false" customHeight="true" outlineLevel="0" collapsed="false">
      <c r="A111" s="4" t="s">
        <v>304</v>
      </c>
      <c r="B111" s="3"/>
      <c r="C111" s="28" t="n">
        <f aca="false">CHOOSE($C$4,J58,J73,J88)-'Income Statement'!J9</f>
        <v>0</v>
      </c>
      <c r="D111" s="3"/>
      <c r="E111" s="3"/>
      <c r="F111" s="3"/>
      <c r="G111" s="3"/>
      <c r="H111" s="3"/>
      <c r="I111" s="3"/>
      <c r="J111" s="3"/>
      <c r="K111" s="3"/>
    </row>
    <row r="112" customFormat="false" ht="15" hidden="false" customHeight="true" outlineLevel="0" collapsed="false">
      <c r="A112" s="4" t="s">
        <v>305</v>
      </c>
      <c r="B112" s="3"/>
      <c r="C112" s="28" t="n">
        <f aca="false">CHOOSE($C$4,J60,J75,J90)-'Income Statement'!J31</f>
        <v>0</v>
      </c>
      <c r="D112" s="3"/>
      <c r="E112" s="3"/>
      <c r="F112" s="3"/>
      <c r="G112" s="3"/>
      <c r="H112" s="3"/>
      <c r="I112" s="3"/>
      <c r="J112" s="3"/>
      <c r="K112" s="3"/>
    </row>
    <row r="113" customFormat="false" ht="1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</row>
    <row r="114" customFormat="false" ht="15" hidden="false" customHeight="true" outlineLevel="0" collapsed="false">
      <c r="A114" s="4" t="s">
        <v>306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</row>
    <row r="115" customFormat="false" ht="15" hidden="false" customHeight="true" outlineLevel="0" collapsed="false">
      <c r="A115" s="4" t="s">
        <v>307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</row>
    <row r="116" customFormat="false" ht="15" hidden="false" customHeight="true" outlineLevel="0" collapsed="false">
      <c r="A116" s="4" t="s">
        <v>308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10" min="2" style="1" width="12"/>
    <col collapsed="false" customWidth="true" hidden="false" outlineLevel="0" max="11" min="11" style="1" width="70"/>
  </cols>
  <sheetData>
    <row r="1" customFormat="false" ht="17.25" hidden="false" customHeight="true" outlineLevel="0" collapsed="false">
      <c r="A1" s="2" t="s">
        <v>309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customFormat="false" ht="15" hidden="false" customHeight="true" outlineLevel="0" collapsed="false">
      <c r="A2" s="4" t="s">
        <v>310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15" hidden="false" customHeight="true" outlineLevel="0" collapsed="false">
      <c r="A4" s="5" t="s">
        <v>2</v>
      </c>
      <c r="B4" s="5"/>
      <c r="C4" s="6" t="s">
        <v>3</v>
      </c>
      <c r="D4" s="6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9</v>
      </c>
      <c r="J4" s="6" t="s">
        <v>10</v>
      </c>
      <c r="K4" s="5" t="s">
        <v>11</v>
      </c>
    </row>
    <row r="5" customFormat="false" ht="15" hidden="false" customHeight="true" outlineLevel="0" collapsed="false">
      <c r="A5" s="7" t="s">
        <v>311</v>
      </c>
      <c r="B5" s="8"/>
      <c r="C5" s="8"/>
      <c r="D5" s="8"/>
      <c r="E5" s="8"/>
      <c r="F5" s="8"/>
      <c r="G5" s="8"/>
      <c r="H5" s="8"/>
      <c r="I5" s="8"/>
      <c r="J5" s="8"/>
      <c r="K5" s="8"/>
    </row>
    <row r="6" customFormat="false" ht="15" hidden="false" customHeight="true" outlineLevel="0" collapsed="false">
      <c r="A6" s="10" t="s">
        <v>312</v>
      </c>
      <c r="B6" s="3"/>
      <c r="C6" s="19" t="n">
        <f aca="false">'Income Statement'!C9</f>
        <v>22680</v>
      </c>
      <c r="D6" s="19" t="n">
        <f aca="false">'Income Statement'!D9</f>
        <v>25785</v>
      </c>
      <c r="E6" s="19" t="n">
        <f aca="false">'Income Statement'!E9</f>
        <v>34639</v>
      </c>
      <c r="F6" s="19" t="n">
        <f aca="false">'Income Statement'!F9</f>
        <v>49181.72</v>
      </c>
      <c r="G6" s="19" t="n">
        <f aca="false">'Income Statement'!G9</f>
        <v>68483.228</v>
      </c>
      <c r="H6" s="19" t="n">
        <f aca="false">'Income Statement'!H9</f>
        <v>87344.2002</v>
      </c>
      <c r="I6" s="19" t="n">
        <f aca="false">'Income Statement'!I9</f>
        <v>105056.018076</v>
      </c>
      <c r="J6" s="19" t="n">
        <f aca="false">'Income Statement'!J9</f>
        <v>119928.566783472</v>
      </c>
      <c r="K6" s="3"/>
    </row>
    <row r="7" customFormat="false" ht="15" hidden="false" customHeight="true" outlineLevel="0" collapsed="false">
      <c r="A7" s="10" t="s">
        <v>97</v>
      </c>
      <c r="B7" s="3"/>
      <c r="C7" s="19" t="n">
        <f aca="false">'Income Statement'!C39</f>
        <v>3854</v>
      </c>
      <c r="D7" s="19" t="n">
        <f aca="false">'Income Statement'!D39</f>
        <v>4965</v>
      </c>
      <c r="E7" s="19" t="n">
        <f aca="false">'Income Statement'!E39</f>
        <v>6698</v>
      </c>
      <c r="F7" s="19" t="n">
        <f aca="false">'Income Statement'!F39</f>
        <v>11675.4184</v>
      </c>
      <c r="G7" s="19" t="n">
        <f aca="false">'Income Statement'!G39</f>
        <v>18569.59602</v>
      </c>
      <c r="H7" s="19" t="n">
        <f aca="false">'Income Statement'!H39</f>
        <v>26509.3588848</v>
      </c>
      <c r="I7" s="19" t="n">
        <f aca="false">'Income Statement'!I39</f>
        <v>34102.878767904</v>
      </c>
      <c r="J7" s="19" t="n">
        <f aca="false">'Income Statement'!J39</f>
        <v>40167.557344376</v>
      </c>
      <c r="K7" s="3"/>
    </row>
    <row r="8" customFormat="false" ht="15" hidden="false" customHeight="true" outlineLevel="0" collapsed="false">
      <c r="A8" s="10" t="s">
        <v>313</v>
      </c>
      <c r="B8" s="3"/>
      <c r="C8" s="19" t="n">
        <f aca="false">'Income Statement'!C31</f>
        <v>401</v>
      </c>
      <c r="D8" s="19" t="n">
        <f aca="false">'Income Statement'!D31</f>
        <v>1900</v>
      </c>
      <c r="E8" s="19" t="n">
        <f aca="false">'Income Statement'!E31</f>
        <v>3694</v>
      </c>
      <c r="F8" s="19" t="n">
        <f aca="false">'Income Statement'!F31</f>
        <v>8639.9784</v>
      </c>
      <c r="G8" s="19" t="n">
        <f aca="false">'Income Statement'!G31</f>
        <v>15270.807</v>
      </c>
      <c r="H8" s="19" t="n">
        <f aca="false">'Income Statement'!H31</f>
        <v>22906.376056</v>
      </c>
      <c r="I8" s="19" t="n">
        <f aca="false">'Income Statement'!I31</f>
        <v>30316.8054228</v>
      </c>
      <c r="J8" s="19" t="n">
        <f aca="false">'Income Statement'!J31</f>
        <v>36177.8557028763</v>
      </c>
      <c r="K8" s="3"/>
    </row>
    <row r="9" customFormat="false" ht="15" hidden="false" customHeight="true" outlineLevel="0" collapsed="false">
      <c r="A9" s="10" t="s">
        <v>314</v>
      </c>
      <c r="B9" s="3"/>
      <c r="C9" s="3"/>
      <c r="D9" s="3"/>
      <c r="E9" s="3"/>
      <c r="F9" s="14" t="n">
        <f aca="false">'Income Statement'!F52</f>
        <v>0.13</v>
      </c>
      <c r="G9" s="14" t="n">
        <f aca="false">'Income Statement'!G52</f>
        <v>0.15</v>
      </c>
      <c r="H9" s="14" t="n">
        <f aca="false">'Income Statement'!H52</f>
        <v>0.15</v>
      </c>
      <c r="I9" s="14" t="n">
        <f aca="false">'Income Statement'!I52</f>
        <v>0.15</v>
      </c>
      <c r="J9" s="14" t="n">
        <f aca="false">'Income Statement'!J52</f>
        <v>0.15</v>
      </c>
      <c r="K9" s="3"/>
    </row>
    <row r="10" customFormat="false" ht="15" hidden="false" customHeight="true" outlineLevel="0" collapsed="false">
      <c r="A10" s="10" t="s">
        <v>315</v>
      </c>
      <c r="B10" s="3"/>
      <c r="C10" s="3"/>
      <c r="D10" s="3"/>
      <c r="E10" s="3"/>
      <c r="F10" s="12" t="n">
        <f aca="false">-F8*F9</f>
        <v>-1123.197192</v>
      </c>
      <c r="G10" s="12" t="n">
        <f aca="false">-G8*G9</f>
        <v>-2290.62105</v>
      </c>
      <c r="H10" s="12" t="n">
        <f aca="false">-H8*H9</f>
        <v>-3435.9564084</v>
      </c>
      <c r="I10" s="12" t="n">
        <f aca="false">-I8*I9</f>
        <v>-4547.52081342</v>
      </c>
      <c r="J10" s="12" t="n">
        <f aca="false">-J8*J9</f>
        <v>-5426.67835543145</v>
      </c>
      <c r="K10" s="3"/>
    </row>
    <row r="11" customFormat="false" ht="15" hidden="false" customHeight="true" outlineLevel="0" collapsed="false">
      <c r="A11" s="21" t="s">
        <v>316</v>
      </c>
      <c r="B11" s="3"/>
      <c r="C11" s="17"/>
      <c r="D11" s="17"/>
      <c r="E11" s="17"/>
      <c r="F11" s="22" t="n">
        <f aca="false">F8+F10</f>
        <v>7516.781208</v>
      </c>
      <c r="G11" s="22" t="n">
        <f aca="false">G8+G10</f>
        <v>12980.18595</v>
      </c>
      <c r="H11" s="22" t="n">
        <f aca="false">H8+H10</f>
        <v>19470.4196476</v>
      </c>
      <c r="I11" s="22" t="n">
        <f aca="false">I8+I10</f>
        <v>25769.28460938</v>
      </c>
      <c r="J11" s="22" t="n">
        <f aca="false">J8+J10</f>
        <v>30751.1773474449</v>
      </c>
      <c r="K11" s="3"/>
    </row>
    <row r="12" customFormat="false" ht="15" hidden="false" customHeight="true" outlineLevel="0" collapsed="false">
      <c r="A12" s="10" t="s">
        <v>317</v>
      </c>
      <c r="B12" s="3"/>
      <c r="C12" s="3"/>
      <c r="D12" s="3"/>
      <c r="E12" s="3"/>
      <c r="F12" s="19" t="n">
        <f aca="false">'Cash Flow Statement'!F8</f>
        <v>855.44</v>
      </c>
      <c r="G12" s="19" t="n">
        <f aca="false">'Cash Flow Statement'!G8</f>
        <v>1448.78902</v>
      </c>
      <c r="H12" s="19" t="n">
        <f aca="false">'Cash Flow Statement'!H8</f>
        <v>2052.9828288</v>
      </c>
      <c r="I12" s="19" t="n">
        <f aca="false">'Cash Flow Statement'!I8</f>
        <v>2586.073345104</v>
      </c>
      <c r="J12" s="19" t="n">
        <f aca="false">'Cash Flow Statement'!J8</f>
        <v>2989.70164149972</v>
      </c>
      <c r="K12" s="3"/>
    </row>
    <row r="13" customFormat="false" ht="15" hidden="false" customHeight="true" outlineLevel="0" collapsed="false">
      <c r="A13" s="10" t="s">
        <v>318</v>
      </c>
      <c r="B13" s="3"/>
      <c r="C13" s="3"/>
      <c r="D13" s="3"/>
      <c r="E13" s="3"/>
      <c r="F13" s="19" t="n">
        <f aca="false">'Cash Flow Statement'!F10</f>
        <v>2180</v>
      </c>
      <c r="G13" s="19" t="n">
        <f aca="false">'Cash Flow Statement'!G10</f>
        <v>1850</v>
      </c>
      <c r="H13" s="19" t="n">
        <f aca="false">'Cash Flow Statement'!H10</f>
        <v>1550</v>
      </c>
      <c r="I13" s="19" t="n">
        <f aca="false">'Cash Flow Statement'!I10</f>
        <v>1200</v>
      </c>
      <c r="J13" s="19" t="n">
        <f aca="false">'Cash Flow Statement'!J10</f>
        <v>1000</v>
      </c>
      <c r="K13" s="3"/>
    </row>
    <row r="14" customFormat="false" ht="15" hidden="false" customHeight="true" outlineLevel="0" collapsed="false">
      <c r="A14" s="10" t="s">
        <v>319</v>
      </c>
      <c r="B14" s="3"/>
      <c r="C14" s="3"/>
      <c r="D14" s="3"/>
      <c r="E14" s="3"/>
      <c r="F14" s="19" t="n">
        <f aca="false">'Cash Flow Statement'!F27</f>
        <v>-2459.086</v>
      </c>
      <c r="G14" s="19" t="n">
        <f aca="false">'Cash Flow Statement'!G27</f>
        <v>-3081.74526</v>
      </c>
      <c r="H14" s="19" t="n">
        <f aca="false">'Cash Flow Statement'!H27</f>
        <v>-3493.768008</v>
      </c>
      <c r="I14" s="19" t="n">
        <f aca="false">'Cash Flow Statement'!I27</f>
        <v>-3676.96063266</v>
      </c>
      <c r="J14" s="19" t="n">
        <f aca="false">'Cash Flow Statement'!J27</f>
        <v>-4197.49983742152</v>
      </c>
      <c r="K14" s="3"/>
    </row>
    <row r="15" customFormat="false" ht="15" hidden="false" customHeight="true" outlineLevel="0" collapsed="false">
      <c r="A15" s="10" t="s">
        <v>320</v>
      </c>
      <c r="B15" s="3"/>
      <c r="C15" s="3"/>
      <c r="D15" s="3"/>
      <c r="E15" s="3"/>
      <c r="F15" s="19" t="n">
        <f aca="false">-('Balance Sheet'!F56-'Balance Sheet'!E56)</f>
        <v>-1630.91140657534</v>
      </c>
      <c r="G15" s="19" t="n">
        <f aca="false">-('Balance Sheet'!G56-'Balance Sheet'!F56)</f>
        <v>-2782.62823386301</v>
      </c>
      <c r="H15" s="19" t="n">
        <f aca="false">-('Balance Sheet'!H56-'Balance Sheet'!G56)</f>
        <v>-2212.96929399726</v>
      </c>
      <c r="I15" s="19" t="n">
        <f aca="false">-('Balance Sheet'!I56-'Balance Sheet'!H56)</f>
        <v>-2201.51562763101</v>
      </c>
      <c r="J15" s="19" t="n">
        <f aca="false">-('Balance Sheet'!J56-'Balance Sheet'!I56)</f>
        <v>-1633.11758723944</v>
      </c>
      <c r="K15" s="3"/>
    </row>
    <row r="16" customFormat="false" ht="15" hidden="false" customHeight="true" outlineLevel="0" collapsed="false">
      <c r="A16" s="15" t="s">
        <v>311</v>
      </c>
      <c r="B16" s="3"/>
      <c r="C16" s="17"/>
      <c r="D16" s="17"/>
      <c r="E16" s="17"/>
      <c r="F16" s="16" t="n">
        <f aca="false">F11+F12+F13+F14+F15</f>
        <v>6462.22380142466</v>
      </c>
      <c r="G16" s="16" t="n">
        <f aca="false">G11+G12+G13+G14+G15</f>
        <v>10414.601476137</v>
      </c>
      <c r="H16" s="16" t="n">
        <f aca="false">H11+H12+H13+H14+H15</f>
        <v>17366.6651744027</v>
      </c>
      <c r="I16" s="16" t="n">
        <f aca="false">I11+I12+I13+I14+I15</f>
        <v>23676.881694193</v>
      </c>
      <c r="J16" s="16" t="n">
        <f aca="false">J11+J12+J13+J14+J15</f>
        <v>28910.2615642836</v>
      </c>
      <c r="K16" s="3"/>
    </row>
    <row r="17" customFormat="false" ht="15" hidden="false" customHeight="true" outlineLevel="0" collapsed="false">
      <c r="A17" s="10" t="s">
        <v>321</v>
      </c>
      <c r="B17" s="3"/>
      <c r="C17" s="3"/>
      <c r="D17" s="3"/>
      <c r="E17" s="3"/>
      <c r="F17" s="13" t="n">
        <f aca="false">F16/F6</f>
        <v>0.131394831279277</v>
      </c>
      <c r="G17" s="13" t="n">
        <f aca="false">G16/G6</f>
        <v>0.152075212870179</v>
      </c>
      <c r="H17" s="13" t="n">
        <f aca="false">H16/H6</f>
        <v>0.198830204348276</v>
      </c>
      <c r="I17" s="13" t="n">
        <f aca="false">I16/I6</f>
        <v>0.225373873175591</v>
      </c>
      <c r="J17" s="13" t="n">
        <f aca="false">J16/J6</f>
        <v>0.241062345191537</v>
      </c>
      <c r="K17" s="3"/>
    </row>
    <row r="18" customFormat="false" ht="15" hidden="false" customHeight="true" outlineLevel="0" collapsed="false">
      <c r="A18" s="10" t="s">
        <v>322</v>
      </c>
      <c r="B18" s="3"/>
      <c r="C18" s="3"/>
      <c r="D18" s="3"/>
      <c r="E18" s="3"/>
      <c r="F18" s="19" t="n">
        <f aca="false">'Cash Flow Statement'!F11</f>
        <v>2213.1774</v>
      </c>
      <c r="G18" s="19" t="n">
        <f aca="false">'Cash Flow Statement'!G11</f>
        <v>2739.32912</v>
      </c>
      <c r="H18" s="19" t="n">
        <f aca="false">'Cash Flow Statement'!H11</f>
        <v>3231.7354074</v>
      </c>
      <c r="I18" s="19" t="n">
        <f aca="false">'Cash Flow Statement'!I11</f>
        <v>3676.96063266</v>
      </c>
      <c r="J18" s="19" t="n">
        <f aca="false">'Cash Flow Statement'!J11</f>
        <v>3957.64270385458</v>
      </c>
      <c r="K18" s="3"/>
    </row>
    <row r="19" customFormat="false" ht="1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customFormat="false" ht="15" hidden="false" customHeight="true" outlineLevel="0" collapsed="false">
      <c r="A20" s="7" t="s">
        <v>323</v>
      </c>
      <c r="B20" s="8"/>
      <c r="C20" s="8"/>
      <c r="D20" s="8"/>
      <c r="E20" s="8"/>
      <c r="F20" s="8"/>
      <c r="G20" s="8"/>
      <c r="H20" s="8"/>
      <c r="I20" s="8"/>
      <c r="J20" s="8"/>
      <c r="K20" s="8"/>
    </row>
    <row r="21" customFormat="false" ht="15" hidden="false" customHeight="true" outlineLevel="0" collapsed="false">
      <c r="A21" s="3" t="s">
        <v>293</v>
      </c>
      <c r="B21" s="3"/>
      <c r="C21" s="12" t="n">
        <f aca="false">J6</f>
        <v>119928.566783472</v>
      </c>
      <c r="D21" s="3"/>
      <c r="E21" s="3"/>
      <c r="F21" s="3"/>
      <c r="G21" s="3"/>
      <c r="H21" s="3"/>
      <c r="I21" s="3"/>
      <c r="J21" s="3"/>
      <c r="K21" s="3"/>
    </row>
    <row r="22" customFormat="false" ht="15" hidden="false" customHeight="true" outlineLevel="0" collapsed="false">
      <c r="A22" s="3" t="s">
        <v>324</v>
      </c>
      <c r="B22" s="3"/>
      <c r="C22" s="12" t="n">
        <f aca="false">J7</f>
        <v>40167.557344376</v>
      </c>
      <c r="D22" s="3"/>
      <c r="E22" s="3"/>
      <c r="F22" s="3"/>
      <c r="G22" s="3"/>
      <c r="H22" s="3"/>
      <c r="I22" s="3"/>
      <c r="J22" s="3"/>
      <c r="K22" s="3"/>
    </row>
    <row r="23" customFormat="false" ht="15" hidden="false" customHeight="true" outlineLevel="0" collapsed="false">
      <c r="A23" s="3" t="s">
        <v>325</v>
      </c>
      <c r="B23" s="3"/>
      <c r="C23" s="12" t="n">
        <f aca="false">J8</f>
        <v>36177.8557028763</v>
      </c>
      <c r="D23" s="3"/>
      <c r="E23" s="3"/>
      <c r="F23" s="3"/>
      <c r="G23" s="3"/>
      <c r="H23" s="3"/>
      <c r="I23" s="3"/>
      <c r="J23" s="3"/>
      <c r="K23" s="3"/>
    </row>
    <row r="24" customFormat="false" ht="15" hidden="false" customHeight="true" outlineLevel="0" collapsed="false">
      <c r="A24" s="3" t="s">
        <v>326</v>
      </c>
      <c r="B24" s="3"/>
      <c r="C24" s="12" t="n">
        <f aca="false">J16</f>
        <v>28910.2615642836</v>
      </c>
      <c r="D24" s="3"/>
      <c r="E24" s="3"/>
      <c r="F24" s="3"/>
      <c r="G24" s="3"/>
      <c r="H24" s="3"/>
      <c r="I24" s="3"/>
      <c r="J24" s="3"/>
      <c r="K24" s="3"/>
    </row>
    <row r="25" customFormat="false" ht="15" hidden="false" customHeight="true" outlineLevel="0" collapsed="false">
      <c r="A25" s="3" t="s">
        <v>299</v>
      </c>
      <c r="B25" s="3"/>
      <c r="C25" s="12" t="n">
        <f aca="false">'Income Statement'!J56</f>
        <v>32588.9811170834</v>
      </c>
      <c r="D25" s="3"/>
      <c r="E25" s="3"/>
      <c r="F25" s="3"/>
      <c r="G25" s="3"/>
      <c r="H25" s="3"/>
      <c r="I25" s="3"/>
      <c r="J25" s="3"/>
      <c r="K25" s="3"/>
    </row>
    <row r="26" customFormat="false" ht="15" hidden="false" customHeight="true" outlineLevel="0" collapsed="false">
      <c r="A26" s="3" t="s">
        <v>300</v>
      </c>
      <c r="B26" s="3"/>
      <c r="C26" s="25" t="n">
        <f aca="false">'Income Statement'!J66</f>
        <v>19.8830330164986</v>
      </c>
      <c r="D26" s="3"/>
      <c r="E26" s="3"/>
      <c r="F26" s="3"/>
      <c r="G26" s="3"/>
      <c r="H26" s="3"/>
      <c r="I26" s="3"/>
      <c r="J26" s="3"/>
      <c r="K26" s="3"/>
    </row>
    <row r="27" customFormat="false" ht="1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customFormat="false" ht="15" hidden="false" customHeight="true" outlineLevel="0" collapsed="false">
      <c r="A28" s="7" t="s">
        <v>327</v>
      </c>
      <c r="B28" s="8"/>
      <c r="C28" s="8"/>
      <c r="D28" s="8"/>
      <c r="E28" s="8"/>
      <c r="F28" s="8"/>
      <c r="G28" s="8"/>
      <c r="H28" s="8"/>
      <c r="I28" s="8"/>
      <c r="J28" s="8"/>
      <c r="K28" s="8"/>
    </row>
    <row r="29" customFormat="false" ht="15" hidden="false" customHeight="true" outlineLevel="0" collapsed="false">
      <c r="A29" s="3" t="s">
        <v>328</v>
      </c>
      <c r="B29" s="3"/>
      <c r="C29" s="24" t="n">
        <v>605.53</v>
      </c>
      <c r="D29" s="3"/>
      <c r="E29" s="3"/>
      <c r="F29" s="3"/>
      <c r="G29" s="3"/>
      <c r="H29" s="3"/>
      <c r="I29" s="3"/>
      <c r="J29" s="3"/>
      <c r="K29" s="4" t="s">
        <v>329</v>
      </c>
    </row>
    <row r="30" customFormat="false" ht="15" hidden="false" customHeight="true" outlineLevel="0" collapsed="false">
      <c r="A30" s="3" t="s">
        <v>330</v>
      </c>
      <c r="B30" s="3"/>
      <c r="C30" s="11" t="n">
        <v>1659</v>
      </c>
      <c r="D30" s="3"/>
      <c r="E30" s="3"/>
      <c r="F30" s="3"/>
      <c r="G30" s="3"/>
      <c r="H30" s="3"/>
      <c r="I30" s="3"/>
      <c r="J30" s="3"/>
      <c r="K30" s="4" t="s">
        <v>331</v>
      </c>
    </row>
    <row r="31" customFormat="false" ht="15" hidden="false" customHeight="true" outlineLevel="0" collapsed="false">
      <c r="A31" s="3" t="s">
        <v>332</v>
      </c>
      <c r="B31" s="3"/>
      <c r="C31" s="12" t="n">
        <f aca="false">C29*C30</f>
        <v>1004574.27</v>
      </c>
      <c r="D31" s="3"/>
      <c r="E31" s="3"/>
      <c r="F31" s="3"/>
      <c r="G31" s="3"/>
      <c r="H31" s="3"/>
      <c r="I31" s="3"/>
      <c r="J31" s="3"/>
      <c r="K31" s="4" t="s">
        <v>333</v>
      </c>
    </row>
    <row r="32" customFormat="false" ht="15" hidden="false" customHeight="true" outlineLevel="0" collapsed="false">
      <c r="A32" s="3" t="s">
        <v>334</v>
      </c>
      <c r="B32" s="3"/>
      <c r="C32" s="11" t="n">
        <v>3226</v>
      </c>
      <c r="D32" s="3"/>
      <c r="E32" s="3"/>
      <c r="F32" s="3"/>
      <c r="G32" s="3"/>
      <c r="H32" s="3"/>
      <c r="I32" s="3"/>
      <c r="J32" s="3"/>
      <c r="K32" s="4" t="s">
        <v>335</v>
      </c>
    </row>
    <row r="33" customFormat="false" ht="15" hidden="false" customHeight="true" outlineLevel="0" collapsed="false">
      <c r="A33" s="3" t="s">
        <v>336</v>
      </c>
      <c r="B33" s="3"/>
      <c r="C33" s="11" t="n">
        <v>13111</v>
      </c>
      <c r="D33" s="3"/>
      <c r="E33" s="3"/>
      <c r="F33" s="3"/>
      <c r="G33" s="3"/>
      <c r="H33" s="3"/>
      <c r="I33" s="3"/>
      <c r="J33" s="3"/>
      <c r="K33" s="4" t="s">
        <v>337</v>
      </c>
    </row>
    <row r="34" customFormat="false" ht="15" hidden="false" customHeight="true" outlineLevel="0" collapsed="false">
      <c r="A34" s="3" t="s">
        <v>338</v>
      </c>
      <c r="B34" s="3"/>
      <c r="C34" s="12" t="n">
        <f aca="false">C31+C32-C33</f>
        <v>994689.27</v>
      </c>
      <c r="D34" s="3"/>
      <c r="E34" s="3"/>
      <c r="F34" s="3"/>
      <c r="G34" s="3"/>
      <c r="H34" s="3"/>
      <c r="I34" s="3"/>
      <c r="J34" s="3"/>
      <c r="K34" s="4" t="s">
        <v>339</v>
      </c>
    </row>
    <row r="35" customFormat="false" ht="15" hidden="false" customHeight="true" outlineLevel="0" collapsed="false">
      <c r="A35" s="3" t="s">
        <v>340</v>
      </c>
      <c r="B35" s="3"/>
      <c r="C35" s="33" t="n">
        <f aca="false">C34/F6</f>
        <v>20.2247759940075</v>
      </c>
      <c r="D35" s="3"/>
      <c r="E35" s="3"/>
      <c r="F35" s="3"/>
      <c r="G35" s="3"/>
      <c r="H35" s="3"/>
      <c r="I35" s="3"/>
      <c r="J35" s="3"/>
      <c r="K35" s="4"/>
    </row>
    <row r="36" customFormat="false" ht="15" hidden="false" customHeight="true" outlineLevel="0" collapsed="false">
      <c r="A36" s="3" t="s">
        <v>341</v>
      </c>
      <c r="B36" s="3"/>
      <c r="C36" s="33" t="n">
        <f aca="false">C34/F7</f>
        <v>85.1951712497087</v>
      </c>
      <c r="D36" s="3"/>
      <c r="E36" s="3"/>
      <c r="F36" s="3"/>
      <c r="G36" s="3"/>
      <c r="H36" s="3"/>
      <c r="I36" s="3"/>
      <c r="J36" s="3"/>
      <c r="K36" s="4"/>
    </row>
    <row r="37" customFormat="false" ht="15" hidden="false" customHeight="true" outlineLevel="0" collapsed="false">
      <c r="A37" s="3" t="s">
        <v>342</v>
      </c>
      <c r="B37" s="3"/>
      <c r="C37" s="33" t="n">
        <f aca="false">C29/'Income Statement'!F66</f>
        <v>129.577555006201</v>
      </c>
      <c r="D37" s="3"/>
      <c r="E37" s="3"/>
      <c r="F37" s="3"/>
      <c r="G37" s="3"/>
      <c r="H37" s="3"/>
      <c r="I37" s="3"/>
      <c r="J37" s="3"/>
      <c r="K37" s="4"/>
    </row>
    <row r="38" customFormat="false" ht="15" hidden="false" customHeight="true" outlineLevel="0" collapsed="false">
      <c r="A38" s="3" t="s">
        <v>343</v>
      </c>
      <c r="B38" s="3"/>
      <c r="C38" s="11" t="n">
        <v>160</v>
      </c>
      <c r="D38" s="3"/>
      <c r="E38" s="3"/>
      <c r="F38" s="3"/>
      <c r="G38" s="3"/>
      <c r="H38" s="3"/>
      <c r="I38" s="3"/>
      <c r="J38" s="3"/>
      <c r="K38" s="4" t="s">
        <v>344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2"/>
    <col collapsed="false" customWidth="true" hidden="false" outlineLevel="0" max="12" min="3" style="1" width="11"/>
    <col collapsed="false" customWidth="true" hidden="false" outlineLevel="0" max="13" min="13" style="1" width="4"/>
    <col collapsed="false" customWidth="true" hidden="false" outlineLevel="0" max="14" min="14" style="1" width="85"/>
  </cols>
  <sheetData>
    <row r="1" customFormat="false" ht="17.25" hidden="false" customHeight="true" outlineLevel="0" collapsed="false">
      <c r="A1" s="2" t="s">
        <v>345</v>
      </c>
    </row>
    <row r="2" customFormat="false" ht="15" hidden="false" customHeight="true" outlineLevel="0" collapsed="false">
      <c r="A2" s="4" t="s">
        <v>346</v>
      </c>
    </row>
    <row r="4" customFormat="false" ht="15" hidden="false" customHeight="true" outlineLevel="0" collapsed="false">
      <c r="A4" s="7" t="s">
        <v>347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</row>
    <row r="5" customFormat="false" ht="15" hidden="false" customHeight="true" outlineLevel="0" collapsed="false">
      <c r="A5" s="10" t="s">
        <v>348</v>
      </c>
      <c r="C5" s="18" t="n">
        <v>0.0521</v>
      </c>
      <c r="N5" s="4" t="s">
        <v>349</v>
      </c>
    </row>
    <row r="6" customFormat="false" ht="15" hidden="false" customHeight="true" outlineLevel="0" collapsed="false">
      <c r="A6" s="10" t="s">
        <v>350</v>
      </c>
      <c r="C6" s="39" t="n">
        <v>2.45</v>
      </c>
      <c r="N6" s="4" t="s">
        <v>351</v>
      </c>
    </row>
    <row r="7" customFormat="false" ht="15" hidden="false" customHeight="true" outlineLevel="0" collapsed="false">
      <c r="A7" s="10" t="s">
        <v>352</v>
      </c>
      <c r="C7" s="40" t="n">
        <f aca="false">0.67*C6+0.33</f>
        <v>1.9715</v>
      </c>
      <c r="N7" s="4" t="s">
        <v>353</v>
      </c>
    </row>
    <row r="8" customFormat="false" ht="15" hidden="false" customHeight="true" outlineLevel="0" collapsed="false">
      <c r="A8" s="10" t="s">
        <v>354</v>
      </c>
      <c r="C8" s="41" t="n">
        <f aca="false">Comps!I12</f>
        <v>1.935</v>
      </c>
      <c r="N8" s="4" t="s">
        <v>355</v>
      </c>
    </row>
    <row r="9" customFormat="false" ht="15" hidden="false" customHeight="true" outlineLevel="0" collapsed="false">
      <c r="A9" s="10" t="s">
        <v>356</v>
      </c>
      <c r="C9" s="40" t="n">
        <f aca="false">AVERAGE(C7,C8)</f>
        <v>1.95325</v>
      </c>
      <c r="N9" s="4"/>
    </row>
    <row r="10" customFormat="false" ht="15" hidden="false" customHeight="true" outlineLevel="0" collapsed="false">
      <c r="A10" s="10" t="s">
        <v>357</v>
      </c>
      <c r="C10" s="42" t="n">
        <v>0.05</v>
      </c>
      <c r="N10" s="4" t="s">
        <v>358</v>
      </c>
    </row>
    <row r="11" customFormat="false" ht="15" hidden="false" customHeight="true" outlineLevel="0" collapsed="false">
      <c r="A11" s="9" t="s">
        <v>359</v>
      </c>
      <c r="C11" s="13" t="n">
        <f aca="false">C5+C9*C10</f>
        <v>0.1497625</v>
      </c>
      <c r="N11" s="4"/>
    </row>
    <row r="12" customFormat="false" ht="15" hidden="false" customHeight="true" outlineLevel="0" collapsed="false">
      <c r="A12" s="10" t="s">
        <v>360</v>
      </c>
      <c r="C12" s="18" t="n">
        <v>0.01</v>
      </c>
      <c r="N12" s="4" t="s">
        <v>361</v>
      </c>
    </row>
    <row r="13" customFormat="false" ht="15" hidden="false" customHeight="true" outlineLevel="0" collapsed="false">
      <c r="A13" s="10" t="s">
        <v>362</v>
      </c>
      <c r="C13" s="13" t="n">
        <f aca="false">C5+C12</f>
        <v>0.0621</v>
      </c>
      <c r="N13" s="4"/>
    </row>
    <row r="14" customFormat="false" ht="15" hidden="false" customHeight="true" outlineLevel="0" collapsed="false">
      <c r="A14" s="10" t="s">
        <v>363</v>
      </c>
      <c r="C14" s="14" t="n">
        <f aca="false">'Income Statement'!G52</f>
        <v>0.15</v>
      </c>
      <c r="N14" s="4" t="s">
        <v>364</v>
      </c>
    </row>
    <row r="15" customFormat="false" ht="15" hidden="false" customHeight="true" outlineLevel="0" collapsed="false">
      <c r="A15" s="10" t="s">
        <v>365</v>
      </c>
      <c r="C15" s="13" t="n">
        <f aca="false">C13*(1-C14)</f>
        <v>0.052785</v>
      </c>
      <c r="N15" s="4"/>
    </row>
    <row r="16" customFormat="false" ht="15" hidden="false" customHeight="true" outlineLevel="0" collapsed="false">
      <c r="A16" s="10" t="s">
        <v>366</v>
      </c>
      <c r="C16" s="19" t="n">
        <f aca="false">'DCF Inputs'!$C$31</f>
        <v>1004574.27</v>
      </c>
      <c r="N16" s="4" t="s">
        <v>367</v>
      </c>
    </row>
    <row r="17" customFormat="false" ht="15" hidden="false" customHeight="true" outlineLevel="0" collapsed="false">
      <c r="A17" s="10" t="s">
        <v>368</v>
      </c>
      <c r="C17" s="19" t="n">
        <f aca="false">'DCF Inputs'!$C$32</f>
        <v>3226</v>
      </c>
      <c r="N17" s="4" t="s">
        <v>369</v>
      </c>
    </row>
    <row r="18" customFormat="false" ht="15" hidden="false" customHeight="true" outlineLevel="0" collapsed="false">
      <c r="A18" s="10" t="s">
        <v>370</v>
      </c>
      <c r="C18" s="13" t="n">
        <f aca="false">C16/(C16+C17)</f>
        <v>0.996798968906805</v>
      </c>
      <c r="N18" s="4"/>
    </row>
    <row r="19" customFormat="false" ht="15" hidden="false" customHeight="true" outlineLevel="0" collapsed="false">
      <c r="A19" s="10" t="s">
        <v>371</v>
      </c>
      <c r="C19" s="13" t="n">
        <f aca="false">C17/(C16+C17)</f>
        <v>0.00320103109319469</v>
      </c>
      <c r="N19" s="4"/>
    </row>
    <row r="20" customFormat="false" ht="15" hidden="false" customHeight="true" outlineLevel="0" collapsed="false">
      <c r="A20" s="9" t="s">
        <v>347</v>
      </c>
      <c r="C20" s="13" t="n">
        <f aca="false">C18*C11+C19*C15</f>
        <v>0.14945207200716</v>
      </c>
      <c r="N20" s="4"/>
    </row>
    <row r="21" customFormat="false" ht="15" hidden="false" customHeight="true" outlineLevel="0" collapsed="false">
      <c r="A21" s="10" t="s">
        <v>372</v>
      </c>
      <c r="C21" s="42" t="n">
        <v>0.03</v>
      </c>
      <c r="N21" s="4" t="s">
        <v>373</v>
      </c>
    </row>
    <row r="22" customFormat="false" ht="15" hidden="false" customHeight="true" outlineLevel="0" collapsed="false">
      <c r="A22" s="10" t="s">
        <v>374</v>
      </c>
      <c r="C22" s="18" t="n">
        <v>0.2</v>
      </c>
      <c r="N22" s="4" t="s">
        <v>375</v>
      </c>
    </row>
    <row r="23" customFormat="false" ht="15" hidden="false" customHeight="true" outlineLevel="0" collapsed="false">
      <c r="A23" s="10" t="s">
        <v>376</v>
      </c>
      <c r="C23" s="18" t="n">
        <v>0.3</v>
      </c>
      <c r="N23" s="4" t="s">
        <v>377</v>
      </c>
    </row>
    <row r="25" customFormat="false" ht="15" hidden="false" customHeight="true" outlineLevel="0" collapsed="false">
      <c r="A25" s="7" t="s">
        <v>311</v>
      </c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</row>
    <row r="26" customFormat="false" ht="15" hidden="false" customHeight="true" outlineLevel="0" collapsed="false">
      <c r="A26" s="43" t="s">
        <v>2</v>
      </c>
      <c r="B26" s="43"/>
      <c r="C26" s="43" t="s">
        <v>6</v>
      </c>
      <c r="D26" s="43" t="s">
        <v>7</v>
      </c>
      <c r="E26" s="43" t="s">
        <v>8</v>
      </c>
      <c r="F26" s="43" t="s">
        <v>9</v>
      </c>
      <c r="G26" s="43" t="s">
        <v>10</v>
      </c>
      <c r="H26" s="43" t="s">
        <v>378</v>
      </c>
      <c r="I26" s="43" t="s">
        <v>379</v>
      </c>
      <c r="J26" s="43" t="s">
        <v>380</v>
      </c>
      <c r="K26" s="43" t="s">
        <v>381</v>
      </c>
      <c r="L26" s="43" t="s">
        <v>382</v>
      </c>
      <c r="M26" s="43"/>
      <c r="N26" s="43" t="s">
        <v>383</v>
      </c>
    </row>
    <row r="27" customFormat="false" ht="15" hidden="false" customHeight="true" outlineLevel="0" collapsed="false">
      <c r="A27" s="10" t="s">
        <v>384</v>
      </c>
      <c r="C27" s="44" t="s">
        <v>385</v>
      </c>
      <c r="D27" s="44" t="s">
        <v>385</v>
      </c>
      <c r="E27" s="44" t="s">
        <v>385</v>
      </c>
      <c r="F27" s="44" t="s">
        <v>385</v>
      </c>
      <c r="G27" s="44" t="s">
        <v>385</v>
      </c>
      <c r="H27" s="44" t="s">
        <v>386</v>
      </c>
      <c r="I27" s="44" t="s">
        <v>386</v>
      </c>
      <c r="J27" s="44" t="s">
        <v>386</v>
      </c>
      <c r="K27" s="44" t="s">
        <v>386</v>
      </c>
      <c r="L27" s="44" t="s">
        <v>386</v>
      </c>
    </row>
    <row r="28" customFormat="false" ht="15" hidden="false" customHeight="true" outlineLevel="0" collapsed="false">
      <c r="A28" s="10" t="s">
        <v>312</v>
      </c>
      <c r="C28" s="19" t="n">
        <f aca="false">'DCF Inputs'!F6</f>
        <v>49181.72</v>
      </c>
      <c r="D28" s="19" t="n">
        <f aca="false">'DCF Inputs'!G6</f>
        <v>68483.228</v>
      </c>
      <c r="E28" s="19" t="n">
        <f aca="false">'DCF Inputs'!H6</f>
        <v>87344.2002</v>
      </c>
      <c r="F28" s="19" t="n">
        <f aca="false">'DCF Inputs'!I6</f>
        <v>105056.018076</v>
      </c>
      <c r="G28" s="19" t="n">
        <f aca="false">'DCF Inputs'!J6</f>
        <v>119928.566783472</v>
      </c>
      <c r="H28" s="12" t="n">
        <f aca="false">G28*(1+H29)</f>
        <v>134319.994797489</v>
      </c>
      <c r="I28" s="12" t="n">
        <f aca="false">H28*(1+I29)</f>
        <v>147751.994277238</v>
      </c>
      <c r="J28" s="12" t="n">
        <f aca="false">I28*(1+J29)</f>
        <v>159572.153819417</v>
      </c>
      <c r="K28" s="12" t="n">
        <f aca="false">J28*(1+K29)</f>
        <v>169146.483048582</v>
      </c>
      <c r="L28" s="12" t="n">
        <f aca="false">K28*(1+L29)</f>
        <v>176758.074785768</v>
      </c>
    </row>
    <row r="29" customFormat="false" ht="15" hidden="false" customHeight="true" outlineLevel="0" collapsed="false">
      <c r="A29" s="10" t="s">
        <v>387</v>
      </c>
      <c r="C29" s="14" t="n">
        <f aca="false">'Income Statement'!F10</f>
        <v>0.419836600363752</v>
      </c>
      <c r="D29" s="14" t="n">
        <f aca="false">'Income Statement'!G10</f>
        <v>0.392452886966947</v>
      </c>
      <c r="E29" s="14" t="n">
        <f aca="false">'Income Statement'!H10</f>
        <v>0.275410093110681</v>
      </c>
      <c r="F29" s="14" t="n">
        <f aca="false">'Income Statement'!I10</f>
        <v>0.202781842817767</v>
      </c>
      <c r="G29" s="14" t="n">
        <f aca="false">'Income Statement'!J10</f>
        <v>0.141567793828935</v>
      </c>
      <c r="H29" s="18" t="n">
        <v>0.12</v>
      </c>
      <c r="I29" s="18" t="n">
        <v>0.1</v>
      </c>
      <c r="J29" s="18" t="n">
        <v>0.08</v>
      </c>
      <c r="K29" s="18" t="n">
        <v>0.06</v>
      </c>
      <c r="L29" s="18" t="n">
        <v>0.045</v>
      </c>
      <c r="N29" s="4" t="s">
        <v>388</v>
      </c>
    </row>
    <row r="30" customFormat="false" ht="15" hidden="false" customHeight="true" outlineLevel="0" collapsed="false">
      <c r="A30" s="10" t="s">
        <v>389</v>
      </c>
      <c r="C30" s="13" t="n">
        <f aca="false">C31/C28</f>
        <v>0.131394831279277</v>
      </c>
      <c r="D30" s="13" t="n">
        <f aca="false">D31/D28</f>
        <v>0.152075212870179</v>
      </c>
      <c r="E30" s="13" t="n">
        <f aca="false">E31/E28</f>
        <v>0.198830204348276</v>
      </c>
      <c r="F30" s="13" t="n">
        <f aca="false">F31/F28</f>
        <v>0.225373873175591</v>
      </c>
      <c r="G30" s="13" t="n">
        <f aca="false">G31/G28</f>
        <v>0.241062345191537</v>
      </c>
      <c r="H30" s="13" t="n">
        <f aca="false">$G30+($C$23-$G30)*H37/5</f>
        <v>0.25284987615323</v>
      </c>
      <c r="I30" s="13" t="n">
        <f aca="false">$G30+($C$23-$G30)*I37/5</f>
        <v>0.264637407114922</v>
      </c>
      <c r="J30" s="13" t="n">
        <f aca="false">$G30+($C$23-$G30)*J37/5</f>
        <v>0.276424938076615</v>
      </c>
      <c r="K30" s="13" t="n">
        <f aca="false">$G30+($C$23-$G30)*K37/5</f>
        <v>0.288212469038307</v>
      </c>
      <c r="L30" s="13" t="n">
        <f aca="false">$G30+($C$23-$G30)*L37/5</f>
        <v>0.3</v>
      </c>
    </row>
    <row r="31" customFormat="false" ht="15" hidden="false" customHeight="true" outlineLevel="0" collapsed="false">
      <c r="A31" s="9" t="s">
        <v>390</v>
      </c>
      <c r="C31" s="19" t="n">
        <f aca="false">'DCF Inputs'!F16</f>
        <v>6462.22380142466</v>
      </c>
      <c r="D31" s="19" t="n">
        <f aca="false">'DCF Inputs'!G16</f>
        <v>10414.601476137</v>
      </c>
      <c r="E31" s="19" t="n">
        <f aca="false">'DCF Inputs'!H16</f>
        <v>17366.6651744027</v>
      </c>
      <c r="F31" s="19" t="n">
        <f aca="false">'DCF Inputs'!I16</f>
        <v>23676.881694193</v>
      </c>
      <c r="G31" s="19" t="n">
        <f aca="false">'DCF Inputs'!J16</f>
        <v>28910.2615642836</v>
      </c>
      <c r="H31" s="12" t="n">
        <f aca="false">H28*H30</f>
        <v>33962.7940494474</v>
      </c>
      <c r="I31" s="12" t="n">
        <f aca="false">I28*I30</f>
        <v>39100.704661587</v>
      </c>
      <c r="J31" s="12" t="n">
        <f aca="false">J28*J30</f>
        <v>44109.7227382843</v>
      </c>
      <c r="K31" s="12" t="n">
        <f aca="false">K28*K30</f>
        <v>48750.1255085779</v>
      </c>
      <c r="L31" s="12" t="n">
        <f aca="false">L28*L30</f>
        <v>53027.4224357303</v>
      </c>
      <c r="N31" s="4" t="s">
        <v>391</v>
      </c>
    </row>
    <row r="32" customFormat="false" ht="15" hidden="false" customHeight="true" outlineLevel="0" collapsed="false">
      <c r="A32" s="10" t="s">
        <v>392</v>
      </c>
      <c r="C32" s="13" t="n">
        <f aca="false">$C$22</f>
        <v>0.2</v>
      </c>
      <c r="D32" s="45" t="n">
        <v>1</v>
      </c>
      <c r="E32" s="45" t="n">
        <v>1</v>
      </c>
      <c r="F32" s="45" t="n">
        <v>1</v>
      </c>
      <c r="G32" s="45" t="n">
        <v>1</v>
      </c>
      <c r="H32" s="45" t="n">
        <v>1</v>
      </c>
      <c r="I32" s="45" t="n">
        <v>1</v>
      </c>
      <c r="J32" s="45" t="n">
        <v>1</v>
      </c>
      <c r="K32" s="45" t="n">
        <v>1</v>
      </c>
      <c r="L32" s="45" t="n">
        <v>1</v>
      </c>
    </row>
    <row r="33" customFormat="false" ht="15" hidden="false" customHeight="true" outlineLevel="0" collapsed="false">
      <c r="A33" s="10" t="s">
        <v>393</v>
      </c>
      <c r="C33" s="12" t="n">
        <f aca="false">C31*C32</f>
        <v>1292.44476028493</v>
      </c>
      <c r="D33" s="12" t="n">
        <f aca="false">D31*D32</f>
        <v>10414.601476137</v>
      </c>
      <c r="E33" s="12" t="n">
        <f aca="false">E31*E32</f>
        <v>17366.6651744027</v>
      </c>
      <c r="F33" s="12" t="n">
        <f aca="false">F31*F32</f>
        <v>23676.881694193</v>
      </c>
      <c r="G33" s="12" t="n">
        <f aca="false">G31*G32</f>
        <v>28910.2615642836</v>
      </c>
      <c r="H33" s="12" t="n">
        <f aca="false">H31*H32</f>
        <v>33962.7940494474</v>
      </c>
      <c r="I33" s="12" t="n">
        <f aca="false">I31*I32</f>
        <v>39100.704661587</v>
      </c>
      <c r="J33" s="12" t="n">
        <f aca="false">J31*J32</f>
        <v>44109.7227382843</v>
      </c>
      <c r="K33" s="12" t="n">
        <f aca="false">K31*K32</f>
        <v>48750.1255085779</v>
      </c>
      <c r="L33" s="12" t="n">
        <f aca="false">L31*L32</f>
        <v>53027.4224357303</v>
      </c>
    </row>
    <row r="34" customFormat="false" ht="15" hidden="false" customHeight="true" outlineLevel="0" collapsed="false">
      <c r="A34" s="10" t="s">
        <v>394</v>
      </c>
      <c r="C34" s="40" t="n">
        <f aca="false">$C$22/2</f>
        <v>0.1</v>
      </c>
      <c r="D34" s="40" t="n">
        <f aca="false">$C$22+0+0.5</f>
        <v>0.7</v>
      </c>
      <c r="E34" s="40" t="n">
        <f aca="false">$C$22+1+0.5</f>
        <v>1.7</v>
      </c>
      <c r="F34" s="40" t="n">
        <f aca="false">$C$22+2+0.5</f>
        <v>2.7</v>
      </c>
      <c r="G34" s="40" t="n">
        <f aca="false">$C$22+3+0.5</f>
        <v>3.7</v>
      </c>
      <c r="H34" s="40" t="n">
        <f aca="false">$C$22+4+0.5</f>
        <v>4.7</v>
      </c>
      <c r="I34" s="40" t="n">
        <f aca="false">$C$22+5+0.5</f>
        <v>5.7</v>
      </c>
      <c r="J34" s="40" t="n">
        <f aca="false">$C$22+6+0.5</f>
        <v>6.7</v>
      </c>
      <c r="K34" s="40" t="n">
        <f aca="false">$C$22+7+0.5</f>
        <v>7.7</v>
      </c>
      <c r="L34" s="40" t="n">
        <f aca="false">$C$22+8+0.5</f>
        <v>8.7</v>
      </c>
      <c r="N34" s="4" t="s">
        <v>395</v>
      </c>
    </row>
    <row r="35" customFormat="false" ht="15" hidden="false" customHeight="true" outlineLevel="0" collapsed="false">
      <c r="A35" s="10" t="s">
        <v>396</v>
      </c>
      <c r="C35" s="46" t="n">
        <f aca="false">1/(1+$C$20)^C34</f>
        <v>0.986168016298481</v>
      </c>
      <c r="D35" s="46" t="n">
        <f aca="false">1/(1+$C$20)^D34</f>
        <v>0.907102560352756</v>
      </c>
      <c r="E35" s="46" t="n">
        <f aca="false">1/(1+$C$20)^E34</f>
        <v>0.789160837971072</v>
      </c>
      <c r="F35" s="46" t="n">
        <f aca="false">1/(1+$C$20)^F34</f>
        <v>0.686553930511473</v>
      </c>
      <c r="G35" s="46" t="n">
        <f aca="false">1/(1+$C$20)^G34</f>
        <v>0.597288001153994</v>
      </c>
      <c r="H35" s="46" t="n">
        <f aca="false">1/(1+$C$20)^H34</f>
        <v>0.519628452285981</v>
      </c>
      <c r="I35" s="46" t="n">
        <f aca="false">1/(1+$C$20)^I34</f>
        <v>0.452066219149626</v>
      </c>
      <c r="J35" s="46" t="n">
        <f aca="false">1/(1+$C$20)^J34</f>
        <v>0.393288445998652</v>
      </c>
      <c r="K35" s="46" t="n">
        <f aca="false">1/(1+$C$20)^K34</f>
        <v>0.342152974949096</v>
      </c>
      <c r="L35" s="46" t="n">
        <f aca="false">1/(1+$C$20)^L34</f>
        <v>0.297666151796684</v>
      </c>
    </row>
    <row r="36" customFormat="false" ht="15" hidden="false" customHeight="true" outlineLevel="0" collapsed="false">
      <c r="A36" s="9" t="s">
        <v>397</v>
      </c>
      <c r="C36" s="12" t="n">
        <f aca="false">C33*C35</f>
        <v>1274.56768542556</v>
      </c>
      <c r="D36" s="12" t="n">
        <f aca="false">D33*D35</f>
        <v>9447.11166405745</v>
      </c>
      <c r="E36" s="12" t="n">
        <f aca="false">E33*E35</f>
        <v>13705.0920417947</v>
      </c>
      <c r="F36" s="12" t="n">
        <f aca="false">F33*F35</f>
        <v>16255.4561894033</v>
      </c>
      <c r="G36" s="12" t="n">
        <f aca="false">G33*G35</f>
        <v>17267.7523425701</v>
      </c>
      <c r="H36" s="12" t="n">
        <f aca="false">H33*H35</f>
        <v>17648.0341072219</v>
      </c>
      <c r="I36" s="12" t="n">
        <f aca="false">I33*I35</f>
        <v>17676.1077224498</v>
      </c>
      <c r="J36" s="12" t="n">
        <f aca="false">J33*J35</f>
        <v>17347.8443091712</v>
      </c>
      <c r="K36" s="12" t="n">
        <f aca="false">K33*K35</f>
        <v>16680.0004719017</v>
      </c>
      <c r="L36" s="12" t="n">
        <f aca="false">L33*L35</f>
        <v>15784.468776141</v>
      </c>
    </row>
    <row r="37" customFormat="false" ht="15" hidden="false" customHeight="true" outlineLevel="0" collapsed="false">
      <c r="A37" s="10" t="s">
        <v>398</v>
      </c>
      <c r="C37" s="47" t="n">
        <v>0</v>
      </c>
      <c r="D37" s="47" t="n">
        <v>0</v>
      </c>
      <c r="E37" s="47" t="n">
        <v>0</v>
      </c>
      <c r="F37" s="47" t="n">
        <v>0</v>
      </c>
      <c r="G37" s="47" t="n">
        <v>0</v>
      </c>
      <c r="H37" s="47" t="n">
        <v>1</v>
      </c>
      <c r="I37" s="47" t="n">
        <v>2</v>
      </c>
      <c r="J37" s="47" t="n">
        <v>3</v>
      </c>
      <c r="K37" s="47" t="n">
        <v>4</v>
      </c>
      <c r="L37" s="47" t="n">
        <v>5</v>
      </c>
    </row>
    <row r="39" customFormat="false" ht="15" hidden="false" customHeight="true" outlineLevel="0" collapsed="false">
      <c r="A39" s="7" t="s">
        <v>399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</row>
    <row r="40" customFormat="false" ht="15" hidden="false" customHeight="true" outlineLevel="0" collapsed="false">
      <c r="A40" s="10" t="s">
        <v>400</v>
      </c>
      <c r="C40" s="12" t="n">
        <f aca="false">SUM(C36:L36)</f>
        <v>143086.435310137</v>
      </c>
    </row>
    <row r="41" customFormat="false" ht="15" hidden="false" customHeight="true" outlineLevel="0" collapsed="false">
      <c r="A41" s="10" t="s">
        <v>401</v>
      </c>
      <c r="C41" s="12" t="n">
        <f aca="false">L31*(1+C21)/(C20-C21)</f>
        <v>457239.830092931</v>
      </c>
    </row>
    <row r="42" customFormat="false" ht="15" hidden="false" customHeight="true" outlineLevel="0" collapsed="false">
      <c r="A42" s="10" t="s">
        <v>402</v>
      </c>
      <c r="C42" s="40" t="n">
        <f aca="false">C22+9</f>
        <v>9.2</v>
      </c>
    </row>
    <row r="43" customFormat="false" ht="15" hidden="false" customHeight="true" outlineLevel="0" collapsed="false">
      <c r="A43" s="10" t="s">
        <v>403</v>
      </c>
      <c r="C43" s="12" t="n">
        <f aca="false">C41/(1+C20)^C42</f>
        <v>126948.6462249</v>
      </c>
    </row>
    <row r="44" customFormat="false" ht="15" hidden="false" customHeight="true" outlineLevel="0" collapsed="false">
      <c r="A44" s="9" t="s">
        <v>404</v>
      </c>
      <c r="C44" s="12" t="n">
        <f aca="false">C40+C43</f>
        <v>270035.081535036</v>
      </c>
    </row>
    <row r="45" customFormat="false" ht="15" hidden="false" customHeight="true" outlineLevel="0" collapsed="false">
      <c r="A45" s="10" t="s">
        <v>405</v>
      </c>
      <c r="C45" s="13" t="n">
        <f aca="false">C43/C44</f>
        <v>0.470119087872767</v>
      </c>
    </row>
    <row r="46" customFormat="false" ht="15" hidden="false" customHeight="true" outlineLevel="0" collapsed="false">
      <c r="A46" s="10" t="s">
        <v>406</v>
      </c>
      <c r="C46" s="33" t="n">
        <f aca="false">C41/L31</f>
        <v>8.62270517951554</v>
      </c>
    </row>
    <row r="47" customFormat="false" ht="15" hidden="false" customHeight="true" outlineLevel="0" collapsed="false">
      <c r="A47" s="10" t="s">
        <v>407</v>
      </c>
      <c r="C47" s="19" t="n">
        <f aca="false">'DCF Inputs'!$C$33</f>
        <v>13111</v>
      </c>
    </row>
    <row r="48" customFormat="false" ht="15" hidden="false" customHeight="true" outlineLevel="0" collapsed="false">
      <c r="A48" s="10" t="s">
        <v>408</v>
      </c>
      <c r="C48" s="19" t="n">
        <f aca="false">-'DCF Inputs'!$C$32</f>
        <v>-3226</v>
      </c>
    </row>
    <row r="49" customFormat="false" ht="15" hidden="false" customHeight="true" outlineLevel="0" collapsed="false">
      <c r="A49" s="9" t="s">
        <v>409</v>
      </c>
      <c r="C49" s="12" t="n">
        <f aca="false">C44+C47+C48</f>
        <v>279920.081535036</v>
      </c>
    </row>
    <row r="50" customFormat="false" ht="15" hidden="false" customHeight="true" outlineLevel="0" collapsed="false">
      <c r="A50" s="10" t="s">
        <v>410</v>
      </c>
      <c r="C50" s="19" t="n">
        <f aca="false">'DCF Inputs'!$C$30</f>
        <v>1659</v>
      </c>
    </row>
    <row r="51" customFormat="false" ht="15" hidden="false" customHeight="true" outlineLevel="0" collapsed="false">
      <c r="A51" s="9" t="s">
        <v>411</v>
      </c>
      <c r="C51" s="48" t="n">
        <f aca="false">C49/C50</f>
        <v>168.728198634742</v>
      </c>
    </row>
    <row r="52" customFormat="false" ht="15" hidden="false" customHeight="true" outlineLevel="0" collapsed="false">
      <c r="A52" s="10" t="s">
        <v>412</v>
      </c>
      <c r="C52" s="49" t="n">
        <f aca="false">'DCF Inputs'!$C$29</f>
        <v>605.53</v>
      </c>
    </row>
    <row r="53" customFormat="false" ht="15" hidden="false" customHeight="true" outlineLevel="0" collapsed="false">
      <c r="A53" s="10" t="s">
        <v>413</v>
      </c>
      <c r="C53" s="13" t="n">
        <f aca="false">C51/C52-1</f>
        <v>-0.721354518133302</v>
      </c>
    </row>
    <row r="54" customFormat="false" ht="15" hidden="false" customHeight="true" outlineLevel="0" collapsed="false">
      <c r="A54" s="10" t="s">
        <v>414</v>
      </c>
      <c r="C54" s="49" t="n">
        <f aca="false">C49/(C50+'DCF Inputs'!C38)</f>
        <v>153.886795786166</v>
      </c>
    </row>
    <row r="56" customFormat="false" ht="15" hidden="false" customHeight="true" outlineLevel="0" collapsed="false">
      <c r="A56" s="7" t="s">
        <v>415</v>
      </c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</row>
    <row r="57" customFormat="false" ht="15" hidden="false" customHeight="true" outlineLevel="0" collapsed="false">
      <c r="A57" s="10" t="s">
        <v>416</v>
      </c>
      <c r="C57" s="33" t="n">
        <f aca="false">C44/C28</f>
        <v>5.4905579051533</v>
      </c>
    </row>
    <row r="58" customFormat="false" ht="15" hidden="false" customHeight="true" outlineLevel="0" collapsed="false">
      <c r="A58" s="10" t="s">
        <v>417</v>
      </c>
      <c r="C58" s="50" t="n">
        <f aca="false">C51/'Income Statement'!G66</f>
        <v>20.9335549714903</v>
      </c>
    </row>
    <row r="59" customFormat="false" ht="15" hidden="false" customHeight="true" outlineLevel="0" collapsed="false">
      <c r="A59" s="10" t="s">
        <v>418</v>
      </c>
      <c r="C59" s="50" t="n">
        <f aca="false">'DCF Inputs'!C35</f>
        <v>20.2247759940075</v>
      </c>
    </row>
    <row r="60" customFormat="false" ht="15" hidden="false" customHeight="true" outlineLevel="0" collapsed="false">
      <c r="A60" s="4" t="s">
        <v>419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10" min="2" style="1" width="12"/>
  </cols>
  <sheetData>
    <row r="1" customFormat="false" ht="17.25" hidden="false" customHeight="true" outlineLevel="0" collapsed="false">
      <c r="A1" s="2" t="s">
        <v>420</v>
      </c>
    </row>
    <row r="2" customFormat="false" ht="15" hidden="false" customHeight="true" outlineLevel="0" collapsed="false">
      <c r="A2" s="4" t="s">
        <v>421</v>
      </c>
    </row>
    <row r="4" customFormat="false" ht="15" hidden="false" customHeight="true" outlineLevel="0" collapsed="false">
      <c r="A4" s="7" t="s">
        <v>422</v>
      </c>
      <c r="B4" s="38"/>
      <c r="C4" s="38"/>
      <c r="D4" s="38"/>
      <c r="E4" s="38"/>
      <c r="F4" s="38"/>
      <c r="G4" s="38"/>
      <c r="H4" s="38"/>
      <c r="I4" s="38"/>
      <c r="J4" s="38"/>
    </row>
    <row r="5" customFormat="false" ht="15" hidden="false" customHeight="true" outlineLevel="0" collapsed="false">
      <c r="B5" s="9" t="s">
        <v>423</v>
      </c>
      <c r="C5" s="51" t="n">
        <f aca="false">DCF!$C$21+(-0.01)</f>
        <v>0.02</v>
      </c>
      <c r="D5" s="51" t="n">
        <f aca="false">DCF!$C$21+(-0.005)</f>
        <v>0.025</v>
      </c>
      <c r="E5" s="51" t="n">
        <f aca="false">DCF!$C$21+(0)</f>
        <v>0.03</v>
      </c>
      <c r="F5" s="51" t="n">
        <f aca="false">DCF!$C$21+(0.005)</f>
        <v>0.035</v>
      </c>
      <c r="G5" s="51" t="n">
        <f aca="false">DCF!$C$21+(0.01)</f>
        <v>0.04</v>
      </c>
    </row>
    <row r="6" customFormat="false" ht="15" hidden="false" customHeight="true" outlineLevel="0" collapsed="false">
      <c r="B6" s="51" t="n">
        <f aca="false">DCF!$C$20+(-0.04)</f>
        <v>0.10945207200716</v>
      </c>
      <c r="C6" s="49" t="n">
        <f aca="false">(SUMPRODUCT(DCF!$C$33:$L$33/(1+$B6)^DCF!$C$34:$L$34)+DCF!$L$31*(1+C$5)/($B6-C$5)/(1+$B6)^DCF!$C$42+('DCF Inputs'!$C$33-'DCF Inputs'!$C$32))/'DCF Inputs'!$C$30</f>
        <v>249.176668932609</v>
      </c>
      <c r="D6" s="49" t="n">
        <f aca="false">(SUMPRODUCT(DCF!$C$33:$L$33/(1+$B6)^DCF!$C$34:$L$34)+DCF!$L$31*(1+D$5)/($B6-D$5)/(1+$B6)^DCF!$C$42+('DCF Inputs'!$C$33-'DCF Inputs'!$C$32))/'DCF Inputs'!$C$30</f>
        <v>258.203459114454</v>
      </c>
      <c r="E6" s="49" t="n">
        <f aca="false">(SUMPRODUCT(DCF!$C$33:$L$33/(1+$B6)^DCF!$C$34:$L$34)+DCF!$L$31*(1+E$5)/($B6-E$5)/(1+$B6)^DCF!$C$42+('DCF Inputs'!$C$33-'DCF Inputs'!$C$32))/'DCF Inputs'!$C$30</f>
        <v>268.366379538571</v>
      </c>
      <c r="F6" s="49" t="n">
        <f aca="false">(SUMPRODUCT(DCF!$C$33:$L$33/(1+$B6)^DCF!$C$34:$L$34)+DCF!$L$31*(1+F$5)/($B6-F$5)/(1+$B6)^DCF!$C$42+('DCF Inputs'!$C$33-'DCF Inputs'!$C$32))/'DCF Inputs'!$C$30</f>
        <v>279.894328517318</v>
      </c>
      <c r="G6" s="49" t="n">
        <f aca="false">(SUMPRODUCT(DCF!$C$33:$L$33/(1+$B6)^DCF!$C$34:$L$34)+DCF!$L$31*(1+G$5)/($B6-G$5)/(1+$B6)^DCF!$C$42+('DCF Inputs'!$C$33-'DCF Inputs'!$C$32))/'DCF Inputs'!$C$30</f>
        <v>293.082119837062</v>
      </c>
    </row>
    <row r="7" customFormat="false" ht="15" hidden="false" customHeight="true" outlineLevel="0" collapsed="false">
      <c r="B7" s="51" t="n">
        <f aca="false">DCF!$C$20+(-0.03)</f>
        <v>0.11945207200716</v>
      </c>
      <c r="C7" s="49" t="n">
        <f aca="false">(SUMPRODUCT(DCF!$C$33:$L$33/(1+$B7)^DCF!$C$34:$L$34)+DCF!$L$31*(1+C$5)/($B7-C$5)/(1+$B7)^DCF!$C$42+('DCF Inputs'!$C$33-'DCF Inputs'!$C$32))/'DCF Inputs'!$C$30</f>
        <v>220.479863442747</v>
      </c>
      <c r="D7" s="49" t="n">
        <f aca="false">(SUMPRODUCT(DCF!$C$33:$L$33/(1+$B7)^DCF!$C$34:$L$34)+DCF!$L$31*(1+D$5)/($B7-D$5)/(1+$B7)^DCF!$C$42+('DCF Inputs'!$C$33-'DCF Inputs'!$C$32))/'DCF Inputs'!$C$30</f>
        <v>227.224424232282</v>
      </c>
      <c r="E7" s="49" t="n">
        <f aca="false">(SUMPRODUCT(DCF!$C$33:$L$33/(1+$B7)^DCF!$C$34:$L$34)+DCF!$L$31*(1+E$5)/($B7-E$5)/(1+$B7)^DCF!$C$42+('DCF Inputs'!$C$33-'DCF Inputs'!$C$32))/'DCF Inputs'!$C$30</f>
        <v>234.722970998687</v>
      </c>
      <c r="F7" s="49" t="n">
        <f aca="false">(SUMPRODUCT(DCF!$C$33:$L$33/(1+$B7)^DCF!$C$34:$L$34)+DCF!$L$31*(1+F$5)/($B7-F$5)/(1+$B7)^DCF!$C$42+('DCF Inputs'!$C$33-'DCF Inputs'!$C$32))/'DCF Inputs'!$C$30</f>
        <v>243.109423365059</v>
      </c>
      <c r="G7" s="49" t="n">
        <f aca="false">(SUMPRODUCT(DCF!$C$33:$L$33/(1+$B7)^DCF!$C$34:$L$34)+DCF!$L$31*(1+G$5)/($B7-G$5)/(1+$B7)^DCF!$C$42+('DCF Inputs'!$C$33-'DCF Inputs'!$C$32))/'DCF Inputs'!$C$30</f>
        <v>252.551411748871</v>
      </c>
    </row>
    <row r="8" customFormat="false" ht="15" hidden="false" customHeight="true" outlineLevel="0" collapsed="false">
      <c r="B8" s="51" t="n">
        <f aca="false">DCF!$C$20+(-0.02)</f>
        <v>0.12945207200716</v>
      </c>
      <c r="C8" s="49" t="n">
        <f aca="false">(SUMPRODUCT(DCF!$C$33:$L$33/(1+$B8)^DCF!$C$34:$L$34)+DCF!$L$31*(1+C$5)/($B8-C$5)/(1+$B8)^DCF!$C$42+('DCF Inputs'!$C$33-'DCF Inputs'!$C$32))/'DCF Inputs'!$C$30</f>
        <v>197.264234123591</v>
      </c>
      <c r="D8" s="49" t="n">
        <f aca="false">(SUMPRODUCT(DCF!$C$33:$L$33/(1+$B8)^DCF!$C$34:$L$34)+DCF!$L$31*(1+D$5)/($B8-D$5)/(1+$B8)^DCF!$C$42+('DCF Inputs'!$C$33-'DCF Inputs'!$C$32))/'DCF Inputs'!$C$30</f>
        <v>202.416129983206</v>
      </c>
      <c r="E8" s="49" t="n">
        <f aca="false">(SUMPRODUCT(DCF!$C$33:$L$33/(1+$B8)^DCF!$C$34:$L$34)+DCF!$L$31*(1+E$5)/($B8-E$5)/(1+$B8)^DCF!$C$42+('DCF Inputs'!$C$33-'DCF Inputs'!$C$32))/'DCF Inputs'!$C$30</f>
        <v>208.086053849241</v>
      </c>
      <c r="F8" s="49" t="n">
        <f aca="false">(SUMPRODUCT(DCF!$C$33:$L$33/(1+$B8)^DCF!$C$34:$L$34)+DCF!$L$31*(1+F$5)/($B8-F$5)/(1+$B8)^DCF!$C$42+('DCF Inputs'!$C$33-'DCF Inputs'!$C$32))/'DCF Inputs'!$C$30</f>
        <v>214.356274113813</v>
      </c>
      <c r="G8" s="49" t="n">
        <f aca="false">(SUMPRODUCT(DCF!$C$33:$L$33/(1+$B8)^DCF!$C$34:$L$34)+DCF!$L$31*(1+G$5)/($B8-G$5)/(1+$B8)^DCF!$C$42+('DCF Inputs'!$C$33-'DCF Inputs'!$C$32))/'DCF Inputs'!$C$30</f>
        <v>221.327453017339</v>
      </c>
    </row>
    <row r="9" customFormat="false" ht="15" hidden="false" customHeight="true" outlineLevel="0" collapsed="false">
      <c r="B9" s="51" t="n">
        <f aca="false">DCF!$C$20+(-0.01)</f>
        <v>0.13945207200716</v>
      </c>
      <c r="C9" s="49" t="n">
        <f aca="false">(SUMPRODUCT(DCF!$C$33:$L$33/(1+$B9)^DCF!$C$34:$L$34)+DCF!$L$31*(1+C$5)/($B9-C$5)/(1+$B9)^DCF!$C$42+('DCF Inputs'!$C$33-'DCF Inputs'!$C$32))/'DCF Inputs'!$C$30</f>
        <v>178.135412796867</v>
      </c>
      <c r="D9" s="49" t="n">
        <f aca="false">(SUMPRODUCT(DCF!$C$33:$L$33/(1+$B9)^DCF!$C$34:$L$34)+DCF!$L$31*(1+D$5)/($B9-D$5)/(1+$B9)^DCF!$C$42+('DCF Inputs'!$C$33-'DCF Inputs'!$C$32))/'DCF Inputs'!$C$30</f>
        <v>182.143148528719</v>
      </c>
      <c r="E9" s="49" t="n">
        <f aca="false">(SUMPRODUCT(DCF!$C$33:$L$33/(1+$B9)^DCF!$C$34:$L$34)+DCF!$L$31*(1+E$5)/($B9-E$5)/(1+$B9)^DCF!$C$42+('DCF Inputs'!$C$33-'DCF Inputs'!$C$32))/'DCF Inputs'!$C$30</f>
        <v>186.517047793007</v>
      </c>
      <c r="F9" s="49" t="n">
        <f aca="false">(SUMPRODUCT(DCF!$C$33:$L$33/(1+$B9)^DCF!$C$34:$L$34)+DCF!$L$31*(1+F$5)/($B9-F$5)/(1+$B9)^DCF!$C$42+('DCF Inputs'!$C$33-'DCF Inputs'!$C$32))/'DCF Inputs'!$C$30</f>
        <v>191.309694065395</v>
      </c>
      <c r="G9" s="49" t="n">
        <f aca="false">(SUMPRODUCT(DCF!$C$33:$L$33/(1+$B9)^DCF!$C$34:$L$34)+DCF!$L$31*(1+G$5)/($B9-G$5)/(1+$B9)^DCF!$C$42+('DCF Inputs'!$C$33-'DCF Inputs'!$C$32))/'DCF Inputs'!$C$30</f>
        <v>196.584245458076</v>
      </c>
    </row>
    <row r="10" customFormat="false" ht="15" hidden="false" customHeight="true" outlineLevel="0" collapsed="false">
      <c r="B10" s="51" t="n">
        <f aca="false">DCF!$C$20+(0)</f>
        <v>0.14945207200716</v>
      </c>
      <c r="C10" s="49" t="n">
        <f aca="false">(SUMPRODUCT(DCF!$C$33:$L$33/(1+$B10)^DCF!$C$34:$L$34)+DCF!$L$31*(1+C$5)/($B10-C$5)/(1+$B10)^DCF!$C$42+('DCF Inputs'!$C$33-'DCF Inputs'!$C$32))/'DCF Inputs'!$C$30</f>
        <v>162.131504854068</v>
      </c>
      <c r="D10" s="49" t="n">
        <f aca="false">(SUMPRODUCT(DCF!$C$33:$L$33/(1+$B10)^DCF!$C$34:$L$34)+DCF!$L$31*(1+D$5)/($B10-D$5)/(1+$B10)^DCF!$C$42+('DCF Inputs'!$C$33-'DCF Inputs'!$C$32))/'DCF Inputs'!$C$30</f>
        <v>165.29733700049</v>
      </c>
      <c r="E10" s="52" t="n">
        <f aca="false">(SUMPRODUCT(DCF!$C$33:$L$33/(1+$B10)^DCF!$C$34:$L$34)+DCF!$L$31*(1+E$5)/($B10-E$5)/(1+$B10)^DCF!$C$42+('DCF Inputs'!$C$33-'DCF Inputs'!$C$32))/'DCF Inputs'!$C$30</f>
        <v>168.728198634742</v>
      </c>
      <c r="F10" s="49" t="n">
        <f aca="false">(SUMPRODUCT(DCF!$C$33:$L$33/(1+$B10)^DCF!$C$34:$L$34)+DCF!$L$31*(1+F$5)/($B10-F$5)/(1+$B10)^DCF!$C$42+('DCF Inputs'!$C$33-'DCF Inputs'!$C$32))/'DCF Inputs'!$C$30</f>
        <v>172.458824316431</v>
      </c>
      <c r="G10" s="49" t="n">
        <f aca="false">(SUMPRODUCT(DCF!$C$33:$L$33/(1+$B10)^DCF!$C$34:$L$34)+DCF!$L$31*(1+G$5)/($B10-G$5)/(1+$B10)^DCF!$C$42+('DCF Inputs'!$C$33-'DCF Inputs'!$C$32))/'DCF Inputs'!$C$30</f>
        <v>176.530295595036</v>
      </c>
    </row>
    <row r="11" customFormat="false" ht="15" hidden="false" customHeight="true" outlineLevel="0" collapsed="false">
      <c r="B11" s="51" t="n">
        <f aca="false">DCF!$C$20+(0.01)</f>
        <v>0.15945207200716</v>
      </c>
      <c r="C11" s="49" t="n">
        <f aca="false">(SUMPRODUCT(DCF!$C$33:$L$33/(1+$B11)^DCF!$C$34:$L$34)+DCF!$L$31*(1+C$5)/($B11-C$5)/(1+$B11)^DCF!$C$42+('DCF Inputs'!$C$33-'DCF Inputs'!$C$32))/'DCF Inputs'!$C$30</f>
        <v>148.567859657831</v>
      </c>
      <c r="D11" s="49" t="n">
        <f aca="false">(SUMPRODUCT(DCF!$C$33:$L$33/(1+$B11)^DCF!$C$34:$L$34)+DCF!$L$31*(1+D$5)/($B11-D$5)/(1+$B11)^DCF!$C$42+('DCF Inputs'!$C$33-'DCF Inputs'!$C$32))/'DCF Inputs'!$C$30</f>
        <v>151.101580106443</v>
      </c>
      <c r="E11" s="49" t="n">
        <f aca="false">(SUMPRODUCT(DCF!$C$33:$L$33/(1+$B11)^DCF!$C$34:$L$34)+DCF!$L$31*(1+E$5)/($B11-E$5)/(1+$B11)^DCF!$C$42+('DCF Inputs'!$C$33-'DCF Inputs'!$C$32))/'DCF Inputs'!$C$30</f>
        <v>153.831027082203</v>
      </c>
      <c r="F11" s="49" t="n">
        <f aca="false">(SUMPRODUCT(DCF!$C$33:$L$33/(1+$B11)^DCF!$C$34:$L$34)+DCF!$L$31*(1+F$5)/($B11-F$5)/(1+$B11)^DCF!$C$42+('DCF Inputs'!$C$33-'DCF Inputs'!$C$32))/'DCF Inputs'!$C$30</f>
        <v>156.77979117593</v>
      </c>
      <c r="G11" s="49" t="n">
        <f aca="false">(SUMPRODUCT(DCF!$C$33:$L$33/(1+$B11)^DCF!$C$34:$L$34)+DCF!$L$31*(1+G$5)/($B11-G$5)/(1+$B11)^DCF!$C$42+('DCF Inputs'!$C$33-'DCF Inputs'!$C$32))/'DCF Inputs'!$C$30</f>
        <v>159.975412778629</v>
      </c>
    </row>
    <row r="12" customFormat="false" ht="15" hidden="false" customHeight="true" outlineLevel="0" collapsed="false">
      <c r="B12" s="51" t="n">
        <f aca="false">DCF!$C$20+(0.02)</f>
        <v>0.16945207200716</v>
      </c>
      <c r="C12" s="49" t="n">
        <f aca="false">(SUMPRODUCT(DCF!$C$33:$L$33/(1+$B12)^DCF!$C$34:$L$34)+DCF!$L$31*(1+C$5)/($B12-C$5)/(1+$B12)^DCF!$C$42+('DCF Inputs'!$C$33-'DCF Inputs'!$C$32))/'DCF Inputs'!$C$30</f>
        <v>136.944179477348</v>
      </c>
      <c r="D12" s="49" t="n">
        <f aca="false">(SUMPRODUCT(DCF!$C$33:$L$33/(1+$B12)^DCF!$C$34:$L$34)+DCF!$L$31*(1+D$5)/($B12-D$5)/(1+$B12)^DCF!$C$42+('DCF Inputs'!$C$33-'DCF Inputs'!$C$32))/'DCF Inputs'!$C$30</f>
        <v>138.995070161715</v>
      </c>
      <c r="E12" s="49" t="n">
        <f aca="false">(SUMPRODUCT(DCF!$C$33:$L$33/(1+$B12)^DCF!$C$34:$L$34)+DCF!$L$31*(1+E$5)/($B12-E$5)/(1+$B12)^DCF!$C$42+('DCF Inputs'!$C$33-'DCF Inputs'!$C$32))/'DCF Inputs'!$C$30</f>
        <v>141.193028627495</v>
      </c>
      <c r="F12" s="49" t="n">
        <f aca="false">(SUMPRODUCT(DCF!$C$33:$L$33/(1+$B12)^DCF!$C$34:$L$34)+DCF!$L$31*(1+F$5)/($B12-F$5)/(1+$B12)^DCF!$C$42+('DCF Inputs'!$C$33-'DCF Inputs'!$C$32))/'DCF Inputs'!$C$30</f>
        <v>143.554462332664</v>
      </c>
      <c r="G12" s="49" t="n">
        <f aca="false">(SUMPRODUCT(DCF!$C$33:$L$33/(1+$B12)^DCF!$C$34:$L$34)+DCF!$L$31*(1+G$5)/($B12-G$5)/(1+$B12)^DCF!$C$42+('DCF Inputs'!$C$33-'DCF Inputs'!$C$32))/'DCF Inputs'!$C$30</f>
        <v>146.098313643714</v>
      </c>
    </row>
    <row r="15" customFormat="false" ht="15" hidden="false" customHeight="true" outlineLevel="0" collapsed="false">
      <c r="A15" s="7" t="s">
        <v>424</v>
      </c>
      <c r="B15" s="38"/>
      <c r="C15" s="38"/>
      <c r="D15" s="38"/>
      <c r="E15" s="38"/>
      <c r="F15" s="38"/>
      <c r="G15" s="38"/>
      <c r="H15" s="38"/>
      <c r="I15" s="38"/>
      <c r="J15" s="38"/>
    </row>
    <row r="16" customFormat="false" ht="15" hidden="false" customHeight="true" outlineLevel="0" collapsed="false">
      <c r="B16" s="9" t="s">
        <v>425</v>
      </c>
      <c r="C16" s="53" t="n">
        <v>0.24</v>
      </c>
      <c r="D16" s="53" t="n">
        <v>0.27</v>
      </c>
      <c r="E16" s="53" t="n">
        <v>0.3</v>
      </c>
      <c r="F16" s="53" t="n">
        <v>0.33</v>
      </c>
      <c r="G16" s="53" t="n">
        <v>0.36</v>
      </c>
    </row>
    <row r="17" customFormat="false" ht="15" hidden="false" customHeight="true" outlineLevel="0" collapsed="false">
      <c r="B17" s="51" t="n">
        <f aca="false">DCF!$C$20+(-0.04)</f>
        <v>0.10945207200716</v>
      </c>
      <c r="C17" s="49" t="n">
        <f aca="false">(SUMPRODUCT(DCF!$C$33:$G$33/(1+$B17)^DCF!$C$34:$G$34)+SUMPRODUCT(DCF!$H$28:$L$28*(DCF!$G$30+(C$16-DCF!$G$30)*DCF!$H$37:$L$37/5)/(1+$B17)^DCF!$H$34:$L$34)+DCF!$L$28*C$16*(1+DCF!$C$21)/($B17-DCF!$C$21)/(1+$B17)^DCF!$C$42+('DCF Inputs'!$C$33-'DCF Inputs'!$C$32))/'DCF Inputs'!$C$30</f>
        <v>228.199327303385</v>
      </c>
      <c r="D17" s="49" t="n">
        <f aca="false">(SUMPRODUCT(DCF!$C$33:$G$33/(1+$B17)^DCF!$C$34:$G$34)+SUMPRODUCT(DCF!$H$28:$L$28*(DCF!$G$30+(D$16-DCF!$G$30)*DCF!$H$37:$L$37/5)/(1+$B17)^DCF!$H$34:$L$34)+DCF!$L$28*D$16*(1+DCF!$C$21)/($B17-DCF!$C$21)/(1+$B17)^DCF!$C$42+('DCF Inputs'!$C$33-'DCF Inputs'!$C$32))/'DCF Inputs'!$C$30</f>
        <v>248.282853420978</v>
      </c>
      <c r="E17" s="49" t="n">
        <f aca="false">(SUMPRODUCT(DCF!$C$33:$G$33/(1+$B17)^DCF!$C$34:$G$34)+SUMPRODUCT(DCF!$H$28:$L$28*(DCF!$G$30+(E$16-DCF!$G$30)*DCF!$H$37:$L$37/5)/(1+$B17)^DCF!$H$34:$L$34)+DCF!$L$28*E$16*(1+DCF!$C$21)/($B17-DCF!$C$21)/(1+$B17)^DCF!$C$42+('DCF Inputs'!$C$33-'DCF Inputs'!$C$32))/'DCF Inputs'!$C$30</f>
        <v>268.366379538571</v>
      </c>
      <c r="F17" s="49" t="n">
        <f aca="false">(SUMPRODUCT(DCF!$C$33:$G$33/(1+$B17)^DCF!$C$34:$G$34)+SUMPRODUCT(DCF!$H$28:$L$28*(DCF!$G$30+(F$16-DCF!$G$30)*DCF!$H$37:$L$37/5)/(1+$B17)^DCF!$H$34:$L$34)+DCF!$L$28*F$16*(1+DCF!$C$21)/($B17-DCF!$C$21)/(1+$B17)^DCF!$C$42+('DCF Inputs'!$C$33-'DCF Inputs'!$C$32))/'DCF Inputs'!$C$30</f>
        <v>288.449905656164</v>
      </c>
      <c r="G17" s="49" t="n">
        <f aca="false">(SUMPRODUCT(DCF!$C$33:$G$33/(1+$B17)^DCF!$C$34:$G$34)+SUMPRODUCT(DCF!$H$28:$L$28*(DCF!$G$30+(G$16-DCF!$G$30)*DCF!$H$37:$L$37/5)/(1+$B17)^DCF!$H$34:$L$34)+DCF!$L$28*G$16*(1+DCF!$C$21)/($B17-DCF!$C$21)/(1+$B17)^DCF!$C$42+('DCF Inputs'!$C$33-'DCF Inputs'!$C$32))/'DCF Inputs'!$C$30</f>
        <v>308.533431773757</v>
      </c>
    </row>
    <row r="18" customFormat="false" ht="15" hidden="false" customHeight="true" outlineLevel="0" collapsed="false">
      <c r="B18" s="51" t="n">
        <f aca="false">DCF!$C$20+(-0.03)</f>
        <v>0.11945207200716</v>
      </c>
      <c r="C18" s="49" t="n">
        <f aca="false">(SUMPRODUCT(DCF!$C$33:$G$33/(1+$B18)^DCF!$C$34:$G$34)+SUMPRODUCT(DCF!$H$28:$L$28*(DCF!$G$30+(C$16-DCF!$G$30)*DCF!$H$37:$L$37/5)/(1+$B18)^DCF!$H$34:$L$34)+DCF!$L$28*C$16*(1+DCF!$C$21)/($B18-DCF!$C$21)/(1+$B18)^DCF!$C$42+('DCF Inputs'!$C$33-'DCF Inputs'!$C$32))/'DCF Inputs'!$C$30</f>
        <v>200.887800098393</v>
      </c>
      <c r="D18" s="49" t="n">
        <f aca="false">(SUMPRODUCT(DCF!$C$33:$G$33/(1+$B18)^DCF!$C$34:$G$34)+SUMPRODUCT(DCF!$H$28:$L$28*(DCF!$G$30+(D$16-DCF!$G$30)*DCF!$H$37:$L$37/5)/(1+$B18)^DCF!$H$34:$L$34)+DCF!$L$28*D$16*(1+DCF!$C$21)/($B18-DCF!$C$21)/(1+$B18)^DCF!$C$42+('DCF Inputs'!$C$33-'DCF Inputs'!$C$32))/'DCF Inputs'!$C$30</f>
        <v>217.80538554854</v>
      </c>
      <c r="E18" s="49" t="n">
        <f aca="false">(SUMPRODUCT(DCF!$C$33:$G$33/(1+$B18)^DCF!$C$34:$G$34)+SUMPRODUCT(DCF!$H$28:$L$28*(DCF!$G$30+(E$16-DCF!$G$30)*DCF!$H$37:$L$37/5)/(1+$B18)^DCF!$H$34:$L$34)+DCF!$L$28*E$16*(1+DCF!$C$21)/($B18-DCF!$C$21)/(1+$B18)^DCF!$C$42+('DCF Inputs'!$C$33-'DCF Inputs'!$C$32))/'DCF Inputs'!$C$30</f>
        <v>234.722970998687</v>
      </c>
      <c r="F18" s="49" t="n">
        <f aca="false">(SUMPRODUCT(DCF!$C$33:$G$33/(1+$B18)^DCF!$C$34:$G$34)+SUMPRODUCT(DCF!$H$28:$L$28*(DCF!$G$30+(F$16-DCF!$G$30)*DCF!$H$37:$L$37/5)/(1+$B18)^DCF!$H$34:$L$34)+DCF!$L$28*F$16*(1+DCF!$C$21)/($B18-DCF!$C$21)/(1+$B18)^DCF!$C$42+('DCF Inputs'!$C$33-'DCF Inputs'!$C$32))/'DCF Inputs'!$C$30</f>
        <v>251.640556448834</v>
      </c>
      <c r="G18" s="49" t="n">
        <f aca="false">(SUMPRODUCT(DCF!$C$33:$G$33/(1+$B18)^DCF!$C$34:$G$34)+SUMPRODUCT(DCF!$H$28:$L$28*(DCF!$G$30+(G$16-DCF!$G$30)*DCF!$H$37:$L$37/5)/(1+$B18)^DCF!$H$34:$L$34)+DCF!$L$28*G$16*(1+DCF!$C$21)/($B18-DCF!$C$21)/(1+$B18)^DCF!$C$42+('DCF Inputs'!$C$33-'DCF Inputs'!$C$32))/'DCF Inputs'!$C$30</f>
        <v>268.55814189898</v>
      </c>
    </row>
    <row r="19" customFormat="false" ht="15" hidden="false" customHeight="true" outlineLevel="0" collapsed="false">
      <c r="B19" s="51" t="n">
        <f aca="false">DCF!$C$20+(-0.02)</f>
        <v>0.12945207200716</v>
      </c>
      <c r="C19" s="49" t="n">
        <f aca="false">(SUMPRODUCT(DCF!$C$33:$G$33/(1+$B19)^DCF!$C$34:$G$34)+SUMPRODUCT(DCF!$H$28:$L$28*(DCF!$G$30+(C$16-DCF!$G$30)*DCF!$H$37:$L$37/5)/(1+$B19)^DCF!$H$34:$L$34)+DCF!$L$28*C$16*(1+DCF!$C$21)/($B19-DCF!$C$21)/(1+$B19)^DCF!$C$42+('DCF Inputs'!$C$33-'DCF Inputs'!$C$32))/'DCF Inputs'!$C$30</f>
        <v>179.200926474879</v>
      </c>
      <c r="D19" s="49" t="n">
        <f aca="false">(SUMPRODUCT(DCF!$C$33:$G$33/(1+$B19)^DCF!$C$34:$G$34)+SUMPRODUCT(DCF!$H$28:$L$28*(DCF!$G$30+(D$16-DCF!$G$30)*DCF!$H$37:$L$37/5)/(1+$B19)^DCF!$H$34:$L$34)+DCF!$L$28*D$16*(1+DCF!$C$21)/($B19-DCF!$C$21)/(1+$B19)^DCF!$C$42+('DCF Inputs'!$C$33-'DCF Inputs'!$C$32))/'DCF Inputs'!$C$30</f>
        <v>193.64349016206</v>
      </c>
      <c r="E19" s="49" t="n">
        <f aca="false">(SUMPRODUCT(DCF!$C$33:$G$33/(1+$B19)^DCF!$C$34:$G$34)+SUMPRODUCT(DCF!$H$28:$L$28*(DCF!$G$30+(E$16-DCF!$G$30)*DCF!$H$37:$L$37/5)/(1+$B19)^DCF!$H$34:$L$34)+DCF!$L$28*E$16*(1+DCF!$C$21)/($B19-DCF!$C$21)/(1+$B19)^DCF!$C$42+('DCF Inputs'!$C$33-'DCF Inputs'!$C$32))/'DCF Inputs'!$C$30</f>
        <v>208.086053849241</v>
      </c>
      <c r="F19" s="49" t="n">
        <f aca="false">(SUMPRODUCT(DCF!$C$33:$G$33/(1+$B19)^DCF!$C$34:$G$34)+SUMPRODUCT(DCF!$H$28:$L$28*(DCF!$G$30+(F$16-DCF!$G$30)*DCF!$H$37:$L$37/5)/(1+$B19)^DCF!$H$34:$L$34)+DCF!$L$28*F$16*(1+DCF!$C$21)/($B19-DCF!$C$21)/(1+$B19)^DCF!$C$42+('DCF Inputs'!$C$33-'DCF Inputs'!$C$32))/'DCF Inputs'!$C$30</f>
        <v>222.528617536421</v>
      </c>
      <c r="G19" s="49" t="n">
        <f aca="false">(SUMPRODUCT(DCF!$C$33:$G$33/(1+$B19)^DCF!$C$34:$G$34)+SUMPRODUCT(DCF!$H$28:$L$28*(DCF!$G$30+(G$16-DCF!$G$30)*DCF!$H$37:$L$37/5)/(1+$B19)^DCF!$H$34:$L$34)+DCF!$L$28*G$16*(1+DCF!$C$21)/($B19-DCF!$C$21)/(1+$B19)^DCF!$C$42+('DCF Inputs'!$C$33-'DCF Inputs'!$C$32))/'DCF Inputs'!$C$30</f>
        <v>236.971181223602</v>
      </c>
    </row>
    <row r="20" customFormat="false" ht="15" hidden="false" customHeight="true" outlineLevel="0" collapsed="false">
      <c r="B20" s="51" t="n">
        <f aca="false">DCF!$C$20+(-0.01)</f>
        <v>0.13945207200716</v>
      </c>
      <c r="C20" s="49" t="n">
        <f aca="false">(SUMPRODUCT(DCF!$C$33:$G$33/(1+$B20)^DCF!$C$34:$G$34)+SUMPRODUCT(DCF!$H$28:$L$28*(DCF!$G$30+(C$16-DCF!$G$30)*DCF!$H$37:$L$37/5)/(1+$B20)^DCF!$H$34:$L$34)+DCF!$L$28*C$16*(1+DCF!$C$21)/($B20-DCF!$C$21)/(1+$B20)^DCF!$C$42+('DCF Inputs'!$C$33-'DCF Inputs'!$C$32))/'DCF Inputs'!$C$30</f>
        <v>161.586642775589</v>
      </c>
      <c r="D20" s="49" t="n">
        <f aca="false">(SUMPRODUCT(DCF!$C$33:$G$33/(1+$B20)^DCF!$C$34:$G$34)+SUMPRODUCT(DCF!$H$28:$L$28*(DCF!$G$30+(D$16-DCF!$G$30)*DCF!$H$37:$L$37/5)/(1+$B20)^DCF!$H$34:$L$34)+DCF!$L$28*D$16*(1+DCF!$C$21)/($B20-DCF!$C$21)/(1+$B20)^DCF!$C$42+('DCF Inputs'!$C$33-'DCF Inputs'!$C$32))/'DCF Inputs'!$C$30</f>
        <v>174.051845284298</v>
      </c>
      <c r="E20" s="49" t="n">
        <f aca="false">(SUMPRODUCT(DCF!$C$33:$G$33/(1+$B20)^DCF!$C$34:$G$34)+SUMPRODUCT(DCF!$H$28:$L$28*(DCF!$G$30+(E$16-DCF!$G$30)*DCF!$H$37:$L$37/5)/(1+$B20)^DCF!$H$34:$L$34)+DCF!$L$28*E$16*(1+DCF!$C$21)/($B20-DCF!$C$21)/(1+$B20)^DCF!$C$42+('DCF Inputs'!$C$33-'DCF Inputs'!$C$32))/'DCF Inputs'!$C$30</f>
        <v>186.517047793007</v>
      </c>
      <c r="F20" s="49" t="n">
        <f aca="false">(SUMPRODUCT(DCF!$C$33:$G$33/(1+$B20)^DCF!$C$34:$G$34)+SUMPRODUCT(DCF!$H$28:$L$28*(DCF!$G$30+(F$16-DCF!$G$30)*DCF!$H$37:$L$37/5)/(1+$B20)^DCF!$H$34:$L$34)+DCF!$L$28*F$16*(1+DCF!$C$21)/($B20-DCF!$C$21)/(1+$B20)^DCF!$C$42+('DCF Inputs'!$C$33-'DCF Inputs'!$C$32))/'DCF Inputs'!$C$30</f>
        <v>198.982250301716</v>
      </c>
      <c r="G20" s="49" t="n">
        <f aca="false">(SUMPRODUCT(DCF!$C$33:$G$33/(1+$B20)^DCF!$C$34:$G$34)+SUMPRODUCT(DCF!$H$28:$L$28*(DCF!$G$30+(G$16-DCF!$G$30)*DCF!$H$37:$L$37/5)/(1+$B20)^DCF!$H$34:$L$34)+DCF!$L$28*G$16*(1+DCF!$C$21)/($B20-DCF!$C$21)/(1+$B20)^DCF!$C$42+('DCF Inputs'!$C$33-'DCF Inputs'!$C$32))/'DCF Inputs'!$C$30</f>
        <v>211.447452810426</v>
      </c>
    </row>
    <row r="21" customFormat="false" ht="15" hidden="false" customHeight="true" outlineLevel="0" collapsed="false">
      <c r="B21" s="51" t="n">
        <f aca="false">DCF!$C$20+(0)</f>
        <v>0.14945207200716</v>
      </c>
      <c r="C21" s="49" t="n">
        <f aca="false">(SUMPRODUCT(DCF!$C$33:$G$33/(1+$B21)^DCF!$C$34:$G$34)+SUMPRODUCT(DCF!$H$28:$L$28*(DCF!$G$30+(C$16-DCF!$G$30)*DCF!$H$37:$L$37/5)/(1+$B21)^DCF!$H$34:$L$34)+DCF!$L$28*C$16*(1+DCF!$C$21)/($B21-DCF!$C$21)/(1+$B21)^DCF!$C$42+('DCF Inputs'!$C$33-'DCF Inputs'!$C$32))/'DCF Inputs'!$C$30</f>
        <v>147.013633321292</v>
      </c>
      <c r="D21" s="49" t="n">
        <f aca="false">(SUMPRODUCT(DCF!$C$33:$G$33/(1+$B21)^DCF!$C$34:$G$34)+SUMPRODUCT(DCF!$H$28:$L$28*(DCF!$G$30+(D$16-DCF!$G$30)*DCF!$H$37:$L$37/5)/(1+$B21)^DCF!$H$34:$L$34)+DCF!$L$28*D$16*(1+DCF!$C$21)/($B21-DCF!$C$21)/(1+$B21)^DCF!$C$42+('DCF Inputs'!$C$33-'DCF Inputs'!$C$32))/'DCF Inputs'!$C$30</f>
        <v>157.870915978017</v>
      </c>
      <c r="E21" s="49" t="n">
        <f aca="false">(SUMPRODUCT(DCF!$C$33:$G$33/(1+$B21)^DCF!$C$34:$G$34)+SUMPRODUCT(DCF!$H$28:$L$28*(DCF!$G$30+(E$16-DCF!$G$30)*DCF!$H$37:$L$37/5)/(1+$B21)^DCF!$H$34:$L$34)+DCF!$L$28*E$16*(1+DCF!$C$21)/($B21-DCF!$C$21)/(1+$B21)^DCF!$C$42+('DCF Inputs'!$C$33-'DCF Inputs'!$C$32))/'DCF Inputs'!$C$30</f>
        <v>168.728198634742</v>
      </c>
      <c r="F21" s="49" t="n">
        <f aca="false">(SUMPRODUCT(DCF!$C$33:$G$33/(1+$B21)^DCF!$C$34:$G$34)+SUMPRODUCT(DCF!$H$28:$L$28*(DCF!$G$30+(F$16-DCF!$G$30)*DCF!$H$37:$L$37/5)/(1+$B21)^DCF!$H$34:$L$34)+DCF!$L$28*F$16*(1+DCF!$C$21)/($B21-DCF!$C$21)/(1+$B21)^DCF!$C$42+('DCF Inputs'!$C$33-'DCF Inputs'!$C$32))/'DCF Inputs'!$C$30</f>
        <v>179.585481291466</v>
      </c>
      <c r="G21" s="49" t="n">
        <f aca="false">(SUMPRODUCT(DCF!$C$33:$G$33/(1+$B21)^DCF!$C$34:$G$34)+SUMPRODUCT(DCF!$H$28:$L$28*(DCF!$G$30+(G$16-DCF!$G$30)*DCF!$H$37:$L$37/5)/(1+$B21)^DCF!$H$34:$L$34)+DCF!$L$28*G$16*(1+DCF!$C$21)/($B21-DCF!$C$21)/(1+$B21)^DCF!$C$42+('DCF Inputs'!$C$33-'DCF Inputs'!$C$32))/'DCF Inputs'!$C$30</f>
        <v>190.442763948191</v>
      </c>
    </row>
    <row r="22" customFormat="false" ht="15" hidden="false" customHeight="true" outlineLevel="0" collapsed="false">
      <c r="B22" s="51" t="n">
        <f aca="false">DCF!$C$20+(0.01)</f>
        <v>0.15945207200716</v>
      </c>
      <c r="C22" s="49" t="n">
        <f aca="false">(SUMPRODUCT(DCF!$C$33:$G$33/(1+$B22)^DCF!$C$34:$G$34)+SUMPRODUCT(DCF!$H$28:$L$28*(DCF!$G$30+(C$16-DCF!$G$30)*DCF!$H$37:$L$37/5)/(1+$B22)^DCF!$H$34:$L$34)+DCF!$L$28*C$16*(1+DCF!$C$21)/($B22-DCF!$C$21)/(1+$B22)^DCF!$C$42+('DCF Inputs'!$C$33-'DCF Inputs'!$C$32))/'DCF Inputs'!$C$30</f>
        <v>134.770082254571</v>
      </c>
      <c r="D22" s="49" t="n">
        <f aca="false">(SUMPRODUCT(DCF!$C$33:$G$33/(1+$B22)^DCF!$C$34:$G$34)+SUMPRODUCT(DCF!$H$28:$L$28*(DCF!$G$30+(D$16-DCF!$G$30)*DCF!$H$37:$L$37/5)/(1+$B22)^DCF!$H$34:$L$34)+DCF!$L$28*D$16*(1+DCF!$C$21)/($B22-DCF!$C$21)/(1+$B22)^DCF!$C$42+('DCF Inputs'!$C$33-'DCF Inputs'!$C$32))/'DCF Inputs'!$C$30</f>
        <v>144.300554668387</v>
      </c>
      <c r="E22" s="49" t="n">
        <f aca="false">(SUMPRODUCT(DCF!$C$33:$G$33/(1+$B22)^DCF!$C$34:$G$34)+SUMPRODUCT(DCF!$H$28:$L$28*(DCF!$G$30+(E$16-DCF!$G$30)*DCF!$H$37:$L$37/5)/(1+$B22)^DCF!$H$34:$L$34)+DCF!$L$28*E$16*(1+DCF!$C$21)/($B22-DCF!$C$21)/(1+$B22)^DCF!$C$42+('DCF Inputs'!$C$33-'DCF Inputs'!$C$32))/'DCF Inputs'!$C$30</f>
        <v>153.831027082203</v>
      </c>
      <c r="F22" s="49" t="n">
        <f aca="false">(SUMPRODUCT(DCF!$C$33:$G$33/(1+$B22)^DCF!$C$34:$G$34)+SUMPRODUCT(DCF!$H$28:$L$28*(DCF!$G$30+(F$16-DCF!$G$30)*DCF!$H$37:$L$37/5)/(1+$B22)^DCF!$H$34:$L$34)+DCF!$L$28*F$16*(1+DCF!$C$21)/($B22-DCF!$C$21)/(1+$B22)^DCF!$C$42+('DCF Inputs'!$C$33-'DCF Inputs'!$C$32))/'DCF Inputs'!$C$30</f>
        <v>163.361499496019</v>
      </c>
      <c r="G22" s="49" t="n">
        <f aca="false">(SUMPRODUCT(DCF!$C$33:$G$33/(1+$B22)^DCF!$C$34:$G$34)+SUMPRODUCT(DCF!$H$28:$L$28*(DCF!$G$30+(G$16-DCF!$G$30)*DCF!$H$37:$L$37/5)/(1+$B22)^DCF!$H$34:$L$34)+DCF!$L$28*G$16*(1+DCF!$C$21)/($B22-DCF!$C$21)/(1+$B22)^DCF!$C$42+('DCF Inputs'!$C$33-'DCF Inputs'!$C$32))/'DCF Inputs'!$C$30</f>
        <v>172.891971909835</v>
      </c>
    </row>
    <row r="23" customFormat="false" ht="15" hidden="false" customHeight="true" outlineLevel="0" collapsed="false">
      <c r="B23" s="51" t="n">
        <f aca="false">DCF!$C$20+(0.02)</f>
        <v>0.16945207200716</v>
      </c>
      <c r="C23" s="49" t="n">
        <f aca="false">(SUMPRODUCT(DCF!$C$33:$G$33/(1+$B23)^DCF!$C$34:$G$34)+SUMPRODUCT(DCF!$H$28:$L$28*(DCF!$G$30+(C$16-DCF!$G$30)*DCF!$H$37:$L$37/5)/(1+$B23)^DCF!$H$34:$L$34)+DCF!$L$28*C$16*(1+DCF!$C$21)/($B23-DCF!$C$21)/(1+$B23)^DCF!$C$42+('DCF Inputs'!$C$33-'DCF Inputs'!$C$32))/'DCF Inputs'!$C$30</f>
        <v>124.349026909864</v>
      </c>
      <c r="D23" s="49" t="n">
        <f aca="false">(SUMPRODUCT(DCF!$C$33:$G$33/(1+$B23)^DCF!$C$34:$G$34)+SUMPRODUCT(DCF!$H$28:$L$28*(DCF!$G$30+(D$16-DCF!$G$30)*DCF!$H$37:$L$37/5)/(1+$B23)^DCF!$H$34:$L$34)+DCF!$L$28*D$16*(1+DCF!$C$21)/($B23-DCF!$C$21)/(1+$B23)^DCF!$C$42+('DCF Inputs'!$C$33-'DCF Inputs'!$C$32))/'DCF Inputs'!$C$30</f>
        <v>132.77102776868</v>
      </c>
      <c r="E23" s="49" t="n">
        <f aca="false">(SUMPRODUCT(DCF!$C$33:$G$33/(1+$B23)^DCF!$C$34:$G$34)+SUMPRODUCT(DCF!$H$28:$L$28*(DCF!$G$30+(E$16-DCF!$G$30)*DCF!$H$37:$L$37/5)/(1+$B23)^DCF!$H$34:$L$34)+DCF!$L$28*E$16*(1+DCF!$C$21)/($B23-DCF!$C$21)/(1+$B23)^DCF!$C$42+('DCF Inputs'!$C$33-'DCF Inputs'!$C$32))/'DCF Inputs'!$C$30</f>
        <v>141.193028627495</v>
      </c>
      <c r="F23" s="49" t="n">
        <f aca="false">(SUMPRODUCT(DCF!$C$33:$G$33/(1+$B23)^DCF!$C$34:$G$34)+SUMPRODUCT(DCF!$H$28:$L$28*(DCF!$G$30+(F$16-DCF!$G$30)*DCF!$H$37:$L$37/5)/(1+$B23)^DCF!$H$34:$L$34)+DCF!$L$28*F$16*(1+DCF!$C$21)/($B23-DCF!$C$21)/(1+$B23)^DCF!$C$42+('DCF Inputs'!$C$33-'DCF Inputs'!$C$32))/'DCF Inputs'!$C$30</f>
        <v>149.61502948631</v>
      </c>
      <c r="G23" s="49" t="n">
        <f aca="false">(SUMPRODUCT(DCF!$C$33:$G$33/(1+$B23)^DCF!$C$34:$G$34)+SUMPRODUCT(DCF!$H$28:$L$28*(DCF!$G$30+(G$16-DCF!$G$30)*DCF!$H$37:$L$37/5)/(1+$B23)^DCF!$H$34:$L$34)+DCF!$L$28*G$16*(1+DCF!$C$21)/($B23-DCF!$C$21)/(1+$B23)^DCF!$C$42+('DCF Inputs'!$C$33-'DCF Inputs'!$C$32))/'DCF Inputs'!$C$30</f>
        <v>158.037030345125</v>
      </c>
    </row>
    <row r="26" customFormat="false" ht="15" hidden="false" customHeight="true" outlineLevel="0" collapsed="false">
      <c r="A26" s="7" t="s">
        <v>426</v>
      </c>
      <c r="B26" s="38"/>
      <c r="C26" s="38"/>
      <c r="D26" s="38"/>
      <c r="E26" s="38"/>
      <c r="F26" s="38"/>
      <c r="G26" s="38"/>
      <c r="H26" s="38"/>
      <c r="I26" s="38"/>
      <c r="J26" s="38"/>
    </row>
    <row r="27" customFormat="false" ht="15" hidden="false" customHeight="true" outlineLevel="0" collapsed="false">
      <c r="B27" s="9" t="s">
        <v>427</v>
      </c>
      <c r="C27" s="9" t="s">
        <v>292</v>
      </c>
      <c r="D27" s="9" t="s">
        <v>291</v>
      </c>
      <c r="E27" s="9" t="s">
        <v>290</v>
      </c>
    </row>
    <row r="28" customFormat="false" ht="15" hidden="false" customHeight="true" outlineLevel="0" collapsed="false">
      <c r="A28" s="10" t="s">
        <v>428</v>
      </c>
      <c r="C28" s="19" t="n">
        <f aca="false">0.25*Scenarios!F88+0.75*Scenarios!G88</f>
        <v>53130.713</v>
      </c>
      <c r="D28" s="19" t="n">
        <f aca="false">0.25*Scenarios!F73+0.75*Scenarios!G73</f>
        <v>63657.851</v>
      </c>
      <c r="E28" s="19" t="n">
        <f aca="false">0.25*Scenarios!F58+0.75*Scenarios!G58</f>
        <v>71649.4785</v>
      </c>
    </row>
    <row r="29" customFormat="false" ht="15" hidden="false" customHeight="true" outlineLevel="0" collapsed="false">
      <c r="B29" s="54" t="n">
        <v>6</v>
      </c>
      <c r="C29" s="49" t="n">
        <f aca="false">($B29*C$28+('DCF Inputs'!$C$33-'DCF Inputs'!$C$32))/'DCF Inputs'!$C$30</f>
        <v>198.112886075949</v>
      </c>
      <c r="D29" s="49" t="n">
        <f aca="false">($B29*D$28+('DCF Inputs'!$C$33-'DCF Inputs'!$C$32))/'DCF Inputs'!$C$30</f>
        <v>236.185717902351</v>
      </c>
      <c r="E29" s="49" t="n">
        <f aca="false">($B29*E$28+('DCF Inputs'!$C$33-'DCF Inputs'!$C$32))/'DCF Inputs'!$C$30</f>
        <v>265.088529837251</v>
      </c>
    </row>
    <row r="30" customFormat="false" ht="15" hidden="false" customHeight="true" outlineLevel="0" collapsed="false">
      <c r="B30" s="54" t="n">
        <v>8</v>
      </c>
      <c r="C30" s="49" t="n">
        <f aca="false">($B30*C$28+('DCF Inputs'!$C$33-'DCF Inputs'!$C$32))/'DCF Inputs'!$C$30</f>
        <v>262.16437854129</v>
      </c>
      <c r="D30" s="49" t="n">
        <f aca="false">($B30*D$28+('DCF Inputs'!$C$33-'DCF Inputs'!$C$32))/'DCF Inputs'!$C$30</f>
        <v>312.928154309825</v>
      </c>
      <c r="E30" s="49" t="n">
        <f aca="false">($B30*E$28+('DCF Inputs'!$C$33-'DCF Inputs'!$C$32))/'DCF Inputs'!$C$30</f>
        <v>351.465236889693</v>
      </c>
    </row>
    <row r="31" customFormat="false" ht="15" hidden="false" customHeight="true" outlineLevel="0" collapsed="false">
      <c r="B31" s="54" t="n">
        <v>10</v>
      </c>
      <c r="C31" s="49" t="n">
        <f aca="false">($B31*C$28+('DCF Inputs'!$C$33-'DCF Inputs'!$C$32))/'DCF Inputs'!$C$30</f>
        <v>326.215871006631</v>
      </c>
      <c r="D31" s="49" t="n">
        <f aca="false">($B31*D$28+('DCF Inputs'!$C$33-'DCF Inputs'!$C$32))/'DCF Inputs'!$C$30</f>
        <v>389.6705907173</v>
      </c>
      <c r="E31" s="49" t="n">
        <f aca="false">($B31*E$28+('DCF Inputs'!$C$33-'DCF Inputs'!$C$32))/'DCF Inputs'!$C$30</f>
        <v>437.841943942134</v>
      </c>
    </row>
    <row r="32" customFormat="false" ht="15" hidden="false" customHeight="true" outlineLevel="0" collapsed="false">
      <c r="B32" s="54" t="n">
        <v>12</v>
      </c>
      <c r="C32" s="49" t="n">
        <f aca="false">($B32*C$28+('DCF Inputs'!$C$33-'DCF Inputs'!$C$32))/'DCF Inputs'!$C$30</f>
        <v>390.267363471971</v>
      </c>
      <c r="D32" s="49" t="n">
        <f aca="false">($B32*D$28+('DCF Inputs'!$C$33-'DCF Inputs'!$C$32))/'DCF Inputs'!$C$30</f>
        <v>466.413027124774</v>
      </c>
      <c r="E32" s="49" t="n">
        <f aca="false">($B32*E$28+('DCF Inputs'!$C$33-'DCF Inputs'!$C$32))/'DCF Inputs'!$C$30</f>
        <v>524.218650994575</v>
      </c>
    </row>
    <row r="33" customFormat="false" ht="15" hidden="false" customHeight="true" outlineLevel="0" collapsed="false">
      <c r="B33" s="54" t="n">
        <v>14</v>
      </c>
      <c r="C33" s="49" t="n">
        <f aca="false">($B33*C$28+('DCF Inputs'!$C$33-'DCF Inputs'!$C$32))/'DCF Inputs'!$C$30</f>
        <v>454.318855937312</v>
      </c>
      <c r="D33" s="49" t="n">
        <f aca="false">($B33*D$28+('DCF Inputs'!$C$33-'DCF Inputs'!$C$32))/'DCF Inputs'!$C$30</f>
        <v>543.155463532248</v>
      </c>
      <c r="E33" s="49" t="n">
        <f aca="false">($B33*E$28+('DCF Inputs'!$C$33-'DCF Inputs'!$C$32))/'DCF Inputs'!$C$30</f>
        <v>610.595358047016</v>
      </c>
    </row>
    <row r="34" customFormat="false" ht="15" hidden="false" customHeight="true" outlineLevel="0" collapsed="false">
      <c r="B34" s="54" t="n">
        <v>16</v>
      </c>
      <c r="C34" s="49" t="n">
        <f aca="false">($B34*C$28+('DCF Inputs'!$C$33-'DCF Inputs'!$C$32))/'DCF Inputs'!$C$30</f>
        <v>518.370348402652</v>
      </c>
      <c r="D34" s="49" t="n">
        <f aca="false">($B34*D$28+('DCF Inputs'!$C$33-'DCF Inputs'!$C$32))/'DCF Inputs'!$C$30</f>
        <v>619.897899939723</v>
      </c>
      <c r="E34" s="49" t="n">
        <f aca="false">($B34*E$28+('DCF Inputs'!$C$33-'DCF Inputs'!$C$32))/'DCF Inputs'!$C$30</f>
        <v>696.972065099458</v>
      </c>
    </row>
    <row r="35" customFormat="false" ht="15" hidden="false" customHeight="true" outlineLevel="0" collapsed="false">
      <c r="B35" s="54" t="n">
        <v>18</v>
      </c>
      <c r="C35" s="49" t="n">
        <f aca="false">($B35*C$28+('DCF Inputs'!$C$33-'DCF Inputs'!$C$32))/'DCF Inputs'!$C$30</f>
        <v>582.421840867993</v>
      </c>
      <c r="D35" s="49" t="n">
        <f aca="false">($B35*D$28+('DCF Inputs'!$C$33-'DCF Inputs'!$C$32))/'DCF Inputs'!$C$30</f>
        <v>696.640336347197</v>
      </c>
      <c r="E35" s="49" t="n">
        <f aca="false">($B35*E$28+('DCF Inputs'!$C$33-'DCF Inputs'!$C$32))/'DCF Inputs'!$C$30</f>
        <v>783.348772151899</v>
      </c>
    </row>
    <row r="37" customFormat="false" ht="15" hidden="false" customHeight="true" outlineLevel="0" collapsed="false">
      <c r="A37" s="7" t="s">
        <v>429</v>
      </c>
      <c r="B37" s="38"/>
      <c r="C37" s="38"/>
      <c r="D37" s="38"/>
      <c r="E37" s="38"/>
      <c r="F37" s="38"/>
      <c r="G37" s="38"/>
      <c r="H37" s="38"/>
      <c r="I37" s="38"/>
      <c r="J37" s="38"/>
    </row>
    <row r="38" customFormat="false" ht="15" hidden="false" customHeight="true" outlineLevel="0" collapsed="false">
      <c r="B38" s="9" t="s">
        <v>347</v>
      </c>
      <c r="C38" s="53" t="n">
        <v>0.08</v>
      </c>
      <c r="D38" s="53" t="n">
        <v>0.09</v>
      </c>
      <c r="E38" s="53" t="n">
        <v>0.1</v>
      </c>
      <c r="F38" s="53" t="n">
        <v>0.11</v>
      </c>
      <c r="G38" s="53" t="n">
        <v>0.12</v>
      </c>
      <c r="H38" s="53" t="n">
        <v>0.13</v>
      </c>
    </row>
    <row r="39" customFormat="false" ht="15" hidden="false" customHeight="true" outlineLevel="0" collapsed="false">
      <c r="B39" s="9" t="s">
        <v>430</v>
      </c>
      <c r="C39" s="49" t="n">
        <f aca="false">(SUMPRODUCT(DCF!$C$33:$L$33/(1+C38)^DCF!$C$34:$L$34)+DCF!$L$31*(1+DCF!$C$21)/(C38-DCF!$C$21)/(1+C38)^DCF!$C$42+('DCF Inputs'!$C$33-'DCF Inputs'!$C$32))/'DCF Inputs'!$C$30</f>
        <v>448.866652973491</v>
      </c>
      <c r="D39" s="49" t="n">
        <f aca="false">(SUMPRODUCT(DCF!$C$33:$L$33/(1+D38)^DCF!$C$34:$L$34)+DCF!$L$31*(1+DCF!$C$21)/(D38-DCF!$C$21)/(1+D38)^DCF!$C$42+('DCF Inputs'!$C$33-'DCF Inputs'!$C$32))/'DCF Inputs'!$C$30</f>
        <v>367.219518580216</v>
      </c>
      <c r="E39" s="49" t="n">
        <f aca="false">(SUMPRODUCT(DCF!$C$33:$L$33/(1+E38)^DCF!$C$34:$L$34)+DCF!$L$31*(1+DCF!$C$21)/(E38-DCF!$C$21)/(1+E38)^DCF!$C$42+('DCF Inputs'!$C$33-'DCF Inputs'!$C$32))/'DCF Inputs'!$C$30</f>
        <v>309.346072350429</v>
      </c>
      <c r="F39" s="49" t="n">
        <f aca="false">(SUMPRODUCT(DCF!$C$33:$L$33/(1+F38)^DCF!$C$34:$L$34)+DCF!$L$31*(1+DCF!$C$21)/(F38-DCF!$C$21)/(1+F38)^DCF!$C$42+('DCF Inputs'!$C$33-'DCF Inputs'!$C$32))/'DCF Inputs'!$C$30</f>
        <v>266.296961031502</v>
      </c>
      <c r="G39" s="49" t="n">
        <f aca="false">(SUMPRODUCT(DCF!$C$33:$L$33/(1+G38)^DCF!$C$34:$L$34)+DCF!$L$31*(1+DCF!$C$21)/(G38-DCF!$C$21)/(1+G38)^DCF!$C$42+('DCF Inputs'!$C$33-'DCF Inputs'!$C$32))/'DCF Inputs'!$C$30</f>
        <v>233.103500283433</v>
      </c>
      <c r="H39" s="49" t="n">
        <f aca="false">(SUMPRODUCT(DCF!$C$33:$L$33/(1+H38)^DCF!$C$34:$L$34)+DCF!$L$31*(1+DCF!$C$21)/(H38-DCF!$C$21)/(1+H38)^DCF!$C$42+('DCF Inputs'!$C$33-'DCF Inputs'!$C$32))/'DCF Inputs'!$C$30</f>
        <v>206.787006391976</v>
      </c>
    </row>
    <row r="40" customFormat="false" ht="15" hidden="false" customHeight="true" outlineLevel="0" collapsed="false">
      <c r="A40" s="10" t="s">
        <v>431</v>
      </c>
      <c r="C40" s="49" t="n">
        <f aca="false">'DCF Inputs'!$C$29</f>
        <v>605.53</v>
      </c>
    </row>
  </sheetData>
  <conditionalFormatting sqref="C6:G12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17:G23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9:E3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6"/>
    <col collapsed="false" customWidth="true" hidden="false" outlineLevel="0" max="3" min="3" style="1" width="11"/>
    <col collapsed="false" customWidth="true" hidden="false" outlineLevel="0" max="5" min="4" style="1" width="13"/>
    <col collapsed="false" customWidth="true" hidden="false" outlineLevel="0" max="8" min="6" style="1" width="12"/>
    <col collapsed="false" customWidth="true" hidden="false" outlineLevel="0" max="9" min="9" style="1" width="9"/>
    <col collapsed="false" customWidth="true" hidden="false" outlineLevel="0" max="11" min="10" style="1" width="12"/>
    <col collapsed="false" customWidth="true" hidden="false" outlineLevel="0" max="12" min="12" style="1" width="11"/>
    <col collapsed="false" customWidth="true" hidden="false" outlineLevel="0" max="13" min="13" style="1" width="12"/>
    <col collapsed="false" customWidth="true" hidden="false" outlineLevel="0" max="16" min="14" style="1" width="10"/>
    <col collapsed="false" customWidth="true" hidden="false" outlineLevel="0" max="17" min="17" style="1" width="9"/>
    <col collapsed="false" customWidth="true" hidden="false" outlineLevel="0" max="19" min="18" style="1" width="10"/>
    <col collapsed="false" customWidth="true" hidden="false" outlineLevel="0" max="20" min="20" style="1" width="11"/>
    <col collapsed="false" customWidth="true" hidden="false" outlineLevel="0" max="21" min="21" style="1" width="90"/>
  </cols>
  <sheetData>
    <row r="1" customFormat="false" ht="17.25" hidden="false" customHeight="true" outlineLevel="0" collapsed="false">
      <c r="A1" s="2" t="s">
        <v>432</v>
      </c>
    </row>
    <row r="2" customFormat="false" ht="15" hidden="false" customHeight="true" outlineLevel="0" collapsed="false">
      <c r="A2" s="4" t="s">
        <v>433</v>
      </c>
    </row>
    <row r="4" customFormat="false" ht="45" hidden="false" customHeight="true" outlineLevel="0" collapsed="false">
      <c r="A4" s="43" t="s">
        <v>434</v>
      </c>
      <c r="B4" s="43" t="s">
        <v>435</v>
      </c>
      <c r="C4" s="43" t="s">
        <v>436</v>
      </c>
      <c r="D4" s="43" t="s">
        <v>437</v>
      </c>
      <c r="E4" s="43" t="s">
        <v>404</v>
      </c>
      <c r="F4" s="43" t="s">
        <v>438</v>
      </c>
      <c r="G4" s="43" t="s">
        <v>439</v>
      </c>
      <c r="H4" s="43" t="s">
        <v>440</v>
      </c>
      <c r="I4" s="43" t="s">
        <v>441</v>
      </c>
      <c r="J4" s="43" t="s">
        <v>442</v>
      </c>
      <c r="K4" s="43" t="s">
        <v>443</v>
      </c>
      <c r="L4" s="43" t="s">
        <v>444</v>
      </c>
      <c r="M4" s="43" t="s">
        <v>445</v>
      </c>
      <c r="N4" s="43" t="s">
        <v>446</v>
      </c>
      <c r="O4" s="55" t="s">
        <v>447</v>
      </c>
      <c r="P4" s="55" t="s">
        <v>448</v>
      </c>
      <c r="Q4" s="55" t="s">
        <v>449</v>
      </c>
      <c r="R4" s="55" t="s">
        <v>450</v>
      </c>
      <c r="S4" s="55" t="s">
        <v>451</v>
      </c>
      <c r="T4" s="55" t="s">
        <v>452</v>
      </c>
      <c r="U4" s="55" t="s">
        <v>11</v>
      </c>
    </row>
    <row r="5" customFormat="false" ht="15" hidden="false" customHeight="true" outlineLevel="0" collapsed="false">
      <c r="A5" s="9" t="s">
        <v>453</v>
      </c>
      <c r="B5" s="10" t="s">
        <v>454</v>
      </c>
      <c r="C5" s="56" t="n">
        <v>228.52</v>
      </c>
      <c r="D5" s="11" t="n">
        <v>5520000</v>
      </c>
      <c r="E5" s="11" t="n">
        <v>5490000</v>
      </c>
      <c r="F5" s="11" t="n">
        <v>302970</v>
      </c>
      <c r="G5" s="11" t="n">
        <v>201270</v>
      </c>
      <c r="H5" s="11" t="n">
        <v>192880</v>
      </c>
      <c r="I5" s="57" t="n">
        <v>2.22</v>
      </c>
      <c r="J5" s="11" t="n">
        <v>411650</v>
      </c>
      <c r="K5" s="12" t="n">
        <f aca="false">J5*1.5</f>
        <v>617475</v>
      </c>
      <c r="L5" s="45" t="n">
        <v>0.333333333333333</v>
      </c>
      <c r="M5" s="12" t="n">
        <f aca="false">L5*J5+(1-L5)*K5</f>
        <v>548866.666666667</v>
      </c>
      <c r="N5" s="33" t="n">
        <f aca="false">E5/F5</f>
        <v>18.1206060005941</v>
      </c>
      <c r="O5" s="33" t="n">
        <f aca="false">E5/M5</f>
        <v>10.0024292481477</v>
      </c>
      <c r="P5" s="33" t="n">
        <f aca="false">E5/G5</f>
        <v>27.2767923684603</v>
      </c>
      <c r="Q5" s="33" t="n">
        <f aca="false">IF(H5&gt;0,D5/H5,"n/m")</f>
        <v>28.6188303608461</v>
      </c>
      <c r="R5" s="58" t="n">
        <v>18.89</v>
      </c>
      <c r="S5" s="13" t="n">
        <f aca="false">G5/F5</f>
        <v>0.664323200316863</v>
      </c>
      <c r="T5" s="13" t="n">
        <f aca="false">M5/F5-1</f>
        <v>0.811620512481984</v>
      </c>
      <c r="U5" s="4" t="s">
        <v>455</v>
      </c>
    </row>
    <row r="6" customFormat="false" ht="15" hidden="false" customHeight="true" outlineLevel="0" collapsed="false">
      <c r="A6" s="9" t="s">
        <v>456</v>
      </c>
      <c r="B6" s="10" t="s">
        <v>457</v>
      </c>
      <c r="C6" s="56" t="n">
        <v>357.31</v>
      </c>
      <c r="D6" s="11" t="n">
        <v>1710000</v>
      </c>
      <c r="E6" s="11" t="n">
        <v>1740000</v>
      </c>
      <c r="F6" s="11" t="n">
        <v>89100</v>
      </c>
      <c r="G6" s="11" t="n">
        <v>52260</v>
      </c>
      <c r="H6" s="11" t="n">
        <v>38270</v>
      </c>
      <c r="I6" s="57" t="n">
        <v>1.48</v>
      </c>
      <c r="J6" s="11" t="n">
        <v>105970</v>
      </c>
      <c r="K6" s="11" t="n">
        <v>157000</v>
      </c>
      <c r="L6" s="45" t="n">
        <v>0</v>
      </c>
      <c r="M6" s="12" t="n">
        <f aca="false">L6*J6+(1-L6)*K6</f>
        <v>157000</v>
      </c>
      <c r="N6" s="33" t="n">
        <f aca="false">E6/F6</f>
        <v>19.5286195286195</v>
      </c>
      <c r="O6" s="33" t="n">
        <f aca="false">E6/M6</f>
        <v>11.0828025477707</v>
      </c>
      <c r="P6" s="33" t="n">
        <f aca="false">E6/G6</f>
        <v>33.2950631458094</v>
      </c>
      <c r="Q6" s="33" t="n">
        <f aca="false">IF(H6&gt;0,D6/H6,"n/m")</f>
        <v>44.6825189443428</v>
      </c>
      <c r="R6" s="58" t="n">
        <v>20.62</v>
      </c>
      <c r="S6" s="13" t="n">
        <f aca="false">G6/F6</f>
        <v>0.586531986531987</v>
      </c>
      <c r="T6" s="13" t="n">
        <f aca="false">M6/F6-1</f>
        <v>0.762065095398429</v>
      </c>
      <c r="U6" s="4" t="s">
        <v>458</v>
      </c>
    </row>
    <row r="7" customFormat="false" ht="15" hidden="false" customHeight="true" outlineLevel="0" collapsed="false">
      <c r="A7" s="9" t="s">
        <v>459</v>
      </c>
      <c r="B7" s="10" t="s">
        <v>460</v>
      </c>
      <c r="C7" s="56" t="n">
        <v>102.81</v>
      </c>
      <c r="D7" s="11" t="n">
        <v>540220</v>
      </c>
      <c r="E7" s="11" t="n">
        <v>560780</v>
      </c>
      <c r="F7" s="11" t="n">
        <v>57030</v>
      </c>
      <c r="G7" s="11" t="n">
        <v>16840</v>
      </c>
      <c r="H7" s="11" t="n">
        <v>-11290</v>
      </c>
      <c r="I7" s="57" t="n">
        <v>2.23</v>
      </c>
      <c r="J7" s="11" t="n">
        <v>63130</v>
      </c>
      <c r="K7" s="12" t="n">
        <f aca="false">J7*1.08</f>
        <v>68180.4</v>
      </c>
      <c r="L7" s="45" t="n">
        <v>0.2</v>
      </c>
      <c r="M7" s="12" t="n">
        <f aca="false">L7*J7+(1-L7)*K7</f>
        <v>67170.32</v>
      </c>
      <c r="N7" s="33" t="n">
        <f aca="false">E7/F7</f>
        <v>9.83307031386989</v>
      </c>
      <c r="O7" s="33" t="n">
        <f aca="false">E7/M7</f>
        <v>8.34862778679631</v>
      </c>
      <c r="P7" s="33" t="n">
        <f aca="false">E7/G7</f>
        <v>33.3004750593824</v>
      </c>
      <c r="Q7" s="33" t="str">
        <f aca="false">IF(H7&gt;0,D7/H7,"n/m")</f>
        <v>n/m</v>
      </c>
      <c r="R7" s="58" t="n">
        <v>60.65</v>
      </c>
      <c r="S7" s="13" t="n">
        <f aca="false">G7/F7</f>
        <v>0.295283184288971</v>
      </c>
      <c r="T7" s="13" t="n">
        <f aca="false">M7/F7-1</f>
        <v>0.177806768367526</v>
      </c>
      <c r="U7" s="4" t="s">
        <v>461</v>
      </c>
    </row>
    <row r="8" customFormat="false" ht="15" hidden="false" customHeight="true" outlineLevel="0" collapsed="false">
      <c r="A8" s="9" t="s">
        <v>462</v>
      </c>
      <c r="B8" s="10" t="s">
        <v>463</v>
      </c>
      <c r="C8" s="56" t="n">
        <v>176.86</v>
      </c>
      <c r="D8" s="11" t="n">
        <v>188860</v>
      </c>
      <c r="E8" s="11" t="n">
        <v>195820</v>
      </c>
      <c r="F8" s="11" t="n">
        <v>44070</v>
      </c>
      <c r="G8" s="11" t="n">
        <v>12000</v>
      </c>
      <c r="H8" s="11" t="n">
        <v>9260</v>
      </c>
      <c r="I8" s="57" t="n">
        <v>1.65</v>
      </c>
      <c r="J8" s="11" t="n">
        <v>42880</v>
      </c>
      <c r="K8" s="12" t="n">
        <f aca="false">J8*1.04</f>
        <v>44595.2</v>
      </c>
      <c r="L8" s="45" t="n">
        <v>0</v>
      </c>
      <c r="M8" s="12" t="n">
        <f aca="false">L8*J8+(1-L8)*K8</f>
        <v>44595.2</v>
      </c>
      <c r="N8" s="33" t="n">
        <f aca="false">E8/F8</f>
        <v>4.44338552303154</v>
      </c>
      <c r="O8" s="33" t="n">
        <f aca="false">E8/M8</f>
        <v>4.39105553960964</v>
      </c>
      <c r="P8" s="33" t="n">
        <f aca="false">E8/G8</f>
        <v>16.3183333333333</v>
      </c>
      <c r="Q8" s="33" t="n">
        <f aca="false">IF(H8&gt;0,D8/H8,"n/m")</f>
        <v>20.3952483801296</v>
      </c>
      <c r="R8" s="58" t="n">
        <v>19.08</v>
      </c>
      <c r="S8" s="13" t="n">
        <f aca="false">G8/F8</f>
        <v>0.272294077603812</v>
      </c>
      <c r="T8" s="13" t="n">
        <f aca="false">M8/F8-1</f>
        <v>0.0119174041297936</v>
      </c>
      <c r="U8" s="4" t="s">
        <v>464</v>
      </c>
    </row>
    <row r="9" customFormat="false" ht="15" hidden="false" customHeight="true" outlineLevel="0" collapsed="false">
      <c r="A9" s="7" t="s">
        <v>465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</row>
    <row r="10" customFormat="false" ht="15" hidden="false" customHeight="true" outlineLevel="0" collapsed="false">
      <c r="A10" s="9" t="s">
        <v>466</v>
      </c>
      <c r="D10" s="12" t="n">
        <f aca="false">MAX(D5:D8)</f>
        <v>5520000</v>
      </c>
      <c r="I10" s="40" t="n">
        <f aca="false">MAX(I5:I8)</f>
        <v>2.23</v>
      </c>
      <c r="N10" s="33" t="n">
        <f aca="false">MAX(N5:N8)</f>
        <v>19.5286195286195</v>
      </c>
      <c r="O10" s="33" t="n">
        <f aca="false">MAX(O5:O8)</f>
        <v>11.0828025477707</v>
      </c>
      <c r="P10" s="33" t="n">
        <f aca="false">MAX(P5:P8)</f>
        <v>33.3004750593824</v>
      </c>
      <c r="Q10" s="33" t="n">
        <f aca="false">MAX(Q5:Q8)</f>
        <v>44.6825189443428</v>
      </c>
      <c r="R10" s="33" t="n">
        <f aca="false">MAX(R5:R8)</f>
        <v>60.65</v>
      </c>
      <c r="S10" s="13" t="n">
        <f aca="false">MAX(S5:S8)</f>
        <v>0.664323200316863</v>
      </c>
      <c r="T10" s="13" t="n">
        <f aca="false">MAX(T5:T8)</f>
        <v>0.811620512481984</v>
      </c>
    </row>
    <row r="11" customFormat="false" ht="15" hidden="false" customHeight="true" outlineLevel="0" collapsed="false">
      <c r="A11" s="9" t="s">
        <v>467</v>
      </c>
      <c r="D11" s="12" t="n">
        <f aca="false">QUARTILE(D5:D8,3)</f>
        <v>2662500</v>
      </c>
      <c r="I11" s="40" t="n">
        <f aca="false">QUARTILE(I5:I8,3)</f>
        <v>2.2225</v>
      </c>
      <c r="N11" s="33" t="n">
        <f aca="false">QUARTILE(N5:N8,3)</f>
        <v>18.4726093826005</v>
      </c>
      <c r="O11" s="33" t="n">
        <f aca="false">QUARTILE(O5:O8,3)</f>
        <v>10.2725225730534</v>
      </c>
      <c r="P11" s="33" t="n">
        <f aca="false">QUARTILE(P5:P8,3)</f>
        <v>33.2964161242027</v>
      </c>
      <c r="Q11" s="33" t="n">
        <f aca="false">QUARTILE(Q5:Q8,3)</f>
        <v>36.6506746525945</v>
      </c>
      <c r="R11" s="33" t="n">
        <f aca="false">QUARTILE(R5:R8,3)</f>
        <v>30.6275</v>
      </c>
      <c r="S11" s="13" t="n">
        <f aca="false">QUARTILE(S5:S8,3)</f>
        <v>0.605979789978206</v>
      </c>
      <c r="T11" s="13" t="n">
        <f aca="false">QUARTILE(T5:T8,3)</f>
        <v>0.774453949669318</v>
      </c>
    </row>
    <row r="12" customFormat="false" ht="15" hidden="false" customHeight="true" outlineLevel="0" collapsed="false">
      <c r="A12" s="9" t="s">
        <v>468</v>
      </c>
      <c r="D12" s="12" t="n">
        <f aca="false">MEDIAN(D5:D8)</f>
        <v>1125110</v>
      </c>
      <c r="I12" s="40" t="n">
        <f aca="false">MEDIAN(I5:I8)</f>
        <v>1.935</v>
      </c>
      <c r="N12" s="33" t="n">
        <f aca="false">MEDIAN(N5:N8)</f>
        <v>13.976838157232</v>
      </c>
      <c r="O12" s="33" t="n">
        <f aca="false">MEDIAN(O5:O8)</f>
        <v>9.175528517472</v>
      </c>
      <c r="P12" s="33" t="n">
        <f aca="false">MEDIAN(P5:P8)</f>
        <v>30.2859277571348</v>
      </c>
      <c r="Q12" s="33" t="n">
        <f aca="false">MEDIAN(Q5:Q8)</f>
        <v>28.6188303608461</v>
      </c>
      <c r="R12" s="33" t="n">
        <f aca="false">MEDIAN(R5:R8)</f>
        <v>19.85</v>
      </c>
      <c r="S12" s="13" t="n">
        <f aca="false">MEDIAN(S5:S8)</f>
        <v>0.440907585410479</v>
      </c>
      <c r="T12" s="13" t="n">
        <f aca="false">MEDIAN(T5:T8)</f>
        <v>0.469935931882977</v>
      </c>
    </row>
    <row r="13" customFormat="false" ht="15" hidden="false" customHeight="true" outlineLevel="0" collapsed="false">
      <c r="A13" s="9" t="s">
        <v>469</v>
      </c>
      <c r="D13" s="12" t="n">
        <f aca="false">QUARTILE(D5:D8,1)</f>
        <v>452380</v>
      </c>
      <c r="I13" s="40" t="n">
        <f aca="false">QUARTILE(I5:I8,1)</f>
        <v>1.6075</v>
      </c>
      <c r="N13" s="33" t="n">
        <f aca="false">QUARTILE(N5:N8,1)</f>
        <v>8.48564911616031</v>
      </c>
      <c r="O13" s="33" t="n">
        <f aca="false">QUARTILE(O5:O8,1)</f>
        <v>7.35923472499964</v>
      </c>
      <c r="P13" s="33" t="n">
        <f aca="false">QUARTILE(P5:P8,1)</f>
        <v>24.5371776096785</v>
      </c>
      <c r="Q13" s="33" t="n">
        <f aca="false">QUARTILE(Q5:Q8,1)</f>
        <v>24.5070393704879</v>
      </c>
      <c r="R13" s="33" t="n">
        <f aca="false">QUARTILE(R5:R8,1)</f>
        <v>19.0325</v>
      </c>
      <c r="S13" s="13" t="n">
        <f aca="false">QUARTILE(S5:S8,1)</f>
        <v>0.289535907617681</v>
      </c>
      <c r="T13" s="13" t="n">
        <f aca="false">QUARTILE(T5:T8,1)</f>
        <v>0.136334427308093</v>
      </c>
    </row>
    <row r="14" customFormat="false" ht="15" hidden="false" customHeight="true" outlineLevel="0" collapsed="false">
      <c r="A14" s="9" t="s">
        <v>470</v>
      </c>
      <c r="D14" s="12" t="n">
        <f aca="false">MIN(D5:D8)</f>
        <v>188860</v>
      </c>
      <c r="I14" s="40" t="n">
        <f aca="false">MIN(I5:I8)</f>
        <v>1.48</v>
      </c>
      <c r="N14" s="33" t="n">
        <f aca="false">MIN(N5:N8)</f>
        <v>4.44338552303154</v>
      </c>
      <c r="O14" s="33" t="n">
        <f aca="false">MIN(O5:O8)</f>
        <v>4.39105553960964</v>
      </c>
      <c r="P14" s="33" t="n">
        <f aca="false">MIN(P5:P8)</f>
        <v>16.3183333333333</v>
      </c>
      <c r="Q14" s="33" t="n">
        <f aca="false">MIN(Q5:Q8)</f>
        <v>20.3952483801296</v>
      </c>
      <c r="R14" s="33" t="n">
        <f aca="false">MIN(R5:R8)</f>
        <v>18.89</v>
      </c>
      <c r="S14" s="13" t="n">
        <f aca="false">MIN(S5:S8)</f>
        <v>0.272294077603812</v>
      </c>
      <c r="T14" s="13" t="n">
        <f aca="false">MIN(T5:T8)</f>
        <v>0.0119174041297936</v>
      </c>
    </row>
    <row r="15" customFormat="false" ht="15" hidden="false" customHeight="true" outlineLevel="0" collapsed="false">
      <c r="A15" s="7" t="s">
        <v>471</v>
      </c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</row>
    <row r="16" customFormat="false" ht="15" hidden="false" customHeight="true" outlineLevel="0" collapsed="false">
      <c r="A16" s="9" t="s">
        <v>472</v>
      </c>
      <c r="B16" s="10" t="s">
        <v>473</v>
      </c>
      <c r="C16" s="49" t="n">
        <f aca="false">'DCF Inputs'!$C$29</f>
        <v>605.53</v>
      </c>
      <c r="D16" s="19" t="n">
        <f aca="false">'DCF Inputs'!$C$31</f>
        <v>1004574.27</v>
      </c>
      <c r="E16" s="19" t="n">
        <f aca="false">'DCF Inputs'!$C$31+'DCF Inputs'!$C$32-'DCF Inputs'!$C$33</f>
        <v>994689.27</v>
      </c>
      <c r="F16" s="12" t="n">
        <f aca="false">9246+10270+10253+11536</f>
        <v>41305</v>
      </c>
      <c r="G16" s="11" t="n">
        <v>9560</v>
      </c>
      <c r="H16" s="12" t="n">
        <f aca="false">(4335-1581)+3680</f>
        <v>6434</v>
      </c>
      <c r="I16" s="57" t="n">
        <v>2.45</v>
      </c>
      <c r="J16" s="19" t="n">
        <f aca="false">'DCF Inputs'!F6</f>
        <v>49181.72</v>
      </c>
      <c r="K16" s="19" t="n">
        <f aca="false">'DCF Inputs'!G6</f>
        <v>68483.228</v>
      </c>
      <c r="L16" s="45" t="n">
        <v>0.25</v>
      </c>
      <c r="M16" s="12" t="n">
        <f aca="false">L16*J16+(1-L16)*K16</f>
        <v>63657.851</v>
      </c>
      <c r="N16" s="33" t="n">
        <f aca="false">E16/F16</f>
        <v>24.0815705120445</v>
      </c>
      <c r="O16" s="33" t="n">
        <f aca="false">E16/M16</f>
        <v>15.6255552830396</v>
      </c>
      <c r="P16" s="33" t="n">
        <f aca="false">E16/G16</f>
        <v>104.046994769874</v>
      </c>
      <c r="Q16" s="33" t="n">
        <f aca="false">D16/H16</f>
        <v>156.135261112838</v>
      </c>
      <c r="R16" s="58" t="n">
        <v>54.53</v>
      </c>
      <c r="S16" s="13" t="n">
        <f aca="false">G16/F16</f>
        <v>0.231448977121414</v>
      </c>
      <c r="T16" s="13" t="n">
        <f aca="false">M16/F16-1</f>
        <v>0.541165742646169</v>
      </c>
      <c r="U16" s="4" t="s">
        <v>474</v>
      </c>
    </row>
    <row r="18" customFormat="false" ht="15" hidden="false" customHeight="true" outlineLevel="0" collapsed="false">
      <c r="A18" s="7" t="s">
        <v>475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</row>
    <row r="19" customFormat="false" ht="34.5" hidden="false" customHeight="true" outlineLevel="0" collapsed="false">
      <c r="A19" s="43"/>
      <c r="B19" s="43"/>
      <c r="C19" s="43" t="s">
        <v>476</v>
      </c>
      <c r="D19" s="43" t="s">
        <v>477</v>
      </c>
      <c r="E19" s="43" t="s">
        <v>478</v>
      </c>
      <c r="F19" s="43" t="s">
        <v>479</v>
      </c>
      <c r="G19" s="43" t="s">
        <v>409</v>
      </c>
      <c r="H19" s="43" t="s">
        <v>410</v>
      </c>
      <c r="I19" s="43" t="s">
        <v>480</v>
      </c>
      <c r="J19" s="43" t="s">
        <v>481</v>
      </c>
      <c r="K19" s="59"/>
      <c r="L19" s="59"/>
      <c r="M19" s="59"/>
      <c r="N19" s="59"/>
    </row>
    <row r="20" customFormat="false" ht="15" hidden="false" customHeight="true" outlineLevel="0" collapsed="false">
      <c r="A20" s="9" t="s">
        <v>482</v>
      </c>
      <c r="C20" s="33" t="n">
        <f aca="false">O13</f>
        <v>7.35923472499964</v>
      </c>
      <c r="D20" s="12" t="n">
        <f aca="false">M16</f>
        <v>63657.851</v>
      </c>
      <c r="E20" s="12" t="n">
        <f aca="false">C20*D20</f>
        <v>468473.067598053</v>
      </c>
      <c r="F20" s="19" t="n">
        <f aca="false">'DCF Inputs'!$C$33-'DCF Inputs'!$C$32</f>
        <v>9885</v>
      </c>
      <c r="G20" s="12" t="n">
        <f aca="false">E20+F20</f>
        <v>478358.067598053</v>
      </c>
      <c r="H20" s="19" t="n">
        <f aca="false">'DCF Inputs'!$C$30</f>
        <v>1659</v>
      </c>
      <c r="I20" s="48" t="n">
        <f aca="false">G20/H20</f>
        <v>288.341210125409</v>
      </c>
      <c r="J20" s="14" t="n">
        <f aca="false">I20/'DCF Inputs'!$C$29-1</f>
        <v>-0.523820107797452</v>
      </c>
    </row>
    <row r="21" customFormat="false" ht="15" hidden="false" customHeight="true" outlineLevel="0" collapsed="false">
      <c r="A21" s="9" t="s">
        <v>483</v>
      </c>
      <c r="C21" s="33" t="n">
        <f aca="false">O12</f>
        <v>9.175528517472</v>
      </c>
      <c r="D21" s="12" t="n">
        <f aca="false">M16</f>
        <v>63657.851</v>
      </c>
      <c r="E21" s="12" t="n">
        <f aca="false">C21*D21</f>
        <v>584094.427211484</v>
      </c>
      <c r="F21" s="19" t="n">
        <f aca="false">'DCF Inputs'!$C$33-'DCF Inputs'!$C$32</f>
        <v>9885</v>
      </c>
      <c r="G21" s="12" t="n">
        <f aca="false">E21+F21</f>
        <v>593979.427211484</v>
      </c>
      <c r="H21" s="19" t="n">
        <f aca="false">'DCF Inputs'!$C$30</f>
        <v>1659</v>
      </c>
      <c r="I21" s="48" t="n">
        <f aca="false">G21/H21</f>
        <v>358.034615558459</v>
      </c>
      <c r="J21" s="14" t="n">
        <f aca="false">I21/'DCF Inputs'!$C$29-1</f>
        <v>-0.408725223261508</v>
      </c>
    </row>
    <row r="22" customFormat="false" ht="15" hidden="false" customHeight="true" outlineLevel="0" collapsed="false">
      <c r="A22" s="9" t="s">
        <v>484</v>
      </c>
      <c r="C22" s="33" t="n">
        <f aca="false">O11</f>
        <v>10.2725225730534</v>
      </c>
      <c r="D22" s="12" t="n">
        <f aca="false">M16</f>
        <v>63657.851</v>
      </c>
      <c r="E22" s="12" t="n">
        <f aca="false">C22*D22</f>
        <v>653926.711349573</v>
      </c>
      <c r="F22" s="19" t="n">
        <f aca="false">'DCF Inputs'!$C$33-'DCF Inputs'!$C$32</f>
        <v>9885</v>
      </c>
      <c r="G22" s="12" t="n">
        <f aca="false">E22+F22</f>
        <v>663811.711349573</v>
      </c>
      <c r="H22" s="19" t="n">
        <f aca="false">'DCF Inputs'!$C$30</f>
        <v>1659</v>
      </c>
      <c r="I22" s="48" t="n">
        <f aca="false">G22/H22</f>
        <v>400.127613833377</v>
      </c>
      <c r="J22" s="14" t="n">
        <f aca="false">I22/'DCF Inputs'!$C$29-1</f>
        <v>-0.339210916332176</v>
      </c>
    </row>
    <row r="23" customFormat="false" ht="15" hidden="false" customHeight="true" outlineLevel="0" collapsed="false">
      <c r="A23" s="7" t="s">
        <v>485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</row>
    <row r="24" customFormat="false" ht="15" hidden="false" customHeight="true" outlineLevel="0" collapsed="false">
      <c r="A24" s="10" t="s">
        <v>486</v>
      </c>
      <c r="C24" s="33" t="n">
        <f aca="false">R12</f>
        <v>19.85</v>
      </c>
    </row>
    <row r="25" customFormat="false" ht="15" hidden="false" customHeight="true" outlineLevel="0" collapsed="false">
      <c r="A25" s="10" t="s">
        <v>487</v>
      </c>
      <c r="C25" s="49" t="n">
        <f aca="false">0.25*'Income Statement'!F68+0.75*'Income Statement'!G68</f>
        <v>9.54886857985953</v>
      </c>
    </row>
    <row r="26" customFormat="false" ht="15" hidden="false" customHeight="true" outlineLevel="0" collapsed="false">
      <c r="A26" s="10" t="s">
        <v>488</v>
      </c>
      <c r="C26" s="48" t="n">
        <f aca="false">C24*C25</f>
        <v>189.545041310212</v>
      </c>
    </row>
    <row r="27" customFormat="false" ht="15" hidden="false" customHeight="true" outlineLevel="0" collapsed="false">
      <c r="A27" s="10" t="s">
        <v>489</v>
      </c>
      <c r="C27" s="49" t="n">
        <f aca="false">(P12*G16+'DCF Inputs'!$C$33-'DCF Inputs'!$C$32)/'DCF Inputs'!$C$30</f>
        <v>180.481295574569</v>
      </c>
    </row>
    <row r="29" customFormat="false" ht="15" hidden="false" customHeight="true" outlineLevel="0" collapsed="false">
      <c r="A29" s="4" t="s">
        <v>490</v>
      </c>
    </row>
    <row r="30" customFormat="false" ht="15" hidden="false" customHeight="true" outlineLevel="0" collapsed="false">
      <c r="A30" s="4" t="s">
        <v>491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4"/>
    <col collapsed="false" customWidth="true" hidden="false" outlineLevel="0" max="5" min="3" style="1" width="12"/>
    <col collapsed="false" customWidth="true" hidden="false" outlineLevel="0" max="6" min="6" style="1" width="10"/>
    <col collapsed="false" customWidth="true" hidden="false" outlineLevel="0" max="7" min="7" style="1" width="12"/>
    <col collapsed="false" customWidth="true" hidden="false" outlineLevel="0" max="8" min="8" style="1" width="60"/>
  </cols>
  <sheetData>
    <row r="1" customFormat="false" ht="17.25" hidden="false" customHeight="true" outlineLevel="0" collapsed="false">
      <c r="A1" s="2" t="s">
        <v>492</v>
      </c>
    </row>
    <row r="2" customFormat="false" ht="15" hidden="false" customHeight="true" outlineLevel="0" collapsed="false">
      <c r="A2" s="4" t="s">
        <v>493</v>
      </c>
    </row>
    <row r="4" customFormat="false" ht="15" hidden="false" customHeight="true" outlineLevel="0" collapsed="false">
      <c r="A4" s="43" t="s">
        <v>494</v>
      </c>
      <c r="B4" s="43"/>
      <c r="C4" s="43" t="s">
        <v>495</v>
      </c>
      <c r="D4" s="43" t="s">
        <v>291</v>
      </c>
      <c r="E4" s="43" t="s">
        <v>496</v>
      </c>
      <c r="F4" s="43" t="s">
        <v>497</v>
      </c>
      <c r="G4" s="43" t="s">
        <v>498</v>
      </c>
      <c r="H4" s="43" t="s">
        <v>499</v>
      </c>
      <c r="I4" s="59"/>
      <c r="J4" s="59"/>
      <c r="K4" s="59"/>
      <c r="L4" s="59"/>
      <c r="M4" s="59"/>
      <c r="N4" s="59"/>
    </row>
    <row r="5" customFormat="false" ht="15" hidden="false" customHeight="true" outlineLevel="0" collapsed="false">
      <c r="A5" s="9" t="s">
        <v>500</v>
      </c>
      <c r="C5" s="49" t="n">
        <f aca="false">Sensitivity!D11</f>
        <v>151.101580106443</v>
      </c>
      <c r="D5" s="49" t="n">
        <f aca="false">DCF!C51</f>
        <v>168.728198634742</v>
      </c>
      <c r="E5" s="49" t="n">
        <f aca="false">Sensitivity!F9</f>
        <v>191.309694065395</v>
      </c>
      <c r="F5" s="45" t="n">
        <v>0.5</v>
      </c>
      <c r="G5" s="48" t="n">
        <f aca="false">F5*D5</f>
        <v>84.3640993173708</v>
      </c>
      <c r="H5" s="4" t="s">
        <v>501</v>
      </c>
    </row>
    <row r="6" customFormat="false" ht="15" hidden="false" customHeight="true" outlineLevel="0" collapsed="false">
      <c r="A6" s="9" t="s">
        <v>502</v>
      </c>
      <c r="C6" s="49" t="n">
        <f aca="false">Comps!I20</f>
        <v>288.341210125409</v>
      </c>
      <c r="D6" s="49" t="n">
        <f aca="false">Comps!I21</f>
        <v>358.034615558459</v>
      </c>
      <c r="E6" s="49" t="n">
        <f aca="false">Comps!I22</f>
        <v>400.127613833377</v>
      </c>
      <c r="F6" s="45" t="n">
        <v>0.5</v>
      </c>
      <c r="G6" s="48" t="n">
        <f aca="false">F6*D6</f>
        <v>179.01730777923</v>
      </c>
      <c r="H6" s="4" t="s">
        <v>503</v>
      </c>
    </row>
    <row r="7" customFormat="false" ht="15" hidden="false" customHeight="true" outlineLevel="0" collapsed="false">
      <c r="A7" s="10" t="s">
        <v>504</v>
      </c>
      <c r="D7" s="49" t="n">
        <f aca="false">Comps!C26</f>
        <v>189.545041310212</v>
      </c>
      <c r="F7" s="45" t="n">
        <v>0</v>
      </c>
      <c r="G7" s="48" t="n">
        <f aca="false">F7*D7</f>
        <v>0</v>
      </c>
      <c r="H7" s="4" t="s">
        <v>505</v>
      </c>
    </row>
    <row r="8" customFormat="false" ht="15" hidden="false" customHeight="true" outlineLevel="0" collapsed="false">
      <c r="A8" s="10" t="s">
        <v>506</v>
      </c>
      <c r="D8" s="49" t="n">
        <f aca="false">Comps!C27</f>
        <v>180.481295574569</v>
      </c>
      <c r="F8" s="45" t="n">
        <v>0</v>
      </c>
      <c r="G8" s="48" t="n">
        <f aca="false">F8*D8</f>
        <v>0</v>
      </c>
      <c r="H8" s="4" t="s">
        <v>505</v>
      </c>
    </row>
    <row r="9" customFormat="false" ht="15" hidden="false" customHeight="true" outlineLevel="0" collapsed="false">
      <c r="A9" s="10" t="s">
        <v>507</v>
      </c>
      <c r="C9" s="60" t="n">
        <v>96.43</v>
      </c>
      <c r="D9" s="49" t="n">
        <f aca="false">DCF!C51</f>
        <v>168.728198634742</v>
      </c>
      <c r="E9" s="60" t="n">
        <v>235.57</v>
      </c>
      <c r="F9" s="45" t="n">
        <v>0</v>
      </c>
      <c r="G9" s="48" t="n">
        <f aca="false">F9*D9</f>
        <v>0</v>
      </c>
      <c r="H9" s="4" t="s">
        <v>508</v>
      </c>
    </row>
    <row r="10" customFormat="false" ht="15" hidden="false" customHeight="true" outlineLevel="0" collapsed="false">
      <c r="A10" s="10" t="s">
        <v>509</v>
      </c>
      <c r="C10" s="56" t="n">
        <v>188.22</v>
      </c>
      <c r="D10" s="49" t="n">
        <f aca="false">'DCF Inputs'!$C$29</f>
        <v>605.53</v>
      </c>
      <c r="E10" s="56" t="n">
        <v>658.52</v>
      </c>
      <c r="F10" s="45" t="n">
        <v>0</v>
      </c>
      <c r="G10" s="48" t="n">
        <f aca="false">F10*D10</f>
        <v>0</v>
      </c>
      <c r="H10" s="4" t="s">
        <v>510</v>
      </c>
    </row>
    <row r="11" customFormat="false" ht="15" hidden="false" customHeight="true" outlineLevel="0" collapsed="false">
      <c r="A11" s="10" t="s">
        <v>511</v>
      </c>
      <c r="D11" s="56" t="n">
        <v>636.21</v>
      </c>
      <c r="F11" s="45" t="n">
        <v>0</v>
      </c>
      <c r="G11" s="48" t="n">
        <f aca="false">F11*D11</f>
        <v>0</v>
      </c>
      <c r="H11" s="4" t="s">
        <v>512</v>
      </c>
    </row>
    <row r="13" customFormat="false" ht="15" hidden="false" customHeight="true" outlineLevel="0" collapsed="false">
      <c r="A13" s="7" t="s">
        <v>513</v>
      </c>
      <c r="B13" s="38"/>
      <c r="C13" s="38"/>
      <c r="D13" s="38"/>
      <c r="E13" s="38"/>
      <c r="F13" s="38"/>
      <c r="G13" s="38"/>
      <c r="H13" s="38"/>
    </row>
    <row r="14" customFormat="false" ht="15" hidden="false" customHeight="true" outlineLevel="0" collapsed="false">
      <c r="A14" s="10" t="s">
        <v>514</v>
      </c>
      <c r="D14" s="13" t="n">
        <f aca="false">SUM(F5:F11)</f>
        <v>1</v>
      </c>
    </row>
    <row r="15" customFormat="false" ht="15" hidden="false" customHeight="true" outlineLevel="0" collapsed="false">
      <c r="A15" s="10" t="s">
        <v>515</v>
      </c>
      <c r="D15" s="48" t="n">
        <f aca="false">SUMPRODUCT(D5:D11,F5:F11)</f>
        <v>263.3814070966</v>
      </c>
    </row>
    <row r="16" customFormat="false" ht="15" hidden="false" customHeight="true" outlineLevel="0" collapsed="false">
      <c r="A16" s="9" t="s">
        <v>516</v>
      </c>
      <c r="D16" s="61" t="n">
        <f aca="false">ROUND(D15/5,0)*5</f>
        <v>265</v>
      </c>
    </row>
    <row r="17" customFormat="false" ht="15" hidden="false" customHeight="true" outlineLevel="0" collapsed="false">
      <c r="A17" s="10" t="s">
        <v>517</v>
      </c>
      <c r="D17" s="49" t="n">
        <f aca="false">'DCF Inputs'!$C$29</f>
        <v>605.53</v>
      </c>
    </row>
    <row r="18" customFormat="false" ht="15" hidden="false" customHeight="true" outlineLevel="0" collapsed="false">
      <c r="A18" s="9" t="s">
        <v>413</v>
      </c>
      <c r="D18" s="13" t="n">
        <f aca="false">D16/D17-1</f>
        <v>-0.562366852179083</v>
      </c>
    </row>
    <row r="19" customFormat="false" ht="15" hidden="false" customHeight="true" outlineLevel="0" collapsed="false">
      <c r="A19" s="10" t="s">
        <v>518</v>
      </c>
      <c r="D19" s="45" t="n">
        <v>0.15</v>
      </c>
    </row>
    <row r="20" customFormat="false" ht="15" hidden="false" customHeight="true" outlineLevel="0" collapsed="false">
      <c r="A20" s="10" t="s">
        <v>519</v>
      </c>
      <c r="D20" s="45" t="n">
        <v>-0.15</v>
      </c>
    </row>
    <row r="21" customFormat="false" ht="15" hidden="false" customHeight="true" outlineLevel="0" collapsed="false">
      <c r="A21" s="9" t="s">
        <v>520</v>
      </c>
      <c r="D21" s="62" t="str">
        <f aca="false">IF(D18&gt;D19,"BUY",IF(D18&lt;D20,"SELL","HOLD"))</f>
        <v>SELL</v>
      </c>
    </row>
    <row r="23" customFormat="false" ht="15" hidden="false" customHeight="true" outlineLevel="0" collapsed="false">
      <c r="A23" s="4" t="s">
        <v>521</v>
      </c>
    </row>
    <row r="24" customFormat="false" ht="15" hidden="false" customHeight="true" outlineLevel="0" collapsed="false">
      <c r="A24" s="4" t="s">
        <v>522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10" min="2" style="1" width="12"/>
    <col collapsed="false" customWidth="true" hidden="false" outlineLevel="0" max="11" min="11" style="1" width="70"/>
  </cols>
  <sheetData>
    <row r="1" customFormat="false" ht="17.25" hidden="false" customHeight="true" outlineLevel="0" collapsed="false">
      <c r="A1" s="2" t="s">
        <v>523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customFormat="false" ht="15" hidden="false" customHeight="true" outlineLevel="0" collapsed="false">
      <c r="A2" s="4" t="s">
        <v>524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customFormat="false" ht="15" hidden="false" customHeight="true" outlineLevel="0" collapsed="false">
      <c r="A4" s="5" t="s">
        <v>2</v>
      </c>
      <c r="B4" s="5"/>
      <c r="C4" s="6" t="s">
        <v>525</v>
      </c>
      <c r="D4" s="6" t="s">
        <v>526</v>
      </c>
      <c r="E4" s="6" t="s">
        <v>527</v>
      </c>
      <c r="F4" s="6" t="s">
        <v>528</v>
      </c>
      <c r="G4" s="37"/>
      <c r="H4" s="37"/>
      <c r="I4" s="37"/>
      <c r="J4" s="37"/>
      <c r="K4" s="5" t="s">
        <v>11</v>
      </c>
    </row>
    <row r="5" customFormat="false" ht="15" hidden="false" customHeight="true" outlineLevel="0" collapsed="false">
      <c r="A5" s="7" t="s">
        <v>529</v>
      </c>
      <c r="B5" s="8"/>
      <c r="C5" s="8"/>
      <c r="D5" s="8"/>
      <c r="E5" s="8"/>
      <c r="F5" s="8"/>
      <c r="G5" s="8"/>
      <c r="H5" s="8"/>
      <c r="I5" s="8"/>
      <c r="J5" s="8"/>
      <c r="K5" s="8"/>
    </row>
    <row r="6" customFormat="false" ht="15" hidden="false" customHeight="true" outlineLevel="0" collapsed="false">
      <c r="A6" s="10" t="s">
        <v>69</v>
      </c>
      <c r="B6" s="3"/>
      <c r="C6" s="11" t="n">
        <v>3674</v>
      </c>
      <c r="D6" s="11" t="n">
        <v>3240</v>
      </c>
      <c r="E6" s="11" t="n">
        <v>5772</v>
      </c>
      <c r="F6" s="11" t="n">
        <v>6718</v>
      </c>
      <c r="G6" s="3"/>
      <c r="H6" s="3"/>
      <c r="I6" s="3"/>
      <c r="J6" s="3"/>
      <c r="K6" s="4" t="s">
        <v>530</v>
      </c>
    </row>
    <row r="7" customFormat="false" ht="15" hidden="false" customHeight="true" outlineLevel="0" collapsed="false">
      <c r="A7" s="10" t="s">
        <v>531</v>
      </c>
      <c r="B7" s="3"/>
      <c r="C7" s="11" t="n">
        <v>2294</v>
      </c>
      <c r="D7" s="11" t="n">
        <v>2499</v>
      </c>
      <c r="E7" s="11" t="n">
        <v>2890</v>
      </c>
      <c r="F7" s="11" t="n">
        <v>3062</v>
      </c>
      <c r="G7" s="3"/>
      <c r="H7" s="3"/>
      <c r="I7" s="3"/>
      <c r="J7" s="3"/>
      <c r="K7" s="3"/>
    </row>
    <row r="8" customFormat="false" ht="15" hidden="false" customHeight="true" outlineLevel="0" collapsed="false">
      <c r="A8" s="10" t="s">
        <v>532</v>
      </c>
      <c r="B8" s="3"/>
      <c r="C8" s="11" t="n">
        <v>647</v>
      </c>
      <c r="D8" s="11" t="n">
        <v>1122</v>
      </c>
      <c r="E8" s="11" t="n">
        <v>718</v>
      </c>
      <c r="F8" s="11" t="n">
        <v>779</v>
      </c>
      <c r="G8" s="3"/>
      <c r="H8" s="3"/>
      <c r="I8" s="3"/>
      <c r="J8" s="3"/>
      <c r="K8" s="3"/>
    </row>
    <row r="9" customFormat="false" ht="15" hidden="false" customHeight="true" outlineLevel="0" collapsed="false">
      <c r="A9" s="10" t="s">
        <v>71</v>
      </c>
      <c r="B9" s="3"/>
      <c r="C9" s="11" t="n">
        <v>823</v>
      </c>
      <c r="D9" s="11" t="n">
        <v>824</v>
      </c>
      <c r="E9" s="11" t="n">
        <v>873</v>
      </c>
      <c r="F9" s="11" t="n">
        <v>977</v>
      </c>
      <c r="G9" s="3"/>
      <c r="H9" s="3"/>
      <c r="I9" s="3"/>
      <c r="J9" s="3"/>
      <c r="K9" s="3"/>
    </row>
    <row r="10" customFormat="false" ht="15" hidden="false" customHeight="true" outlineLevel="0" collapsed="false">
      <c r="A10" s="9" t="s">
        <v>72</v>
      </c>
      <c r="B10" s="3"/>
      <c r="C10" s="12" t="n">
        <f aca="false">SUM(C6:C9)</f>
        <v>7438</v>
      </c>
      <c r="D10" s="12" t="n">
        <f aca="false">SUM(D6:D9)</f>
        <v>7685</v>
      </c>
      <c r="E10" s="12" t="n">
        <f aca="false">SUM(E6:E9)</f>
        <v>10253</v>
      </c>
      <c r="F10" s="12" t="n">
        <f aca="false">SUM(F6:F9)</f>
        <v>11536</v>
      </c>
      <c r="G10" s="3"/>
      <c r="H10" s="3"/>
      <c r="I10" s="3"/>
      <c r="J10" s="3"/>
      <c r="K10" s="3"/>
    </row>
    <row r="11" customFormat="false" ht="15" hidden="false" customHeight="true" outlineLevel="0" collapsed="false">
      <c r="A11" s="10" t="s">
        <v>533</v>
      </c>
      <c r="B11" s="3"/>
      <c r="C11" s="11" t="n">
        <v>7438</v>
      </c>
      <c r="D11" s="11" t="n">
        <v>7685</v>
      </c>
      <c r="E11" s="11" t="n">
        <v>10253</v>
      </c>
      <c r="F11" s="11" t="n">
        <v>11536</v>
      </c>
      <c r="G11" s="3"/>
      <c r="H11" s="3"/>
      <c r="I11" s="3"/>
      <c r="J11" s="3"/>
      <c r="K11" s="3"/>
    </row>
    <row r="12" customFormat="false" ht="15" hidden="false" customHeight="true" outlineLevel="0" collapsed="false">
      <c r="A12" s="10" t="s">
        <v>93</v>
      </c>
      <c r="B12" s="3"/>
      <c r="C12" s="12" t="n">
        <f aca="false">C10-C11</f>
        <v>0</v>
      </c>
      <c r="D12" s="12" t="n">
        <f aca="false">D10-D11</f>
        <v>0</v>
      </c>
      <c r="E12" s="12" t="n">
        <f aca="false">E10-E11</f>
        <v>0</v>
      </c>
      <c r="F12" s="12" t="n">
        <f aca="false">F10-F11</f>
        <v>0</v>
      </c>
      <c r="G12" s="3"/>
      <c r="H12" s="3"/>
      <c r="I12" s="3"/>
      <c r="J12" s="3"/>
      <c r="K12" s="3"/>
    </row>
    <row r="13" customFormat="false" ht="15" hidden="false" customHeight="true" outlineLevel="0" collapsed="false">
      <c r="A13" s="10" t="s">
        <v>534</v>
      </c>
      <c r="B13" s="3"/>
      <c r="C13" s="3"/>
      <c r="D13" s="3"/>
      <c r="E13" s="13" t="n">
        <f aca="false">E10/C10-1</f>
        <v>0.378461952137671</v>
      </c>
      <c r="F13" s="13" t="n">
        <f aca="false">F10/D10-1</f>
        <v>0.501106050748211</v>
      </c>
      <c r="G13" s="3"/>
      <c r="H13" s="3"/>
      <c r="I13" s="3"/>
      <c r="J13" s="3"/>
      <c r="K13" s="3"/>
    </row>
    <row r="14" customFormat="false" ht="15" hidden="false" customHeight="true" outlineLevel="0" collapsed="false">
      <c r="A14" s="10" t="s">
        <v>535</v>
      </c>
      <c r="B14" s="3"/>
      <c r="C14" s="3"/>
      <c r="D14" s="3"/>
      <c r="E14" s="13" t="n">
        <f aca="false">E6/C6-1</f>
        <v>0.571039738704409</v>
      </c>
      <c r="F14" s="13" t="n">
        <f aca="false">F6/D6-1</f>
        <v>1.07345679012346</v>
      </c>
      <c r="G14" s="3"/>
      <c r="H14" s="3"/>
      <c r="I14" s="3"/>
      <c r="J14" s="3"/>
      <c r="K14" s="3"/>
    </row>
    <row r="15" customFormat="false" ht="1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customFormat="false" ht="15" hidden="false" customHeight="true" outlineLevel="0" collapsed="false">
      <c r="A16" s="7" t="s">
        <v>536</v>
      </c>
      <c r="B16" s="8"/>
      <c r="C16" s="8"/>
      <c r="D16" s="8"/>
      <c r="E16" s="8"/>
      <c r="F16" s="8"/>
      <c r="G16" s="8"/>
      <c r="H16" s="8"/>
      <c r="I16" s="8"/>
      <c r="J16" s="8"/>
      <c r="K16" s="8"/>
    </row>
    <row r="17" customFormat="false" ht="15" hidden="false" customHeight="true" outlineLevel="0" collapsed="false">
      <c r="A17" s="10" t="s">
        <v>74</v>
      </c>
      <c r="B17" s="3"/>
      <c r="C17" s="11" t="n">
        <v>3451</v>
      </c>
      <c r="D17" s="11" t="n">
        <v>4366</v>
      </c>
      <c r="E17" s="11" t="n">
        <v>4576</v>
      </c>
      <c r="F17" s="11" t="n">
        <v>5073</v>
      </c>
      <c r="G17" s="3"/>
      <c r="H17" s="3"/>
      <c r="I17" s="3"/>
      <c r="J17" s="3"/>
      <c r="K17" s="3"/>
    </row>
    <row r="18" customFormat="false" ht="15" hidden="false" customHeight="true" outlineLevel="0" collapsed="false">
      <c r="A18" s="10" t="s">
        <v>537</v>
      </c>
      <c r="B18" s="3"/>
      <c r="C18" s="11" t="n">
        <v>251</v>
      </c>
      <c r="D18" s="11" t="n">
        <v>260</v>
      </c>
      <c r="E18" s="11" t="n">
        <v>261</v>
      </c>
      <c r="F18" s="11" t="n">
        <v>260</v>
      </c>
      <c r="G18" s="3"/>
      <c r="H18" s="3"/>
      <c r="I18" s="3"/>
      <c r="J18" s="3"/>
      <c r="K18" s="3"/>
    </row>
    <row r="19" customFormat="false" ht="15" hidden="false" customHeight="true" outlineLevel="0" collapsed="false">
      <c r="A19" s="9" t="s">
        <v>538</v>
      </c>
      <c r="B19" s="3"/>
      <c r="C19" s="12" t="n">
        <f aca="false">C10-C17-C18</f>
        <v>3736</v>
      </c>
      <c r="D19" s="12" t="n">
        <f aca="false">D10-D17-D18</f>
        <v>3059</v>
      </c>
      <c r="E19" s="12" t="n">
        <f aca="false">E10-E17-E18</f>
        <v>5416</v>
      </c>
      <c r="F19" s="12" t="n">
        <f aca="false">F10-F17-F18</f>
        <v>6203</v>
      </c>
      <c r="G19" s="3"/>
      <c r="H19" s="3"/>
      <c r="I19" s="3"/>
      <c r="J19" s="3"/>
      <c r="K19" s="3"/>
    </row>
    <row r="20" customFormat="false" ht="15" hidden="false" customHeight="true" outlineLevel="0" collapsed="false">
      <c r="A20" s="10" t="s">
        <v>539</v>
      </c>
      <c r="B20" s="3"/>
      <c r="C20" s="13" t="n">
        <f aca="false">C19/C10</f>
        <v>0.502285560634579</v>
      </c>
      <c r="D20" s="13" t="n">
        <f aca="false">D19/D10</f>
        <v>0.398048145738452</v>
      </c>
      <c r="E20" s="13" t="n">
        <f aca="false">E19/E10</f>
        <v>0.528235638349751</v>
      </c>
      <c r="F20" s="13" t="n">
        <f aca="false">F19/F10</f>
        <v>0.537708044382802</v>
      </c>
      <c r="G20" s="3"/>
      <c r="H20" s="3"/>
      <c r="I20" s="3"/>
      <c r="J20" s="3"/>
      <c r="K20" s="3"/>
    </row>
    <row r="21" customFormat="false" ht="15" hidden="false" customHeight="true" outlineLevel="0" collapsed="false">
      <c r="A21" s="10" t="s">
        <v>83</v>
      </c>
      <c r="B21" s="3"/>
      <c r="C21" s="11" t="n">
        <v>1728</v>
      </c>
      <c r="D21" s="11" t="n">
        <v>1894</v>
      </c>
      <c r="E21" s="11" t="n">
        <v>2397</v>
      </c>
      <c r="F21" s="11" t="n">
        <v>2528</v>
      </c>
      <c r="G21" s="3"/>
      <c r="H21" s="3"/>
      <c r="I21" s="3"/>
      <c r="J21" s="3"/>
      <c r="K21" s="3"/>
    </row>
    <row r="22" customFormat="false" ht="15" hidden="false" customHeight="true" outlineLevel="0" collapsed="false">
      <c r="A22" s="10" t="s">
        <v>540</v>
      </c>
      <c r="B22" s="3"/>
      <c r="C22" s="11" t="n">
        <v>886</v>
      </c>
      <c r="D22" s="11" t="n">
        <v>991</v>
      </c>
      <c r="E22" s="11" t="n">
        <v>1253</v>
      </c>
      <c r="F22" s="11" t="n">
        <v>1401</v>
      </c>
      <c r="G22" s="3"/>
      <c r="H22" s="3"/>
      <c r="I22" s="3"/>
      <c r="J22" s="3"/>
      <c r="K22" s="3"/>
    </row>
    <row r="23" customFormat="false" ht="15" hidden="false" customHeight="true" outlineLevel="0" collapsed="false">
      <c r="A23" s="10" t="s">
        <v>541</v>
      </c>
      <c r="B23" s="3"/>
      <c r="C23" s="11" t="n">
        <v>316</v>
      </c>
      <c r="D23" s="11" t="n">
        <v>308</v>
      </c>
      <c r="E23" s="11" t="n">
        <v>290</v>
      </c>
      <c r="F23" s="11" t="n">
        <v>284</v>
      </c>
      <c r="G23" s="3"/>
      <c r="H23" s="3"/>
      <c r="I23" s="3"/>
      <c r="J23" s="3"/>
      <c r="K23" s="3"/>
    </row>
    <row r="24" customFormat="false" ht="15" hidden="false" customHeight="true" outlineLevel="0" collapsed="false">
      <c r="A24" s="9" t="s">
        <v>542</v>
      </c>
      <c r="B24" s="3"/>
      <c r="C24" s="12" t="n">
        <f aca="false">C19-C21-C22-C23</f>
        <v>806</v>
      </c>
      <c r="D24" s="12" t="n">
        <f aca="false">D19-D21-D22-D23</f>
        <v>-134</v>
      </c>
      <c r="E24" s="12" t="n">
        <f aca="false">E19-E21-E22-E23</f>
        <v>1476</v>
      </c>
      <c r="F24" s="12" t="n">
        <f aca="false">F19-F21-F22-F23</f>
        <v>1990</v>
      </c>
      <c r="G24" s="3"/>
      <c r="H24" s="3"/>
      <c r="I24" s="3"/>
      <c r="J24" s="3"/>
      <c r="K24" s="3"/>
    </row>
    <row r="25" customFormat="false" ht="15" hidden="false" customHeight="true" outlineLevel="0" collapsed="false">
      <c r="A25" s="10" t="s">
        <v>91</v>
      </c>
      <c r="B25" s="3"/>
      <c r="C25" s="13" t="n">
        <f aca="false">C24/C10</f>
        <v>0.108362463027696</v>
      </c>
      <c r="D25" s="13" t="n">
        <f aca="false">D24/D10</f>
        <v>-0.0174365647364997</v>
      </c>
      <c r="E25" s="13" t="n">
        <f aca="false">E24/E10</f>
        <v>0.143957865990442</v>
      </c>
      <c r="F25" s="13" t="n">
        <f aca="false">F24/F10</f>
        <v>0.17250346740638</v>
      </c>
      <c r="G25" s="3"/>
      <c r="H25" s="3"/>
      <c r="I25" s="3"/>
      <c r="J25" s="3"/>
      <c r="K25" s="3"/>
    </row>
    <row r="26" customFormat="false" ht="15" hidden="false" customHeight="true" outlineLevel="0" collapsed="false">
      <c r="A26" s="10" t="s">
        <v>104</v>
      </c>
      <c r="B26" s="3"/>
      <c r="C26" s="11" t="n">
        <v>-20</v>
      </c>
      <c r="D26" s="11" t="n">
        <v>-38</v>
      </c>
      <c r="E26" s="11" t="n">
        <v>-37</v>
      </c>
      <c r="F26" s="11" t="n">
        <v>-37</v>
      </c>
      <c r="G26" s="3"/>
      <c r="H26" s="3"/>
      <c r="I26" s="3"/>
      <c r="J26" s="3"/>
      <c r="K26" s="3"/>
    </row>
    <row r="27" customFormat="false" ht="15" hidden="false" customHeight="true" outlineLevel="0" collapsed="false">
      <c r="A27" s="10" t="s">
        <v>107</v>
      </c>
      <c r="B27" s="3"/>
      <c r="C27" s="11" t="n">
        <v>39</v>
      </c>
      <c r="D27" s="11" t="n">
        <v>98</v>
      </c>
      <c r="E27" s="11" t="n">
        <v>165</v>
      </c>
      <c r="F27" s="11" t="n">
        <v>598</v>
      </c>
      <c r="G27" s="3"/>
      <c r="H27" s="3"/>
      <c r="I27" s="3"/>
      <c r="J27" s="3"/>
      <c r="K27" s="3"/>
    </row>
    <row r="28" customFormat="false" ht="15" hidden="false" customHeight="true" outlineLevel="0" collapsed="false">
      <c r="A28" s="10" t="s">
        <v>543</v>
      </c>
      <c r="B28" s="3"/>
      <c r="C28" s="12" t="n">
        <f aca="false">C24+C26+C27</f>
        <v>825</v>
      </c>
      <c r="D28" s="12" t="n">
        <f aca="false">D24+D26+D27</f>
        <v>-74</v>
      </c>
      <c r="E28" s="12" t="n">
        <f aca="false">E24+E26+E27</f>
        <v>1604</v>
      </c>
      <c r="F28" s="12" t="n">
        <f aca="false">F24+F26+F27</f>
        <v>2551</v>
      </c>
      <c r="G28" s="3"/>
      <c r="H28" s="3"/>
      <c r="I28" s="3"/>
      <c r="J28" s="3"/>
      <c r="K28" s="3"/>
    </row>
    <row r="29" customFormat="false" ht="15" hidden="false" customHeight="true" outlineLevel="0" collapsed="false">
      <c r="A29" s="10" t="s">
        <v>111</v>
      </c>
      <c r="B29" s="3"/>
      <c r="C29" s="11" t="n">
        <v>123</v>
      </c>
      <c r="D29" s="11" t="n">
        <v>-834</v>
      </c>
      <c r="E29" s="11" t="n">
        <v>238</v>
      </c>
      <c r="F29" s="11" t="n">
        <v>252</v>
      </c>
      <c r="G29" s="3"/>
      <c r="H29" s="3"/>
      <c r="I29" s="3"/>
      <c r="J29" s="3"/>
      <c r="K29" s="3"/>
    </row>
    <row r="30" customFormat="false" ht="15" hidden="false" customHeight="true" outlineLevel="0" collapsed="false">
      <c r="A30" s="10" t="s">
        <v>114</v>
      </c>
      <c r="B30" s="3"/>
      <c r="C30" s="11" t="n">
        <v>7</v>
      </c>
      <c r="D30" s="11" t="n">
        <v>8</v>
      </c>
      <c r="E30" s="11" t="n">
        <v>6</v>
      </c>
      <c r="F30" s="11" t="n">
        <v>6</v>
      </c>
      <c r="G30" s="3"/>
      <c r="H30" s="3"/>
      <c r="I30" s="3"/>
      <c r="J30" s="3"/>
      <c r="K30" s="3"/>
    </row>
    <row r="31" customFormat="false" ht="15" hidden="false" customHeight="true" outlineLevel="0" collapsed="false">
      <c r="A31" s="10" t="s">
        <v>544</v>
      </c>
      <c r="B31" s="3"/>
      <c r="C31" s="11" t="n">
        <v>0</v>
      </c>
      <c r="D31" s="11" t="n">
        <v>104</v>
      </c>
      <c r="E31" s="11" t="n">
        <v>11</v>
      </c>
      <c r="F31" s="11" t="n">
        <v>-8</v>
      </c>
      <c r="G31" s="3"/>
      <c r="H31" s="3"/>
      <c r="I31" s="3"/>
      <c r="J31" s="3"/>
      <c r="K31" s="3"/>
    </row>
    <row r="32" customFormat="false" ht="15" hidden="false" customHeight="true" outlineLevel="0" collapsed="false">
      <c r="A32" s="9" t="s">
        <v>135</v>
      </c>
      <c r="B32" s="3"/>
      <c r="C32" s="12" t="n">
        <f aca="false">C28-C29+C30+C31</f>
        <v>709</v>
      </c>
      <c r="D32" s="12" t="n">
        <f aca="false">D28-D29+D30+D31</f>
        <v>872</v>
      </c>
      <c r="E32" s="12" t="n">
        <f aca="false">E28-E29+E30+E31</f>
        <v>1383</v>
      </c>
      <c r="F32" s="12" t="n">
        <f aca="false">F28-F29+F30+F31</f>
        <v>2297</v>
      </c>
      <c r="G32" s="3"/>
      <c r="H32" s="3"/>
      <c r="I32" s="3"/>
      <c r="J32" s="3"/>
      <c r="K32" s="3"/>
    </row>
    <row r="33" customFormat="false" ht="15" hidden="false" customHeight="true" outlineLevel="0" collapsed="false">
      <c r="A33" s="10" t="s">
        <v>120</v>
      </c>
      <c r="B33" s="3"/>
      <c r="C33" s="11" t="n">
        <v>709</v>
      </c>
      <c r="D33" s="11" t="n">
        <v>872</v>
      </c>
      <c r="E33" s="11" t="n">
        <v>1383</v>
      </c>
      <c r="F33" s="11" t="n">
        <v>2297</v>
      </c>
      <c r="G33" s="3"/>
      <c r="H33" s="3"/>
      <c r="I33" s="3"/>
      <c r="J33" s="3"/>
      <c r="K33" s="3"/>
    </row>
    <row r="34" customFormat="false" ht="15" hidden="false" customHeight="true" outlineLevel="0" collapsed="false">
      <c r="A34" s="10" t="s">
        <v>93</v>
      </c>
      <c r="B34" s="3"/>
      <c r="C34" s="12" t="n">
        <f aca="false">C32-C33</f>
        <v>0</v>
      </c>
      <c r="D34" s="12" t="n">
        <f aca="false">D32-D33</f>
        <v>0</v>
      </c>
      <c r="E34" s="12" t="n">
        <f aca="false">E32-E33</f>
        <v>0</v>
      </c>
      <c r="F34" s="12" t="n">
        <f aca="false">F32-F33</f>
        <v>0</v>
      </c>
      <c r="G34" s="3"/>
      <c r="H34" s="3"/>
      <c r="I34" s="3"/>
      <c r="J34" s="3"/>
      <c r="K34" s="3"/>
    </row>
    <row r="35" customFormat="false" ht="15" hidden="false" customHeight="true" outlineLevel="0" collapsed="false">
      <c r="A35" s="10" t="s">
        <v>545</v>
      </c>
      <c r="B35" s="3"/>
      <c r="C35" s="11" t="n">
        <v>1626</v>
      </c>
      <c r="D35" s="11" t="n">
        <v>1630</v>
      </c>
      <c r="E35" s="11" t="n">
        <v>1651</v>
      </c>
      <c r="F35" s="11" t="n">
        <v>1659</v>
      </c>
      <c r="G35" s="3"/>
      <c r="H35" s="3"/>
      <c r="I35" s="3"/>
      <c r="J35" s="3"/>
      <c r="K35" s="4" t="s">
        <v>546</v>
      </c>
    </row>
    <row r="36" customFormat="false" ht="15" hidden="false" customHeight="true" outlineLevel="0" collapsed="false">
      <c r="A36" s="10" t="s">
        <v>547</v>
      </c>
      <c r="B36" s="3"/>
      <c r="C36" s="24" t="n">
        <v>0.44</v>
      </c>
      <c r="D36" s="24" t="n">
        <v>0.54</v>
      </c>
      <c r="E36" s="24" t="n">
        <v>0.84</v>
      </c>
      <c r="F36" s="24" t="n">
        <v>1.38</v>
      </c>
      <c r="G36" s="3"/>
      <c r="H36" s="3"/>
      <c r="I36" s="3"/>
      <c r="J36" s="3"/>
      <c r="K36" s="4" t="s">
        <v>548</v>
      </c>
    </row>
    <row r="37" customFormat="false" ht="1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customFormat="false" ht="15" hidden="false" customHeight="true" outlineLevel="0" collapsed="false">
      <c r="A38" s="7" t="s">
        <v>549</v>
      </c>
      <c r="B38" s="8"/>
      <c r="C38" s="8"/>
      <c r="D38" s="8"/>
      <c r="E38" s="8"/>
      <c r="F38" s="8"/>
      <c r="G38" s="8"/>
      <c r="H38" s="8"/>
      <c r="I38" s="8"/>
      <c r="J38" s="8"/>
      <c r="K38" s="8"/>
    </row>
    <row r="39" customFormat="false" ht="15" hidden="false" customHeight="true" outlineLevel="0" collapsed="false">
      <c r="A39" s="10" t="s">
        <v>550</v>
      </c>
      <c r="B39" s="3"/>
      <c r="C39" s="11" t="n">
        <v>939</v>
      </c>
      <c r="D39" s="11" t="n">
        <v>1462</v>
      </c>
      <c r="E39" s="11" t="n">
        <v>2955</v>
      </c>
      <c r="F39" s="11" t="n">
        <v>2366</v>
      </c>
      <c r="G39" s="3"/>
      <c r="H39" s="3"/>
      <c r="I39" s="3"/>
      <c r="J39" s="3"/>
      <c r="K39" s="4" t="s">
        <v>551</v>
      </c>
    </row>
    <row r="40" customFormat="false" ht="15" hidden="false" customHeight="true" outlineLevel="0" collapsed="false">
      <c r="A40" s="10" t="s">
        <v>552</v>
      </c>
      <c r="B40" s="3"/>
      <c r="C40" s="11" t="n">
        <v>-212</v>
      </c>
      <c r="D40" s="11" t="n">
        <v>-282</v>
      </c>
      <c r="E40" s="11" t="n">
        <v>-389</v>
      </c>
      <c r="F40" s="11" t="n">
        <v>-808</v>
      </c>
      <c r="G40" s="3"/>
      <c r="H40" s="3"/>
      <c r="I40" s="3"/>
      <c r="J40" s="3"/>
      <c r="K40" s="3"/>
    </row>
    <row r="41" customFormat="false" ht="15" hidden="false" customHeight="true" outlineLevel="0" collapsed="false">
      <c r="A41" s="9" t="s">
        <v>553</v>
      </c>
      <c r="B41" s="3"/>
      <c r="C41" s="12" t="n">
        <f aca="false">C39+C40</f>
        <v>727</v>
      </c>
      <c r="D41" s="12" t="n">
        <f aca="false">D39+D40</f>
        <v>1180</v>
      </c>
      <c r="E41" s="12" t="n">
        <f aca="false">E39+E40</f>
        <v>2566</v>
      </c>
      <c r="F41" s="12" t="n">
        <f aca="false">F39+F40</f>
        <v>1558</v>
      </c>
      <c r="G41" s="3"/>
      <c r="H41" s="3"/>
      <c r="I41" s="3"/>
      <c r="J41" s="3"/>
      <c r="K41" s="3"/>
    </row>
    <row r="42" customFormat="false" ht="15" hidden="false" customHeight="true" outlineLevel="0" collapsed="false">
      <c r="A42" s="10" t="s">
        <v>142</v>
      </c>
      <c r="B42" s="3"/>
      <c r="C42" s="11" t="n">
        <v>364</v>
      </c>
      <c r="D42" s="11" t="n">
        <v>369</v>
      </c>
      <c r="E42" s="11" t="n">
        <v>487</v>
      </c>
      <c r="F42" s="11" t="n">
        <v>503</v>
      </c>
      <c r="G42" s="3"/>
      <c r="H42" s="3"/>
      <c r="I42" s="3"/>
      <c r="J42" s="3"/>
      <c r="K42" s="3"/>
    </row>
    <row r="43" customFormat="false" ht="1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customFormat="false" ht="15" hidden="false" customHeight="true" outlineLevel="0" collapsed="false">
      <c r="A44" s="7" t="s">
        <v>554</v>
      </c>
      <c r="B44" s="8"/>
      <c r="C44" s="8"/>
      <c r="D44" s="8"/>
      <c r="E44" s="8" t="s">
        <v>555</v>
      </c>
      <c r="F44" s="8" t="s">
        <v>556</v>
      </c>
      <c r="G44" s="8"/>
      <c r="H44" s="8"/>
      <c r="I44" s="8"/>
      <c r="J44" s="8"/>
      <c r="K44" s="8"/>
    </row>
    <row r="45" customFormat="false" ht="15" hidden="false" customHeight="true" outlineLevel="0" collapsed="false">
      <c r="A45" s="10" t="s">
        <v>195</v>
      </c>
      <c r="B45" s="3"/>
      <c r="C45" s="3"/>
      <c r="D45" s="3"/>
      <c r="E45" s="11" t="n">
        <v>5585</v>
      </c>
      <c r="F45" s="11" t="n">
        <v>5086</v>
      </c>
      <c r="G45" s="3"/>
      <c r="H45" s="3"/>
      <c r="I45" s="3"/>
      <c r="J45" s="3"/>
      <c r="K45" s="3"/>
    </row>
    <row r="46" customFormat="false" ht="15" hidden="false" customHeight="true" outlineLevel="0" collapsed="false">
      <c r="A46" s="10" t="s">
        <v>196</v>
      </c>
      <c r="B46" s="3"/>
      <c r="C46" s="3"/>
      <c r="D46" s="3"/>
      <c r="E46" s="11" t="n">
        <v>6762</v>
      </c>
      <c r="F46" s="11" t="n">
        <v>8025</v>
      </c>
      <c r="G46" s="3"/>
      <c r="H46" s="3"/>
      <c r="I46" s="3"/>
      <c r="J46" s="3"/>
      <c r="K46" s="3"/>
    </row>
    <row r="47" customFormat="false" ht="15" hidden="false" customHeight="true" outlineLevel="0" collapsed="false">
      <c r="A47" s="10" t="s">
        <v>197</v>
      </c>
      <c r="B47" s="3"/>
      <c r="C47" s="3"/>
      <c r="D47" s="3"/>
      <c r="E47" s="11" t="n">
        <v>6035</v>
      </c>
      <c r="F47" s="11" t="n">
        <v>7281</v>
      </c>
      <c r="G47" s="3"/>
      <c r="H47" s="3"/>
      <c r="I47" s="3"/>
      <c r="J47" s="3"/>
      <c r="K47" s="3"/>
    </row>
    <row r="48" customFormat="false" ht="15" hidden="false" customHeight="true" outlineLevel="0" collapsed="false">
      <c r="A48" s="10" t="s">
        <v>199</v>
      </c>
      <c r="B48" s="3"/>
      <c r="C48" s="3"/>
      <c r="D48" s="3"/>
      <c r="E48" s="11" t="n">
        <v>8045</v>
      </c>
      <c r="F48" s="11" t="n">
        <v>8468</v>
      </c>
      <c r="G48" s="3"/>
      <c r="H48" s="3"/>
      <c r="I48" s="3"/>
      <c r="J48" s="3"/>
      <c r="K48" s="3"/>
    </row>
    <row r="49" customFormat="false" ht="15" hidden="false" customHeight="true" outlineLevel="0" collapsed="false">
      <c r="A49" s="10" t="s">
        <v>202</v>
      </c>
      <c r="B49" s="3"/>
      <c r="C49" s="3"/>
      <c r="D49" s="3"/>
      <c r="E49" s="11" t="n">
        <v>2201</v>
      </c>
      <c r="F49" s="11" t="n">
        <v>2662</v>
      </c>
      <c r="G49" s="3"/>
      <c r="H49" s="3"/>
      <c r="I49" s="3"/>
      <c r="J49" s="3"/>
      <c r="K49" s="3"/>
    </row>
    <row r="50" customFormat="false" ht="15" hidden="false" customHeight="true" outlineLevel="0" collapsed="false">
      <c r="A50" s="10" t="s">
        <v>205</v>
      </c>
      <c r="B50" s="3"/>
      <c r="C50" s="3"/>
      <c r="D50" s="3"/>
      <c r="E50" s="11" t="n">
        <v>2723</v>
      </c>
      <c r="F50" s="11" t="n">
        <v>3439</v>
      </c>
      <c r="G50" s="3"/>
      <c r="H50" s="3"/>
      <c r="I50" s="3"/>
      <c r="J50" s="3"/>
      <c r="K50" s="3"/>
    </row>
    <row r="51" customFormat="false" ht="15" hidden="false" customHeight="true" outlineLevel="0" collapsed="false">
      <c r="A51" s="10" t="s">
        <v>206</v>
      </c>
      <c r="B51" s="3"/>
      <c r="C51" s="3"/>
      <c r="D51" s="3"/>
      <c r="E51" s="11" t="n">
        <v>25344</v>
      </c>
      <c r="F51" s="11" t="n">
        <v>25470</v>
      </c>
      <c r="G51" s="3"/>
      <c r="H51" s="3"/>
      <c r="I51" s="3"/>
      <c r="J51" s="3"/>
      <c r="K51" s="3"/>
    </row>
    <row r="52" customFormat="false" ht="15" hidden="false" customHeight="true" outlineLevel="0" collapsed="false">
      <c r="A52" s="10" t="s">
        <v>207</v>
      </c>
      <c r="B52" s="3"/>
      <c r="C52" s="3"/>
      <c r="D52" s="3"/>
      <c r="E52" s="11" t="n">
        <v>16154</v>
      </c>
      <c r="F52" s="11" t="n">
        <v>15635</v>
      </c>
      <c r="G52" s="3"/>
      <c r="H52" s="3"/>
      <c r="I52" s="3"/>
      <c r="J52" s="3"/>
      <c r="K52" s="3"/>
    </row>
    <row r="53" customFormat="false" ht="15" hidden="false" customHeight="true" outlineLevel="0" collapsed="false">
      <c r="A53" s="10" t="s">
        <v>557</v>
      </c>
      <c r="B53" s="3"/>
      <c r="C53" s="3"/>
      <c r="D53" s="3"/>
      <c r="E53" s="11" t="n">
        <v>476</v>
      </c>
      <c r="F53" s="11" t="n">
        <v>494</v>
      </c>
      <c r="G53" s="3"/>
      <c r="H53" s="3"/>
      <c r="I53" s="3"/>
      <c r="J53" s="3"/>
      <c r="K53" s="3"/>
    </row>
    <row r="54" customFormat="false" ht="15" hidden="false" customHeight="true" outlineLevel="0" collapsed="false">
      <c r="A54" s="10" t="s">
        <v>558</v>
      </c>
      <c r="B54" s="3"/>
      <c r="C54" s="3"/>
      <c r="D54" s="3"/>
      <c r="E54" s="11" t="n">
        <v>6317</v>
      </c>
      <c r="F54" s="11" t="n">
        <v>7904</v>
      </c>
      <c r="G54" s="3"/>
      <c r="H54" s="3"/>
      <c r="I54" s="3"/>
      <c r="J54" s="3"/>
      <c r="K54" s="3"/>
    </row>
    <row r="55" customFormat="false" ht="15" hidden="false" customHeight="true" outlineLevel="0" collapsed="false">
      <c r="A55" s="9" t="s">
        <v>559</v>
      </c>
      <c r="B55" s="3"/>
      <c r="C55" s="3"/>
      <c r="D55" s="3"/>
      <c r="E55" s="12" t="n">
        <f aca="false">SUM(E45:E54)</f>
        <v>79642</v>
      </c>
      <c r="F55" s="12" t="n">
        <f aca="false">SUM(F45:F54)</f>
        <v>84464</v>
      </c>
      <c r="G55" s="3"/>
      <c r="H55" s="3"/>
      <c r="I55" s="3"/>
      <c r="J55" s="3"/>
      <c r="K55" s="3"/>
    </row>
    <row r="56" customFormat="false" ht="15" hidden="false" customHeight="true" outlineLevel="0" collapsed="false">
      <c r="A56" s="10" t="s">
        <v>213</v>
      </c>
      <c r="B56" s="3"/>
      <c r="C56" s="3"/>
      <c r="D56" s="3"/>
      <c r="E56" s="11" t="n">
        <v>2997</v>
      </c>
      <c r="F56" s="11" t="n">
        <v>5359</v>
      </c>
      <c r="G56" s="3"/>
      <c r="H56" s="3"/>
      <c r="I56" s="3"/>
      <c r="J56" s="3"/>
      <c r="K56" s="3"/>
    </row>
    <row r="57" customFormat="false" ht="15" hidden="false" customHeight="true" outlineLevel="0" collapsed="false">
      <c r="A57" s="10" t="s">
        <v>217</v>
      </c>
      <c r="B57" s="3"/>
      <c r="C57" s="3"/>
      <c r="D57" s="3"/>
      <c r="E57" s="11" t="n">
        <v>5785</v>
      </c>
      <c r="F57" s="11" t="n">
        <v>5546</v>
      </c>
      <c r="G57" s="3"/>
      <c r="H57" s="3"/>
      <c r="I57" s="3"/>
      <c r="J57" s="3"/>
      <c r="K57" s="3"/>
    </row>
    <row r="58" customFormat="false" ht="15" hidden="false" customHeight="true" outlineLevel="0" collapsed="false">
      <c r="A58" s="10" t="s">
        <v>560</v>
      </c>
      <c r="B58" s="3"/>
      <c r="C58" s="3"/>
      <c r="D58" s="3"/>
      <c r="E58" s="11" t="n">
        <v>874</v>
      </c>
      <c r="F58" s="11" t="n">
        <v>875</v>
      </c>
      <c r="G58" s="3"/>
      <c r="H58" s="3"/>
      <c r="I58" s="3"/>
      <c r="J58" s="3"/>
      <c r="K58" s="3"/>
    </row>
    <row r="59" customFormat="false" ht="15" hidden="false" customHeight="true" outlineLevel="0" collapsed="false">
      <c r="A59" s="10" t="s">
        <v>219</v>
      </c>
      <c r="B59" s="3"/>
      <c r="C59" s="3"/>
      <c r="D59" s="3"/>
      <c r="E59" s="11" t="n">
        <v>850</v>
      </c>
      <c r="F59" s="11" t="n">
        <v>301</v>
      </c>
      <c r="G59" s="3"/>
      <c r="H59" s="3"/>
      <c r="I59" s="3"/>
      <c r="J59" s="3"/>
      <c r="K59" s="3"/>
    </row>
    <row r="60" customFormat="false" ht="15" hidden="false" customHeight="true" outlineLevel="0" collapsed="false">
      <c r="A60" s="10" t="s">
        <v>561</v>
      </c>
      <c r="B60" s="3"/>
      <c r="C60" s="3"/>
      <c r="D60" s="3"/>
      <c r="E60" s="11" t="n">
        <v>2350</v>
      </c>
      <c r="F60" s="11" t="n">
        <v>2351</v>
      </c>
      <c r="G60" s="3"/>
      <c r="H60" s="3"/>
      <c r="I60" s="3"/>
      <c r="J60" s="3"/>
      <c r="K60" s="3"/>
    </row>
    <row r="61" customFormat="false" ht="15" hidden="false" customHeight="true" outlineLevel="0" collapsed="false">
      <c r="A61" s="10" t="s">
        <v>222</v>
      </c>
      <c r="B61" s="3"/>
      <c r="C61" s="3"/>
      <c r="D61" s="3"/>
      <c r="E61" s="11" t="n">
        <v>647</v>
      </c>
      <c r="F61" s="11" t="n">
        <v>1050</v>
      </c>
      <c r="G61" s="3"/>
      <c r="H61" s="3"/>
      <c r="I61" s="3"/>
      <c r="J61" s="3"/>
      <c r="K61" s="3"/>
    </row>
    <row r="62" customFormat="false" ht="15" hidden="false" customHeight="true" outlineLevel="0" collapsed="false">
      <c r="A62" s="10" t="s">
        <v>223</v>
      </c>
      <c r="B62" s="3"/>
      <c r="C62" s="3"/>
      <c r="D62" s="3"/>
      <c r="E62" s="11" t="n">
        <v>307</v>
      </c>
      <c r="F62" s="11" t="n">
        <v>300</v>
      </c>
      <c r="G62" s="3"/>
      <c r="H62" s="3"/>
      <c r="I62" s="3"/>
      <c r="J62" s="3"/>
      <c r="K62" s="3"/>
    </row>
    <row r="63" customFormat="false" ht="15" hidden="false" customHeight="true" outlineLevel="0" collapsed="false">
      <c r="A63" s="10" t="s">
        <v>224</v>
      </c>
      <c r="B63" s="3"/>
      <c r="C63" s="3"/>
      <c r="D63" s="3"/>
      <c r="E63" s="11" t="n">
        <v>1370</v>
      </c>
      <c r="F63" s="11" t="n">
        <v>1458</v>
      </c>
      <c r="G63" s="3"/>
      <c r="H63" s="3"/>
      <c r="I63" s="3"/>
      <c r="J63" s="3"/>
      <c r="K63" s="3"/>
    </row>
    <row r="64" customFormat="false" ht="15" hidden="false" customHeight="true" outlineLevel="0" collapsed="false">
      <c r="A64" s="9" t="s">
        <v>562</v>
      </c>
      <c r="B64" s="3"/>
      <c r="C64" s="3"/>
      <c r="D64" s="3"/>
      <c r="E64" s="12" t="n">
        <f aca="false">SUM(E56:E63)</f>
        <v>15180</v>
      </c>
      <c r="F64" s="12" t="n">
        <f aca="false">SUM(F56:F63)</f>
        <v>17240</v>
      </c>
      <c r="G64" s="3"/>
      <c r="H64" s="3"/>
      <c r="I64" s="3"/>
      <c r="J64" s="3"/>
      <c r="K64" s="3"/>
    </row>
    <row r="65" customFormat="false" ht="15" hidden="false" customHeight="true" outlineLevel="0" collapsed="false">
      <c r="A65" s="10" t="s">
        <v>563</v>
      </c>
      <c r="B65" s="3"/>
      <c r="C65" s="3"/>
      <c r="D65" s="3"/>
      <c r="E65" s="11" t="n">
        <v>64462</v>
      </c>
      <c r="F65" s="11" t="n">
        <v>67224</v>
      </c>
      <c r="G65" s="3"/>
      <c r="H65" s="3"/>
      <c r="I65" s="3"/>
      <c r="J65" s="3"/>
      <c r="K65" s="4" t="s">
        <v>564</v>
      </c>
    </row>
    <row r="66" customFormat="false" ht="15" hidden="false" customHeight="true" outlineLevel="0" collapsed="false">
      <c r="A66" s="9" t="s">
        <v>565</v>
      </c>
      <c r="B66" s="3"/>
      <c r="C66" s="3"/>
      <c r="D66" s="3"/>
      <c r="E66" s="12" t="n">
        <f aca="false">E55-E64-E65</f>
        <v>0</v>
      </c>
      <c r="F66" s="12" t="n">
        <f aca="false">F55-F64-F65</f>
        <v>0</v>
      </c>
      <c r="G66" s="3"/>
      <c r="H66" s="3"/>
      <c r="I66" s="3"/>
      <c r="J66" s="3"/>
      <c r="K66" s="3"/>
    </row>
    <row r="67" customFormat="false" ht="15" hidden="false" customHeight="true" outlineLevel="0" collapsed="false">
      <c r="A67" s="10" t="s">
        <v>240</v>
      </c>
      <c r="B67" s="3"/>
      <c r="C67" s="3"/>
      <c r="D67" s="3"/>
      <c r="E67" s="12" t="n">
        <f aca="false">E58+E60</f>
        <v>3224</v>
      </c>
      <c r="F67" s="12" t="n">
        <f aca="false">F58+F60</f>
        <v>3226</v>
      </c>
      <c r="G67" s="3"/>
      <c r="H67" s="3"/>
      <c r="I67" s="3"/>
      <c r="J67" s="3"/>
      <c r="K67" s="3"/>
    </row>
    <row r="68" customFormat="false" ht="15" hidden="false" customHeight="true" outlineLevel="0" collapsed="false">
      <c r="A68" s="10" t="s">
        <v>241</v>
      </c>
      <c r="B68" s="3"/>
      <c r="C68" s="3"/>
      <c r="D68" s="3"/>
      <c r="E68" s="12" t="n">
        <f aca="false">E45+E46</f>
        <v>12347</v>
      </c>
      <c r="F68" s="12" t="n">
        <f aca="false">F45+F46</f>
        <v>13111</v>
      </c>
      <c r="G68" s="3"/>
      <c r="H68" s="3"/>
      <c r="I68" s="3"/>
      <c r="J68" s="3"/>
      <c r="K68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50"/>
  </cols>
  <sheetData>
    <row r="1" customFormat="false" ht="17.25" hidden="false" customHeight="true" outlineLevel="0" collapsed="false">
      <c r="A1" s="63" t="s">
        <v>566</v>
      </c>
    </row>
    <row r="2" customFormat="false" ht="15" hidden="false" customHeight="true" outlineLevel="0" collapsed="false">
      <c r="A2" s="64" t="s">
        <v>567</v>
      </c>
    </row>
    <row r="3" customFormat="false" ht="15" hidden="false" customHeight="true" outlineLevel="0" collapsed="false">
      <c r="A3" s="65"/>
    </row>
    <row r="4" customFormat="false" ht="23.25" hidden="false" customHeight="true" outlineLevel="0" collapsed="false">
      <c r="A4" s="66" t="s">
        <v>568</v>
      </c>
    </row>
    <row r="5" customFormat="false" ht="15" hidden="false" customHeight="true" outlineLevel="0" collapsed="false">
      <c r="A5" s="65"/>
    </row>
    <row r="6" customFormat="false" ht="15" hidden="false" customHeight="true" outlineLevel="0" collapsed="false">
      <c r="A6" s="66" t="s">
        <v>569</v>
      </c>
    </row>
    <row r="7" customFormat="false" ht="23.25" hidden="false" customHeight="true" outlineLevel="0" collapsed="false">
      <c r="A7" s="65" t="s">
        <v>570</v>
      </c>
    </row>
    <row r="8" customFormat="false" ht="23.25" hidden="false" customHeight="true" outlineLevel="0" collapsed="false">
      <c r="A8" s="65" t="s">
        <v>571</v>
      </c>
    </row>
    <row r="9" customFormat="false" ht="15" hidden="false" customHeight="true" outlineLevel="0" collapsed="false">
      <c r="A9" s="65" t="s">
        <v>572</v>
      </c>
    </row>
    <row r="10" customFormat="false" ht="15" hidden="false" customHeight="true" outlineLevel="0" collapsed="false">
      <c r="A10" s="65" t="s">
        <v>573</v>
      </c>
    </row>
    <row r="11" customFormat="false" ht="15" hidden="false" customHeight="true" outlineLevel="0" collapsed="false">
      <c r="A11" s="65" t="s">
        <v>574</v>
      </c>
    </row>
    <row r="12" customFormat="false" ht="15" hidden="false" customHeight="true" outlineLevel="0" collapsed="false">
      <c r="A12" s="65" t="s">
        <v>575</v>
      </c>
    </row>
    <row r="13" customFormat="false" ht="15" hidden="false" customHeight="true" outlineLevel="0" collapsed="false">
      <c r="A13" s="65" t="s">
        <v>576</v>
      </c>
    </row>
    <row r="14" customFormat="false" ht="15" hidden="false" customHeight="true" outlineLevel="0" collapsed="false">
      <c r="A14" s="65" t="s">
        <v>577</v>
      </c>
    </row>
    <row r="15" customFormat="false" ht="15" hidden="false" customHeight="true" outlineLevel="0" collapsed="false">
      <c r="A15" s="65"/>
    </row>
    <row r="16" customFormat="false" ht="15" hidden="false" customHeight="true" outlineLevel="0" collapsed="false">
      <c r="A16" s="66" t="s">
        <v>578</v>
      </c>
    </row>
    <row r="17" customFormat="false" ht="23.25" hidden="false" customHeight="true" outlineLevel="0" collapsed="false">
      <c r="A17" s="65" t="s">
        <v>579</v>
      </c>
    </row>
    <row r="18" customFormat="false" ht="15" hidden="false" customHeight="true" outlineLevel="0" collapsed="false">
      <c r="A18" s="65" t="s">
        <v>580</v>
      </c>
    </row>
    <row r="19" customFormat="false" ht="23.25" hidden="false" customHeight="true" outlineLevel="0" collapsed="false">
      <c r="A19" s="65" t="s">
        <v>581</v>
      </c>
    </row>
    <row r="20" customFormat="false" ht="23.25" hidden="false" customHeight="true" outlineLevel="0" collapsed="false">
      <c r="A20" s="65" t="s">
        <v>582</v>
      </c>
    </row>
    <row r="21" customFormat="false" ht="15" hidden="false" customHeight="true" outlineLevel="0" collapsed="false">
      <c r="A21" s="65" t="s">
        <v>583</v>
      </c>
    </row>
    <row r="22" customFormat="false" ht="23.25" hidden="false" customHeight="true" outlineLevel="0" collapsed="false">
      <c r="A22" s="65" t="s">
        <v>584</v>
      </c>
    </row>
    <row r="23" customFormat="false" ht="15" hidden="false" customHeight="true" outlineLevel="0" collapsed="false">
      <c r="A23" s="65" t="s">
        <v>585</v>
      </c>
    </row>
    <row r="24" customFormat="false" ht="15" hidden="false" customHeight="true" outlineLevel="0" collapsed="false">
      <c r="A24" s="65" t="s">
        <v>586</v>
      </c>
    </row>
    <row r="25" customFormat="false" ht="15" hidden="false" customHeight="true" outlineLevel="0" collapsed="false">
      <c r="A25" s="65" t="s">
        <v>587</v>
      </c>
    </row>
    <row r="26" customFormat="false" ht="15" hidden="false" customHeight="true" outlineLevel="0" collapsed="false">
      <c r="A26" s="65" t="s">
        <v>588</v>
      </c>
    </row>
    <row r="27" customFormat="false" ht="15" hidden="false" customHeight="true" outlineLevel="0" collapsed="false">
      <c r="A27" s="65" t="s">
        <v>589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2026-10-14T08:08:52Z</dcterms:created>
  <dc:creator>openpyxl</dc:creator>
  <dc:description/>
  <dc:language>en-US</dc:language>
  <cp:lastModifiedBy/>
  <dcterms:modified xsi:type="dcterms:W3CDTF">2026-10-14T08:16:24Z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