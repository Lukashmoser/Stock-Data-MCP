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s" sheetId="1" state="visible" r:id="rId3"/>
    <sheet name="LTM_Build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Latest reported fiscal quarter end used for LTM. Source: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Latest reported fiscal quarter end used for LTM. Source: GOOGL 8-K Ex.99.1 filed 2026-07-22 (Q2'26 release); 10-Q filed 2026-07-23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Latest reported fiscal quarter end used for LTM. Source: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Latest reported fiscal quarter end used for LTM. Source: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Latest reported fiscal quarter end used for LTM. Source: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Latest reported fiscal quarter end used for LTM. Source: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Closing price 2026-10-14, stockanalysis.com/stocks/msft/history/ (accessed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Closing price 2026-10-14, stockanalysis.com/stocks/googl/history/ (accessed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Closing price 2026-10-14, stockanalysis.com/stocks/amzn/history/ (accessed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Closing price 2026-10-14, stockanalysis.com/stocks/meta/history/ (accessed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Closing price 2026-10-14, stockanalysis.com/stocks/aapl/history/ (accessed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Closing price 2026-10-14, stockanalysis.com/stocks/orcl/history/ (accessed 2026-10-14)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Shares: Q4 FY26 diluted weighted avg 7,443mm (8-K Ex.99.1 filed 2026-07-29).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Shares: 12,306mm = Q2'26 net income to common 112,107 / diluted EPS $9.11 (derived from 8-K Ex.99.1 filed 2026-07-22). Basic outstanding at 2026-06-30 = 12,230mm.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35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Shares: Q2'26 diluted weighted avg 10,903mm (8-K Ex.99.1 filed 2026-07-30).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4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Shares: Q2'26 diluted weighted avg 2,566mm (8-K Ex.99.1 filed 2026-07-29).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Shares: Q3 FY26 diluted weighted avg 14,714.7mm (8-K Ex.99.1 filed 2026-07-30).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4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Shares: Q1 FY27 diluted weighted avg 3,000mm (8-K Ex.99.1 filed 2026-09-10).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Debt 40,294 = current portion LTD 9,227 + LTD 31,067 at 2026-06-30 (8-K Ex.99.1 filed 2026-07-29). Leases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Debt 98,165 = long-term debt at 2026-06-30 (8-K Ex.99.1 filed 2026-07-22); no current-debt line shown. Leases and mandatory convertible preferred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20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Debt 128,894 = long-term debt at 2026-06-30 (8-K Ex.99.1 filed 2026-07-30). Current portion sits in accrued expenses and is not separately shown; lease liabilities (94,338 LT)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35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Debt 83,664 = long-term debt at 2026-06-30 (8-K Ex.99.1 filed 2026-07-29). Operating leases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Debt 84,344 = commercial paper 1,997 + term debt current 11,007 + term debt non-current 71,340 at 2026-06-27.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19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Debt 125,337 = notes payable &amp; borrowings current 7,625 + non-current 117,712 at 2026-08-31 (8-K Ex.99.1 filed 2026-09-10). Leases and preferred stock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35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Cash 76,843 = cash &amp; equivalents 20,935 + short-term investments 55,908 at 2026-06-30. Equity &amp; other investments (36,348)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5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Cash 242,474 = cash &amp; equivalents 55,911 + marketable securities 186,563 at 2026-06-30. Non-marketable equity securities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5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Cash 122,988 = cash &amp; equivalents 78,213 + marketable securities 44,775 at 2026-06-30. Anthropic and other equity stakes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5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Cash 90,260 = cash &amp; equivalents 15,462 + marketable securities 74,798 at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Cash 146,517 = cash &amp; equivalents 39,544 + current marketable securities 22,855 + non-current marketable securities 84,118 at 2026-06-27.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5</xdr:row>
                <xdr:rowOff>5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Cash 37,077 = cash &amp; equivalents 36,369 + marketable securities 708 at 2026-08-31.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-58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(https://data.sec.gov/api/xbrl/companyconcept/CIK0000789019/us-gaap/RevenueFromContractWithCustomerExcludingAssessedTax.json);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13</xdr:row>
                <xdr:rowOff>3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(https://data.sec.gov/api/xbrl/companyconcept/CIK0000789019/us-gaap/RevenueFromContractWithCustomerExcludingAssessedTax.json);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13</xdr:row>
                <xdr:rowOff>3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SEC XBRL us-gaap:OperatingIncomeLoss, FY ended 2026-06-30, MSFT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4</xdr:row>
                <xdr:rowOff>4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MSFT 8-K Ex.99.1 filed 2026-07-29, cash flow statement line 'Depreciation, amortization, and other' FY26 = 38,534 (FY25 = 29,433). Includes minor other non-cash items.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(https://data.sec.gov/api/xbrl/companyconcept/CIK0000789019/us-gaap/NetIncomeLoss.json);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SEC XBRL us-gaap:Revenues (GOOGL 10-K filed 2026-02-05; 10-Qs filed 2025-07-24, 2026-07-23)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4</xdr:row>
                <xdr:rowOff>19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SEC XBRL us-gaap:Revenues / RevenueFromContract... (GOOGL 10-K filed 2025-02-05; 10-Qs 2024-07-24, 2025-07-24)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5</xdr:row>
                <xdr:rowOff>14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(https://data.sec.gov/api/xbrl/companyconcept/CIK0001652044/us-gaap/OperatingIncomeLoss.json); filings: GOOGL 8-K Ex.99.1 filed 2026-07-22 (Q2'26 release); 10-Q filed 2026-07-23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SEC XBRL us-gaap:Depreciation (depreciation of property &amp; equipment; Alphabet does not present intangible amortization separately on the cash flow statement)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(https://data.sec.gov/api/xbrl/companyconcept/CIK0001652044/us-gaap/NetIncomeLoss.json); filings: GOOGL 8-K Ex.99.1 filed 2026-07-22 (Q2'26 release); 10-Q filed 2026-07-23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(https://data.sec.gov/api/xbrl/companyconcept/CIK0001018724/us-gaap/RevenueFromContractWithCustomerExcludingAssessedTax.json);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(https://data.sec.gov/api/xbrl/companyconcept/CIK0001018724/us-gaap/RevenueFromContractWithCustomerExcludingAssessedTax.json);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(https://data.sec.gov/api/xbrl/companyconcept/CIK0001018724/us-gaap/OperatingIncomeLoss.json);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(https://data.sec.gov/api/xbrl/companyconcept/CIK0001018724/us-gaap/DepreciationDepletionAndAmortization.json); filings: AMZN 8-K Ex.99.1 filed 2026-07-30 (Q2'26 release); 10-Q filed 2026-07-31. Amazon D&amp;A includes amortization of capitalized content, operating lease assets and other; LTM ties to company-reported TTM 75,200.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16</xdr:row>
                <xdr:rowOff>3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(https://data.sec.gov/api/xbrl/companyconcept/CIK0001018724/us-gaap/NetIncomeLoss.json);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(https://data.sec.gov/api/xbrl/companyconcept/CIK0001326801/us-gaap/RevenueFromContractWithCustomerExcludingAssessedTax.json);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(https://data.sec.gov/api/xbrl/companyconcept/CIK0001326801/us-gaap/RevenueFromContractWithCustomerExcludingAssessedTax.json);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(https://data.sec.gov/api/xbrl/companyconcept/CIK0001326801/us-gaap/OperatingIncomeLoss.json);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(https://data.sec.gov/api/xbrl/companyconcept/CIK0001326801/us-gaap/DepreciationDepletionAndAmortization.json);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(https://data.sec.gov/api/xbrl/companyconcept/CIK0001326801/us-gaap/NetIncomeLoss.json);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(https://data.sec.gov/api/xbrl/companyconcept/CIK0000320193/us-gaap/RevenueFromContractWithCustomerExcludingAssessedTax.json);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FY24 391,035 and 9M FY25 313,695 from SEC XBRL; 9M FY24 (to 2024-06-29) = 296,105 from model knowledge (Q1 119,575 + Q2 90,753 + Q3 85,777), not re-verified this session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(https://data.sec.gov/api/xbrl/companyconcept/CIK0000320193/us-gaap/OperatingIncomeLoss.json);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(https://data.sec.gov/api/xbrl/companyconcept/CIK0000320193/us-gaap/DepreciationDepletionAndAmortization.json);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(https://data.sec.gov/api/xbrl/companyconcept/CIK0000320193/us-gaap/NetIncomeLoss.json);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(https://data.sec.gov/api/xbrl/companyconcept/CIK0001341439/us-gaap/RevenueFromContractWithCustomerExcludingAssessedTax.json);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(https://data.sec.gov/api/xbrl/companyconcept/CIK0001341439/us-gaap/RevenueFromContractWithCustomerExcludingAssessedTax.json);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FY26 and Q1 FY26 from SEC XBRL us-gaap:OperatingIncomeLoss; Q1 FY27 = 6,728 from ORCL 8-K Ex.99.1 filed 2026-09-10 (not yet in XBRL concept API)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6</xdr:row>
                <xdr:rowOff>9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Depreciation + amortization of intangibles. FY26: 7,623 + 1,671 (10-K filed 2026-06-22, XBRL us-gaap:Depreciation &amp; AmortizationOfIntangibleAssets); Q1 FY26: 1,351 + 420 (10-Q filed 2025-09-10); Q1 FY27: 3,156 + 202 (8-K Ex.99.1 filed 2026-09-10)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(https://data.sec.gov/api/xbrl/companyconcept/CIK0001341439/us-gaap/NetIncomeLoss.json);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(https://data.sec.gov/api/xbrl/companyconcept/CIK0000789019/us-gaap/RevenueFromContractWithCustomerExcludingAssessedTax.json);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13</xdr:row>
                <xdr:rowOff>3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(https://data.sec.gov/api/xbrl/companyconcept/CIK0000789019/us-gaap/RevenueFromContractWithCustomerExcludingAssessedTax.json);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13</xdr:row>
                <xdr:rowOff>3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SEC XBRL us-gaap:OperatingIncomeLoss, FY ended 2026-06-30, MSFT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4</xdr:row>
                <xdr:rowOff>4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MSFT 8-K Ex.99.1 filed 2026-07-29, cash flow statement line 'Depreciation, amortization, and other' FY26 = 38,534 (FY25 = 29,433). Includes minor other non-cash items.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(https://data.sec.gov/api/xbrl/companyconcept/CIK0000789019/us-gaap/NetIncomeLoss.json);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SEC XBRL us-gaap:Revenues (GOOGL 10-K filed 2026-02-05; 10-Qs filed 2025-07-24, 2026-07-23)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4</xdr:row>
                <xdr:rowOff>19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SEC XBRL us-gaap:Revenues / RevenueFromContract... (GOOGL 10-K filed 2025-02-05; 10-Qs 2024-07-24, 2025-07-24)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5</xdr:row>
                <xdr:rowOff>14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(https://data.sec.gov/api/xbrl/companyconcept/CIK0001652044/us-gaap/OperatingIncomeLoss.json); filings: GOOGL 8-K Ex.99.1 filed 2026-07-22 (Q2'26 release); 10-Q filed 2026-07-23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SEC XBRL us-gaap:Depreciation (depreciation of property &amp; equipment; Alphabet does not present intangible amortization separately on the cash flow statement)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(https://data.sec.gov/api/xbrl/companyconcept/CIK0001652044/us-gaap/NetIncomeLoss.json); filings: GOOGL 8-K Ex.99.1 filed 2026-07-22 (Q2'26 release); 10-Q filed 2026-07-23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(https://data.sec.gov/api/xbrl/companyconcept/CIK0001018724/us-gaap/RevenueFromContractWithCustomerExcludingAssessedTax.json);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(https://data.sec.gov/api/xbrl/companyconcept/CIK0001018724/us-gaap/RevenueFromContractWithCustomerExcludingAssessedTax.json);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(https://data.sec.gov/api/xbrl/companyconcept/CIK0001018724/us-gaap/OperatingIncomeLoss.json);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(https://data.sec.gov/api/xbrl/companyconcept/CIK0001018724/us-gaap/DepreciationDepletionAndAmortization.json); filings: AMZN 8-K Ex.99.1 filed 2026-07-30 (Q2'26 release); 10-Q filed 2026-07-31. Amazon D&amp;A includes amortization of capitalized content, operating lease assets and other; LTM ties to company-reported TTM 75,200.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16</xdr:row>
                <xdr:rowOff>3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(https://data.sec.gov/api/xbrl/companyconcept/CIK0001018724/us-gaap/NetIncomeLoss.json);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(https://data.sec.gov/api/xbrl/companyconcept/CIK0001326801/us-gaap/RevenueFromContractWithCustomerExcludingAssessedTax.json);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(https://data.sec.gov/api/xbrl/companyconcept/CIK0001326801/us-gaap/RevenueFromContractWithCustomerExcludingAssessedTax.json);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(https://data.sec.gov/api/xbrl/companyconcept/CIK0001326801/us-gaap/OperatingIncomeLoss.json);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(https://data.sec.gov/api/xbrl/companyconcept/CIK0001326801/us-gaap/DepreciationDepletionAndAmortization.json);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(https://data.sec.gov/api/xbrl/companyconcept/CIK0001326801/us-gaap/NetIncomeLoss.json);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(https://data.sec.gov/api/xbrl/companyconcept/CIK0000320193/us-gaap/RevenueFromContractWithCustomerExcludingAssessedTax.json);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FY24 391,035 and 9M FY25 313,695 from SEC XBRL; 9M FY24 (to 2024-06-29) = 296,105 from model knowledge (Q1 119,575 + Q2 90,753 + Q3 85,777), not re-verified this session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(https://data.sec.gov/api/xbrl/companyconcept/CIK0000320193/us-gaap/OperatingIncomeLoss.json);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(https://data.sec.gov/api/xbrl/companyconcept/CIK0000320193/us-gaap/DepreciationDepletionAndAmortization.json);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(https://data.sec.gov/api/xbrl/companyconcept/CIK0000320193/us-gaap/NetIncomeLoss.json);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(https://data.sec.gov/api/xbrl/companyconcept/CIK0001341439/us-gaap/RevenueFromContractWithCustomerExcludingAssessedTax.json);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(https://data.sec.gov/api/xbrl/companyconcept/CIK0001341439/us-gaap/RevenueFromContractWithCustomerExcludingAssessedTax.json);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FY26 and Q1 FY26 from SEC XBRL us-gaap:OperatingIncomeLoss; Q1 FY27 = 6,728 from ORCL 8-K Ex.99.1 filed 2026-09-10 (not yet in XBRL concept API)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6</xdr:row>
                <xdr:rowOff>9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Depreciation + amortization of intangibles. FY26: 7,623 + 1,671 (10-K filed 2026-06-22, XBRL us-gaap:Depreciation &amp; AmortizationOfIntangibleAssets); Q1 FY26: 1,351 + 420 (10-Q filed 2025-09-10); Q1 FY27: 3,156 + 202 (8-K Ex.99.1 filed 2026-09-10)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(https://data.sec.gov/api/xbrl/companyconcept/CIK0001341439/us-gaap/NetIncomeLoss.json);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H4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(https://data.sec.gov/api/xbrl/companyconcept/CIK0000789019/us-gaap/RevenueFromContractWithCustomerExcludingAssessedTax.json);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13</xdr:row>
                <xdr:rowOff>3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(https://data.sec.gov/api/xbrl/companyconcept/CIK0000789019/us-gaap/RevenueFromContractWithCustomerExcludingAssessedTax.json);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13</xdr:row>
                <xdr:rowOff>3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SEC XBRL us-gaap:OperatingIncomeLoss, FY ended 2026-06-30, MSFT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4</xdr:row>
                <xdr:rowOff>4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MSFT 8-K Ex.99.1 filed 2026-07-29, cash flow statement line 'Depreciation, amortization, and other' FY26 = 38,534 (FY25 = 29,433). Includes minor other non-cash items.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(https://data.sec.gov/api/xbrl/companyconcept/CIK0000789019/us-gaap/NetIncomeLoss.json); filings: MSFT 8-K Ex.99.1 filed 2026-07-29 (FY26 Q4 release); FY26 10-K filed 2026-07-29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SEC XBRL us-gaap:Revenues (GOOGL 10-K filed 2026-02-05; 10-Qs filed 2025-07-24, 2026-07-23)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4</xdr:row>
                <xdr:rowOff>19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SEC XBRL us-gaap:Revenues / RevenueFromContract... (GOOGL 10-K filed 2025-02-05; 10-Qs 2024-07-24, 2025-07-24)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5</xdr:row>
                <xdr:rowOff>14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(https://data.sec.gov/api/xbrl/companyconcept/CIK0001652044/us-gaap/OperatingIncomeLoss.json); filings: GOOGL 8-K Ex.99.1 filed 2026-07-22 (Q2'26 release); 10-Q filed 2026-07-23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SEC XBRL us-gaap:Depreciation (depreciation of property &amp; equipment; Alphabet does not present intangible amortization separately on the cash flow statement)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(https://data.sec.gov/api/xbrl/companyconcept/CIK0001652044/us-gaap/NetIncomeLoss.json); filings: GOOGL 8-K Ex.99.1 filed 2026-07-22 (Q2'26 release); 10-Q filed 2026-07-23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(https://data.sec.gov/api/xbrl/companyconcept/CIK0001018724/us-gaap/RevenueFromContractWithCustomerExcludingAssessedTax.json);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(https://data.sec.gov/api/xbrl/companyconcept/CIK0001018724/us-gaap/RevenueFromContractWithCustomerExcludingAssessedTax.json);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(https://data.sec.gov/api/xbrl/companyconcept/CIK0001018724/us-gaap/OperatingIncomeLoss.json);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(https://data.sec.gov/api/xbrl/companyconcept/CIK0001018724/us-gaap/DepreciationDepletionAndAmortization.json); filings: AMZN 8-K Ex.99.1 filed 2026-07-30 (Q2'26 release); 10-Q filed 2026-07-31. Amazon D&amp;A includes amortization of capitalized content, operating lease assets and other; LTM ties to company-reported TTM 75,200.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16</xdr:row>
                <xdr:rowOff>3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(https://data.sec.gov/api/xbrl/companyconcept/CIK0001018724/us-gaap/NetIncomeLoss.json); filings: AMZN 8-K Ex.99.1 filed 2026-07-30 (Q2'26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(https://data.sec.gov/api/xbrl/companyconcept/CIK0001326801/us-gaap/RevenueFromContractWithCustomerExcludingAssessedTax.json);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(https://data.sec.gov/api/xbrl/companyconcept/CIK0001326801/us-gaap/RevenueFromContractWithCustomerExcludingAssessedTax.json);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(https://data.sec.gov/api/xbrl/companyconcept/CIK0001326801/us-gaap/OperatingIncomeLoss.json);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(https://data.sec.gov/api/xbrl/companyconcept/CIK0001326801/us-gaap/DepreciationDepletionAndAmortization.json);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(https://data.sec.gov/api/xbrl/companyconcept/CIK0001326801/us-gaap/NetIncomeLoss.json); filings: META 8-K Ex.99.1 filed 2026-07-29 (Q2'26 release); 10-Q filed 2026-07-30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(https://data.sec.gov/api/xbrl/companyconcept/CIK0000320193/us-gaap/RevenueFromContractWithCustomerExcludingAssessedTax.json);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FY24 391,035 and 9M FY25 313,695 from SEC XBRL; 9M FY24 (to 2024-06-29) = 296,105 from model knowledge (Q1 119,575 + Q2 90,753 + Q3 85,777), not re-verified this session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7</xdr:row>
                <xdr:rowOff>4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SEC XBRL companyconcept us-gaap:OperatingIncomeLoss (https://data.sec.gov/api/xbrl/companyconcept/CIK0000320193/us-gaap/OperatingIncomeLoss.json);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4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SEC XBRL companyconcept us-gaap:DepreciationDepletionAndAmortization (https://data.sec.gov/api/xbrl/companyconcept/CIK0000320193/us-gaap/DepreciationDepletionAndAmortization.json);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(https://data.sec.gov/api/xbrl/companyconcept/CIK0000320193/us-gaap/NetIncomeLoss.json); filings: AAPL 8-K Ex.99.1 filed 2026-07-30 (Q3 FY26 release); 10-Q filed 2026-07-31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(https://data.sec.gov/api/xbrl/companyconcept/CIK0001341439/us-gaap/RevenueFromContractWithCustomerExcludingAssessedTax.json);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SEC XBRL companyconcept us-gaap:RevenueFromContractWithCustomerExcludingAssessedTax (https://data.sec.gov/api/xbrl/companyconcept/CIK0001341439/us-gaap/RevenueFromContractWithCustomerExcludingAssessedTax.json);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12</xdr:row>
                <xdr:rowOff>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FY26 and Q1 FY26 from SEC XBRL us-gaap:OperatingIncomeLoss; Q1 FY27 = 6,728 from ORCL 8-K Ex.99.1 filed 2026-09-10 (not yet in XBRL concept API)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6</xdr:row>
                <xdr:rowOff>9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Depreciation + amortization of intangibles. FY26: 7,623 + 1,671 (10-K filed 2026-06-22, XBRL us-gaap:Depreciation &amp; AmortizationOfIntangibleAssets); Q1 FY26: 1,351 + 420 (10-Q filed 2025-09-10); Q1 FY27: 3,156 + 202 (8-K Ex.99.1 filed 2026-09-10)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10</xdr:row>
                <xdr:rowOff>19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SEC XBRL companyconcept us-gaap:NetIncomeLoss (https://data.sec.gov/api/xbrl/companyconcept/CIK0001341439/us-gaap/NetIncomeLoss.json); filings: ORCL 8-K Ex.99.1 filed 2026-09-10 (Q1 FY27 release); 10-Q filed 2026-09-11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16</xdr:rowOff>
              </xdr:from>
              <xdr:to>
                <xdr:col>2</xdr:col>
                <xdr:colOff>-36</xdr:colOff>
                <xdr:row>9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<sst xmlns="http://schemas.openxmlformats.org/spreadsheetml/2006/main" count="300" uniqueCount="143">
  <si>
    <t xml:space="preserve">LARGE-CAP TECHNOLOGY - COMPARABLE COMPANY ANALYSIS (TARGET: MICROSOFT)</t>
  </si>
  <si>
    <t xml:space="preserve">Microsoft (MSFT) vs. Alphabet (GOOGL) • Amazon (AMZN) • Meta Platforms (META) • Apple (AAPL) • Oracle (ORCL)</t>
  </si>
  <si>
    <t xml:space="preserve">Prices as of 2026-10-14 close | LTM aligned to each company's latest reported quarter | All figures in USD millions except per-share amounts and ratios | Statistics computed on the 5 peers (MSFT excluded)</t>
  </si>
  <si>
    <t xml:space="preserve">OPERATING STATISTICS &amp; FINANCIAL METRICS (LTM)</t>
  </si>
  <si>
    <t xml:space="preserve">Company</t>
  </si>
  <si>
    <t xml:space="preserve">Ticker</t>
  </si>
  <si>
    <t xml:space="preserve">LTM Qtr End</t>
  </si>
  <si>
    <t xml:space="preserve">LTM Revenue</t>
  </si>
  <si>
    <t xml:space="preserve">Prior-Yr LTM Revenue</t>
  </si>
  <si>
    <t xml:space="preserve">Revenue Growth (YoY) %</t>
  </si>
  <si>
    <t xml:space="preserve">LTM EBIT</t>
  </si>
  <si>
    <t xml:space="preserve">EBIT Margin %</t>
  </si>
  <si>
    <t xml:space="preserve">LTM D&amp;A</t>
  </si>
  <si>
    <t xml:space="preserve">LTM EBITDA</t>
  </si>
  <si>
    <t xml:space="preserve">EBITDA Margin %</t>
  </si>
  <si>
    <t xml:space="preserve">LTM Net Income</t>
  </si>
  <si>
    <t xml:space="preserve">Net Margin %</t>
  </si>
  <si>
    <t xml:space="preserve">Microsoft Corporation (target)</t>
  </si>
  <si>
    <t xml:space="preserve">MSFT</t>
  </si>
  <si>
    <t xml:space="preserve">2026-06-30</t>
  </si>
  <si>
    <t xml:space="preserve">Alphabet Inc.</t>
  </si>
  <si>
    <t xml:space="preserve">GOOGL</t>
  </si>
  <si>
    <t xml:space="preserve">Amazon.com, Inc.</t>
  </si>
  <si>
    <t xml:space="preserve">AMZN</t>
  </si>
  <si>
    <t xml:space="preserve">Meta Platforms, Inc.</t>
  </si>
  <si>
    <t xml:space="preserve">META</t>
  </si>
  <si>
    <t xml:space="preserve">Apple Inc.</t>
  </si>
  <si>
    <t xml:space="preserve">AAPL</t>
  </si>
  <si>
    <t xml:space="preserve">2026-06-27</t>
  </si>
  <si>
    <t xml:space="preserve">Oracle Corporation</t>
  </si>
  <si>
    <t xml:space="preserve">ORCL</t>
  </si>
  <si>
    <t xml:space="preserve">2026-08-31</t>
  </si>
  <si>
    <t xml:space="preserve">Peer Maximum</t>
  </si>
  <si>
    <t xml:space="preserve">Peer 75th Percentile</t>
  </si>
  <si>
    <t xml:space="preserve">Peer Median</t>
  </si>
  <si>
    <t xml:space="preserve">Peer 25th Percentile</t>
  </si>
  <si>
    <t xml:space="preserve">Peer Minimum</t>
  </si>
  <si>
    <t xml:space="preserve">VALUATION MULTIPLES</t>
  </si>
  <si>
    <t xml:space="preserve">Share Price (USD)</t>
  </si>
  <si>
    <t xml:space="preserve">Diluted Shares (mm)</t>
  </si>
  <si>
    <t xml:space="preserve">Market Cap</t>
  </si>
  <si>
    <t xml:space="preserve">Total Debt</t>
  </si>
  <si>
    <t xml:space="preserve">Cash &amp; ST Investments</t>
  </si>
  <si>
    <t xml:space="preserve">Enterprise Value</t>
  </si>
  <si>
    <t xml:space="preserve">EV / LTM Revenue</t>
  </si>
  <si>
    <t xml:space="preserve">EV / LTM EBITDA</t>
  </si>
  <si>
    <t xml:space="preserve">P/E (LTM GAAP)</t>
  </si>
  <si>
    <t xml:space="preserve">EV / LTM EBIT</t>
  </si>
  <si>
    <t xml:space="preserve">LTM Diluted EPS (USD)</t>
  </si>
  <si>
    <t xml:space="preserve">MSFT premium / (discount) to peer median</t>
  </si>
  <si>
    <t xml:space="preserve">IMPLIED MSFT VALUE AT PEER MULTIPLES (USD per share)</t>
  </si>
  <si>
    <t xml:space="preserve">Multiple</t>
  </si>
  <si>
    <t xml:space="preserve">MSFT LTM Metric</t>
  </si>
  <si>
    <t xml:space="preserve">Peer 25th</t>
  </si>
  <si>
    <t xml:space="preserve">Peer 75th</t>
  </si>
  <si>
    <t xml:space="preserve">Implied Price @25th</t>
  </si>
  <si>
    <t xml:space="preserve">Implied Price @Median</t>
  </si>
  <si>
    <t xml:space="preserve">Implied Price @75th</t>
  </si>
  <si>
    <t xml:space="preserve">Current Price</t>
  </si>
  <si>
    <t xml:space="preserve">Upside/(Down) @Median</t>
  </si>
  <si>
    <t xml:space="preserve">LTM BUILD - LTM = Last fiscal year - Prior-year YTD + Current YTD (USD millions)</t>
  </si>
  <si>
    <t xml:space="preserve">Metric</t>
  </si>
  <si>
    <t xml:space="preserve">Last FY period</t>
  </si>
  <si>
    <t xml:space="preserve">Last FY value</t>
  </si>
  <si>
    <t xml:space="preserve">Prior-year YTD period</t>
  </si>
  <si>
    <t xml:space="preserve">Less: prior-year YTD</t>
  </si>
  <si>
    <t xml:space="preserve">Current YTD period</t>
  </si>
  <si>
    <t xml:space="preserve">Plus: current YTD</t>
  </si>
  <si>
    <t xml:space="preserve">LTM</t>
  </si>
  <si>
    <t xml:space="preserve">Source</t>
  </si>
  <si>
    <t xml:space="preserve">Revenue</t>
  </si>
  <si>
    <t xml:space="preserve">FY26 (Jun-26)</t>
  </si>
  <si>
    <t xml:space="preserve">n/a (FY end)</t>
  </si>
  <si>
    <t xml:space="preserve">SEC XBRL companyconcept us-gaap:RevenueFromContractWithCustomerExcludingAssessedTax (https://data.sec.gov/api/xbrl/companyconcept/CIK0000789019/us-gaap/RevenueFromContractWithCustomerExcludingAssessedTax.json); filings: MSFT 8-K Ex.99.1 filed 2026-07-29 (FY26 Q4 release); FY26 10-K filed 2026-07-29</t>
  </si>
  <si>
    <t xml:space="preserve">Revenue - prior-year LTM</t>
  </si>
  <si>
    <t xml:space="preserve">FY25 (Jun-25)</t>
  </si>
  <si>
    <t xml:space="preserve">n/a</t>
  </si>
  <si>
    <t xml:space="preserve">Operating income (EBIT)</t>
  </si>
  <si>
    <t xml:space="preserve">SEC XBRL us-gaap:OperatingIncomeLoss, FY ended 2026-06-30, MSFT 10-K filed 2026-07-29</t>
  </si>
  <si>
    <t xml:space="preserve">D&amp;A (cash flow statement)</t>
  </si>
  <si>
    <t xml:space="preserve">MSFT 8-K Ex.99.1 filed 2026-07-29, cash flow statement line 'Depreciation, amortization, and other' FY26 = 38,534 (FY25 = 29,433). Includes minor other non-cash items.</t>
  </si>
  <si>
    <t xml:space="preserve">Net income (to parent)</t>
  </si>
  <si>
    <t xml:space="preserve">SEC XBRL companyconcept us-gaap:NetIncomeLoss (https://data.sec.gov/api/xbrl/companyconcept/CIK0000789019/us-gaap/NetIncomeLoss.json); filings: MSFT 8-K Ex.99.1 filed 2026-07-29 (FY26 Q4 release); FY26 10-K filed 2026-07-29</t>
  </si>
  <si>
    <t xml:space="preserve">FY25 (Dec-25)</t>
  </si>
  <si>
    <t xml:space="preserve">6M to Jun-25</t>
  </si>
  <si>
    <t xml:space="preserve">6M to Jun-26</t>
  </si>
  <si>
    <t xml:space="preserve">SEC XBRL us-gaap:Revenues (GOOGL 10-K filed 2026-02-05; 10-Qs filed 2025-07-24, 2026-07-23)</t>
  </si>
  <si>
    <t xml:space="preserve">FY24 (Dec-24)</t>
  </si>
  <si>
    <t xml:space="preserve">6M to Jun-24</t>
  </si>
  <si>
    <t xml:space="preserve">SEC XBRL us-gaap:Revenues / RevenueFromContract... (GOOGL 10-K filed 2025-02-05; 10-Qs 2024-07-24, 2025-07-24)</t>
  </si>
  <si>
    <t xml:space="preserve">SEC XBRL companyconcept us-gaap:OperatingIncomeLoss (https://data.sec.gov/api/xbrl/companyconcept/CIK0001652044/us-gaap/OperatingIncomeLoss.json); filings: GOOGL 8-K Ex.99.1 filed 2026-07-22 (Q2'26 release); 10-Q filed 2026-07-23</t>
  </si>
  <si>
    <t xml:space="preserve">SEC XBRL us-gaap:Depreciation (depreciation of property &amp; equipment; Alphabet does not present intangible amortization separately on the cash flow statement)</t>
  </si>
  <si>
    <t xml:space="preserve">SEC XBRL companyconcept us-gaap:NetIncomeLoss (https://data.sec.gov/api/xbrl/companyconcept/CIK0001652044/us-gaap/NetIncomeLoss.json); filings: GOOGL 8-K Ex.99.1 filed 2026-07-22 (Q2'26 release); 10-Q filed 2026-07-23</t>
  </si>
  <si>
    <t xml:space="preserve">SEC XBRL companyconcept us-gaap:RevenueFromContractWithCustomerExcludingAssessedTax (https://data.sec.gov/api/xbrl/companyconcept/CIK0001018724/us-gaap/RevenueFromContractWithCustomerExcludingAssessedTax.json); filings: AMZN 8-K Ex.99.1 filed 2026-07-30 (Q2'26 release); 10-Q filed 2026-07-31</t>
  </si>
  <si>
    <t xml:space="preserve">SEC XBRL companyconcept us-gaap:OperatingIncomeLoss (https://data.sec.gov/api/xbrl/companyconcept/CIK0001018724/us-gaap/OperatingIncomeLoss.json); filings: AMZN 8-K Ex.99.1 filed 2026-07-30 (Q2'26 release); 10-Q filed 2026-07-31</t>
  </si>
  <si>
    <t xml:space="preserve">SEC XBRL companyconcept us-gaap:DepreciationDepletionAndAmortization (https://data.sec.gov/api/xbrl/companyconcept/CIK0001018724/us-gaap/DepreciationDepletionAndAmortization.json); filings: AMZN 8-K Ex.99.1 filed 2026-07-30 (Q2'26 release); 10-Q filed 2026-07-31. Amazon D&amp;A includes amortization of capitalized content, operating lease assets and other; LTM ties to company-reported TTM 75,200.</t>
  </si>
  <si>
    <t xml:space="preserve">SEC XBRL companyconcept us-gaap:NetIncomeLoss (https://data.sec.gov/api/xbrl/companyconcept/CIK0001018724/us-gaap/NetIncomeLoss.json); filings: AMZN 8-K Ex.99.1 filed 2026-07-30 (Q2'26 release); 10-Q filed 2026-07-31</t>
  </si>
  <si>
    <t xml:space="preserve">SEC XBRL companyconcept us-gaap:RevenueFromContractWithCustomerExcludingAssessedTax (https://data.sec.gov/api/xbrl/companyconcept/CIK0001326801/us-gaap/RevenueFromContractWithCustomerExcludingAssessedTax.json); filings: META 8-K Ex.99.1 filed 2026-07-29 (Q2'26 release); 10-Q filed 2026-07-30</t>
  </si>
  <si>
    <t xml:space="preserve">SEC XBRL companyconcept us-gaap:OperatingIncomeLoss (https://data.sec.gov/api/xbrl/companyconcept/CIK0001326801/us-gaap/OperatingIncomeLoss.json); filings: META 8-K Ex.99.1 filed 2026-07-29 (Q2'26 release); 10-Q filed 2026-07-30</t>
  </si>
  <si>
    <t xml:space="preserve">SEC XBRL companyconcept us-gaap:DepreciationDepletionAndAmortization (https://data.sec.gov/api/xbrl/companyconcept/CIK0001326801/us-gaap/DepreciationDepletionAndAmortization.json); filings: META 8-K Ex.99.1 filed 2026-07-29 (Q2'26 release); 10-Q filed 2026-07-30</t>
  </si>
  <si>
    <t xml:space="preserve">SEC XBRL companyconcept us-gaap:NetIncomeLoss (https://data.sec.gov/api/xbrl/companyconcept/CIK0001326801/us-gaap/NetIncomeLoss.json); filings: META 8-K Ex.99.1 filed 2026-07-29 (Q2'26 release); 10-Q filed 2026-07-30</t>
  </si>
  <si>
    <t xml:space="preserve">FY25 (Sep-25)</t>
  </si>
  <si>
    <t xml:space="preserve">9M to Jun-25</t>
  </si>
  <si>
    <t xml:space="preserve">9M to Jun-26</t>
  </si>
  <si>
    <t xml:space="preserve">SEC XBRL companyconcept us-gaap:RevenueFromContractWithCustomerExcludingAssessedTax (https://data.sec.gov/api/xbrl/companyconcept/CIK0000320193/us-gaap/RevenueFromContractWithCustomerExcludingAssessedTax.json); filings: AAPL 8-K Ex.99.1 filed 2026-07-30 (Q3 FY26 release); 10-Q filed 2026-07-31</t>
  </si>
  <si>
    <t xml:space="preserve">FY24 (Sep-24)</t>
  </si>
  <si>
    <t xml:space="preserve">9M to Jun-24</t>
  </si>
  <si>
    <t xml:space="preserve">FY24 391,035 and 9M FY25 313,695 from SEC XBRL; 9M FY24 (to 2024-06-29) = 296,105 from model knowledge (Q1 119,575 + Q2 90,753 + Q3 85,777), not re-verified this session</t>
  </si>
  <si>
    <t xml:space="preserve">SEC XBRL companyconcept us-gaap:OperatingIncomeLoss (https://data.sec.gov/api/xbrl/companyconcept/CIK0000320193/us-gaap/OperatingIncomeLoss.json); filings: AAPL 8-K Ex.99.1 filed 2026-07-30 (Q3 FY26 release); 10-Q filed 2026-07-31</t>
  </si>
  <si>
    <t xml:space="preserve">SEC XBRL companyconcept us-gaap:DepreciationDepletionAndAmortization (https://data.sec.gov/api/xbrl/companyconcept/CIK0000320193/us-gaap/DepreciationDepletionAndAmortization.json); filings: AAPL 8-K Ex.99.1 filed 2026-07-30 (Q3 FY26 release); 10-Q filed 2026-07-31</t>
  </si>
  <si>
    <t xml:space="preserve">SEC XBRL companyconcept us-gaap:NetIncomeLoss (https://data.sec.gov/api/xbrl/companyconcept/CIK0000320193/us-gaap/NetIncomeLoss.json); filings: AAPL 8-K Ex.99.1 filed 2026-07-30 (Q3 FY26 release); 10-Q filed 2026-07-31</t>
  </si>
  <si>
    <t xml:space="preserve">FY26 (May-26)</t>
  </si>
  <si>
    <t xml:space="preserve">3M to Aug-25</t>
  </si>
  <si>
    <t xml:space="preserve">3M to Aug-26</t>
  </si>
  <si>
    <t xml:space="preserve">SEC XBRL companyconcept us-gaap:RevenueFromContractWithCustomerExcludingAssessedTax (https://data.sec.gov/api/xbrl/companyconcept/CIK0001341439/us-gaap/RevenueFromContractWithCustomerExcludingAssessedTax.json); filings: ORCL 8-K Ex.99.1 filed 2026-09-10 (Q1 FY27 release); 10-Q filed 2026-09-11</t>
  </si>
  <si>
    <t xml:space="preserve">FY25 (May-25)</t>
  </si>
  <si>
    <t xml:space="preserve">3M to Aug-24</t>
  </si>
  <si>
    <t xml:space="preserve">FY26 and Q1 FY26 from SEC XBRL us-gaap:OperatingIncomeLoss; Q1 FY27 = 6,728 from ORCL 8-K Ex.99.1 filed 2026-09-10 (not yet in XBRL concept API)</t>
  </si>
  <si>
    <t xml:space="preserve">Depreciation + amortization of intangibles. FY26: 7,623 + 1,671 (10-K filed 2026-06-22, XBRL us-gaap:Depreciation &amp; AmortizationOfIntangibleAssets); Q1 FY26: 1,351 + 420 (10-Q filed 2025-09-10); Q1 FY27: 3,156 + 202 (8-K Ex.99.1 filed 2026-09-10)</t>
  </si>
  <si>
    <t xml:space="preserve">SEC XBRL companyconcept us-gaap:NetIncomeLoss (https://data.sec.gov/api/xbrl/companyconcept/CIK0001341439/us-gaap/NetIncomeLoss.json); filings: ORCL 8-K Ex.99.1 filed 2026-09-10 (Q1 FY27 release); 10-Q filed 2026-09-11</t>
  </si>
  <si>
    <t xml:space="preserve">NOTES &amp; METHODOLOGY</t>
  </si>
  <si>
    <t xml:space="preserve">Purpose: trading comparables for Microsoft (MSFT) for investment committee valuation review. Peer group as specified: GOOGL, AMZN, META, AAPL, ORCL.</t>
  </si>
  <si>
    <t xml:space="preserve">Statistics (Max / 75th / Median / 25th / Min) are computed over the five peers only; MSFT is shown for comparison and excluded from the ranges.</t>
  </si>
  <si>
    <t xml:space="preserve">DATA SOURCES</t>
  </si>
  <si>
    <t xml:space="preserve">- Financials: SEC EDGAR XBRL company-concept API (data.sec.gov) and each company's latest 8-K Exhibit 99.1 earnings release (see cell comments and LTM_Build column J).</t>
  </si>
  <si>
    <t xml:space="preserve">- Share prices: daily closes for 2026-10-14 from stockanalysis.com price history pages (ORCL 2026-10-13 close of 143.20 cross-checked on financialcontent.com).</t>
  </si>
  <si>
    <t xml:space="preserve">- No institutional data feed (FactSet / S&amp;P / Daloopa / Bloomberg) was available in this session; figures were not cross-checked against a second vendor.</t>
  </si>
  <si>
    <t xml:space="preserve">PERIODS</t>
  </si>
  <si>
    <t xml:space="preserve">- LTM is aligned to each company's latest reported quarter: MSFT 2026-06-30 (FY26), GOOGL / AMZN / META 2026-06-30, AAPL 2026-06-27, ORCL 2026-08-31.</t>
  </si>
  <si>
    <t xml:space="preserve">- LTM = last fiscal year - prior-year YTD + current YTD (see LTM_Build). Revenue growth = LTM vs. the LTM period one year earlier.</t>
  </si>
  <si>
    <t xml:space="preserve">- Fiscal year ends differ (Jun / Dec / Sep / May); LTM quarter ends span 2026-06-27 to 2026-08-31.</t>
  </si>
  <si>
    <t xml:space="preserve">DEFINITIONS</t>
  </si>
  <si>
    <t xml:space="preserve">- EBITDA = GAAP operating income + depreciation &amp; amortization from the cash flow statement. Unadjusted: stock-based compensation is NOT added back; restructuring / legal charges are NOT normalised.</t>
  </si>
  <si>
    <t xml:space="preserve">- MSFT D&amp;A uses the cash flow line 'Depreciation, amortization, and other'; AMZN D&amp;A includes amortization of capitalized content and lease assets; GOOGL D&amp;A is depreciation of property &amp; equipment only.</t>
  </si>
  <si>
    <t xml:space="preserve">- Market cap = 2026-10-14 close x latest-quarter diluted weighted-average shares (proxy for fully diluted shares).</t>
  </si>
  <si>
    <t xml:space="preserve">- Enterprise value = market cap + total financial debt - cash, cash equivalents and marketable securities. Lease liabilities, preferred stock, non-controlling interests and strategic equity stakes are excluded.</t>
  </si>
  <si>
    <t xml:space="preserve">- P/E = market cap / LTM GAAP net income attributable to the parent (equivalent to price / LTM diluted EPS).</t>
  </si>
  <si>
    <t xml:space="preserve">KEY CAVEATS FOR THE COMMITTEE</t>
  </si>
  <si>
    <t xml:space="preserve">- GOOGL and AMZN LTM GAAP net income is heavily inflated by unrealised gains on equity securities (GOOGL Q2'26 alone: +99.0bn pre-tax gain, +77.1bn to net income; AMZN Q2'26 non-operating income 53.4bn, primarily Anthropic). Their P/E ratios therefore understate the earnings multiple; prefer EV/EBITDA and EV/EBIT for those names.</t>
  </si>
  <si>
    <t xml:space="preserve">- META LTM net income includes the Q3'25 one-time income tax charge (net income 2.7bn that quarter) and Q2'26 legal (2.4bn) and severance (1.2bn) charges.</t>
  </si>
  <si>
    <t xml:space="preserve">- ORCL is in a heavy AI-infrastructure capex cycle (LTM free cash flow approx. -28.7bn) and carries high leverage; its 10-14 price fell 8.8% on the day.</t>
  </si>
  <si>
    <t xml:space="preserve">- AAPL's 9M FY24 revenue (296,105, used only for the prior-year LTM revenue denominator) was taken from model knowledge and not re-verified in this session.</t>
  </si>
  <si>
    <t xml:space="preserve">COLOR CONVENTION: blue font = hard-coded input (every input has a cell comment with its source); black font = formula.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</si>
</sst>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"/>
    <numFmt numFmtId="167" formatCode="0.0%"/>
    <numFmt numFmtId="168" formatCode="#,##0.00"/>
    <numFmt numFmtId="169" formatCode="#,##0.0"/>
    <numFmt numFmtId="170" formatCode="0.0\x"/>
    <numFmt numFmtId="171" formatCode="0.0%;\(0.0%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0"/>
      <name val="Arial"/>
      <family val="2"/>
    </font>
    <font>
      <b val="true"/>
      <sz val="12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1.75" hidden="false" customHeight="true" outlineLevel="0" collapsed="false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33.7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</row>
    <row r="7" customFormat="false" ht="21.75" hidden="false" customHeight="true" outlineLevel="0" collapsed="false">
      <c r="A7" s="7" t="s">
        <v>17</v>
      </c>
      <c r="B7" s="7" t="s">
        <v>18</v>
      </c>
      <c r="C7" s="8" t="s">
        <v>19</v>
      </c>
      <c r="D7" s="9" t="n">
        <f aca="false">LTM_Build!$I$4</f>
        <v>331839</v>
      </c>
      <c r="E7" s="9" t="n">
        <f aca="false">LTM_Build!$I$5</f>
        <v>281724</v>
      </c>
      <c r="F7" s="10" t="n">
        <f aca="false">D7/E7-1</f>
        <v>0.177886867998467</v>
      </c>
      <c r="G7" s="9" t="n">
        <f aca="false">LTM_Build!$I$6</f>
        <v>155237</v>
      </c>
      <c r="H7" s="10" t="n">
        <f aca="false">G7/D7</f>
        <v>0.467808184089272</v>
      </c>
      <c r="I7" s="9" t="n">
        <f aca="false">LTM_Build!$I$7</f>
        <v>38534</v>
      </c>
      <c r="J7" s="9" t="n">
        <f aca="false">G7+I7</f>
        <v>193771</v>
      </c>
      <c r="K7" s="10" t="n">
        <f aca="false">J7/D7</f>
        <v>0.583930761604272</v>
      </c>
      <c r="L7" s="9" t="n">
        <f aca="false">LTM_Build!$I$8</f>
        <v>133749</v>
      </c>
      <c r="M7" s="10" t="n">
        <f aca="false">L7/D7</f>
        <v>0.403053890591522</v>
      </c>
    </row>
    <row r="8" customFormat="false" ht="21.75" hidden="false" customHeight="true" outlineLevel="0" collapsed="false">
      <c r="A8" s="7" t="s">
        <v>20</v>
      </c>
      <c r="B8" s="7" t="s">
        <v>21</v>
      </c>
      <c r="C8" s="8" t="s">
        <v>19</v>
      </c>
      <c r="D8" s="9" t="n">
        <f aca="false">LTM_Build!$I$10</f>
        <v>445866</v>
      </c>
      <c r="E8" s="9" t="n">
        <f aca="false">LTM_Build!$I$11</f>
        <v>371399</v>
      </c>
      <c r="F8" s="10" t="n">
        <f aca="false">D8/E8-1</f>
        <v>0.200504040129349</v>
      </c>
      <c r="G8" s="9" t="n">
        <f aca="false">LTM_Build!$I$12</f>
        <v>147628</v>
      </c>
      <c r="H8" s="10" t="n">
        <f aca="false">G8/D8</f>
        <v>0.331103963971238</v>
      </c>
      <c r="I8" s="9" t="n">
        <f aca="false">LTM_Build!$I$13</f>
        <v>25237</v>
      </c>
      <c r="J8" s="9" t="n">
        <f aca="false">G8+I8</f>
        <v>172865</v>
      </c>
      <c r="K8" s="10" t="n">
        <f aca="false">J8/D8</f>
        <v>0.387706171809467</v>
      </c>
      <c r="L8" s="9" t="n">
        <f aca="false">LTM_Build!$I$14</f>
        <v>244205</v>
      </c>
      <c r="M8" s="10" t="n">
        <f aca="false">L8/D8</f>
        <v>0.547709401479368</v>
      </c>
    </row>
    <row r="9" customFormat="false" ht="21.75" hidden="false" customHeight="true" outlineLevel="0" collapsed="false">
      <c r="A9" s="7" t="s">
        <v>22</v>
      </c>
      <c r="B9" s="7" t="s">
        <v>23</v>
      </c>
      <c r="C9" s="8" t="s">
        <v>19</v>
      </c>
      <c r="D9" s="9" t="n">
        <f aca="false">LTM_Build!$I$16</f>
        <v>775680</v>
      </c>
      <c r="E9" s="9" t="n">
        <f aca="false">LTM_Build!$I$17</f>
        <v>670038</v>
      </c>
      <c r="F9" s="10" t="n">
        <f aca="false">D9/E9-1</f>
        <v>0.157665684632812</v>
      </c>
      <c r="G9" s="9" t="n">
        <f aca="false">LTM_Build!$I$18</f>
        <v>93712</v>
      </c>
      <c r="H9" s="10" t="n">
        <f aca="false">G9/D9</f>
        <v>0.120812706270627</v>
      </c>
      <c r="I9" s="9" t="n">
        <f aca="false">LTM_Build!$I$19</f>
        <v>75200</v>
      </c>
      <c r="J9" s="9" t="n">
        <f aca="false">G9+I9</f>
        <v>168912</v>
      </c>
      <c r="K9" s="10" t="n">
        <f aca="false">J9/D9</f>
        <v>0.217759900990099</v>
      </c>
      <c r="L9" s="9" t="n">
        <f aca="false">LTM_Build!$I$20</f>
        <v>135281</v>
      </c>
      <c r="M9" s="10" t="n">
        <f aca="false">L9/D9</f>
        <v>0.174403104372937</v>
      </c>
    </row>
    <row r="10" customFormat="false" ht="21.75" hidden="false" customHeight="true" outlineLevel="0" collapsed="false">
      <c r="A10" s="7" t="s">
        <v>24</v>
      </c>
      <c r="B10" s="7" t="s">
        <v>25</v>
      </c>
      <c r="C10" s="8" t="s">
        <v>19</v>
      </c>
      <c r="D10" s="9" t="n">
        <f aca="false">LTM_Build!$I$22</f>
        <v>228247</v>
      </c>
      <c r="E10" s="9" t="n">
        <f aca="false">LTM_Build!$I$23</f>
        <v>178804</v>
      </c>
      <c r="F10" s="10" t="n">
        <f aca="false">D10/E10-1</f>
        <v>0.276520659493076</v>
      </c>
      <c r="G10" s="9" t="n">
        <f aca="false">LTM_Build!$I$24</f>
        <v>86926</v>
      </c>
      <c r="H10" s="10" t="n">
        <f aca="false">G10/D10</f>
        <v>0.380841807340294</v>
      </c>
      <c r="I10" s="9" t="n">
        <f aca="false">LTM_Build!$I$25</f>
        <v>22729</v>
      </c>
      <c r="J10" s="9" t="n">
        <f aca="false">G10+I10</f>
        <v>109655</v>
      </c>
      <c r="K10" s="10" t="n">
        <f aca="false">J10/D10</f>
        <v>0.480422524721026</v>
      </c>
      <c r="L10" s="9" t="n">
        <f aca="false">LTM_Build!$I$26</f>
        <v>68098</v>
      </c>
      <c r="M10" s="10" t="n">
        <f aca="false">L10/D10</f>
        <v>0.298352223687496</v>
      </c>
    </row>
    <row r="11" customFormat="false" ht="21.75" hidden="false" customHeight="true" outlineLevel="0" collapsed="false">
      <c r="A11" s="7" t="s">
        <v>26</v>
      </c>
      <c r="B11" s="7" t="s">
        <v>27</v>
      </c>
      <c r="C11" s="8" t="s">
        <v>28</v>
      </c>
      <c r="D11" s="9" t="n">
        <f aca="false">LTM_Build!$I$28</f>
        <v>466823</v>
      </c>
      <c r="E11" s="9" t="n">
        <f aca="false">LTM_Build!$I$29</f>
        <v>408625</v>
      </c>
      <c r="F11" s="10" t="n">
        <f aca="false">D11/E11-1</f>
        <v>0.142423982869379</v>
      </c>
      <c r="G11" s="9" t="n">
        <f aca="false">LTM_Build!$I$30</f>
        <v>154859</v>
      </c>
      <c r="H11" s="10" t="n">
        <f aca="false">G11/D11</f>
        <v>0.331729584874781</v>
      </c>
      <c r="I11" s="9" t="n">
        <f aca="false">LTM_Build!$I$31</f>
        <v>13100</v>
      </c>
      <c r="J11" s="9" t="n">
        <f aca="false">G11+I11</f>
        <v>167959</v>
      </c>
      <c r="K11" s="10" t="n">
        <f aca="false">J11/D11</f>
        <v>0.359791612666899</v>
      </c>
      <c r="L11" s="9" t="n">
        <f aca="false">LTM_Build!$I$32</f>
        <v>128930</v>
      </c>
      <c r="M11" s="10" t="n">
        <f aca="false">L11/D11</f>
        <v>0.276186049102122</v>
      </c>
    </row>
    <row r="12" customFormat="false" ht="21.75" hidden="false" customHeight="true" outlineLevel="0" collapsed="false">
      <c r="A12" s="7" t="s">
        <v>29</v>
      </c>
      <c r="B12" s="7" t="s">
        <v>30</v>
      </c>
      <c r="C12" s="8" t="s">
        <v>31</v>
      </c>
      <c r="D12" s="9" t="n">
        <f aca="false">LTM_Build!$I$34</f>
        <v>71776</v>
      </c>
      <c r="E12" s="9" t="n">
        <f aca="false">LTM_Build!$I$35</f>
        <v>59018</v>
      </c>
      <c r="F12" s="10" t="n">
        <f aca="false">D12/E12-1</f>
        <v>0.216171337558033</v>
      </c>
      <c r="G12" s="9" t="n">
        <f aca="false">LTM_Build!$I$36</f>
        <v>23057</v>
      </c>
      <c r="H12" s="10" t="n">
        <f aca="false">G12/D12</f>
        <v>0.32123551047704</v>
      </c>
      <c r="I12" s="9" t="n">
        <f aca="false">LTM_Build!$I$37</f>
        <v>10881</v>
      </c>
      <c r="J12" s="9" t="n">
        <f aca="false">G12+I12</f>
        <v>33938</v>
      </c>
      <c r="K12" s="10" t="n">
        <f aca="false">J12/D12</f>
        <v>0.472832144449398</v>
      </c>
      <c r="L12" s="9" t="n">
        <f aca="false">LTM_Build!$I$38</f>
        <v>18920</v>
      </c>
      <c r="M12" s="10" t="n">
        <f aca="false">L12/D12</f>
        <v>0.263597860008917</v>
      </c>
    </row>
    <row r="13" customFormat="false" ht="21.75" hidden="false" customHeight="true" outlineLevel="0" collapsed="false"/>
    <row r="14" customFormat="false" ht="21.75" hidden="false" customHeight="true" outlineLevel="0" collapsed="false">
      <c r="A14" s="11" t="s">
        <v>32</v>
      </c>
      <c r="B14" s="12"/>
      <c r="C14" s="12"/>
      <c r="D14" s="12"/>
      <c r="E14" s="12"/>
      <c r="F14" s="13" t="n">
        <f aca="false">MAX(F8:F12)</f>
        <v>0.276520659493076</v>
      </c>
      <c r="G14" s="12"/>
      <c r="H14" s="13" t="n">
        <f aca="false">MAX(H8:H12)</f>
        <v>0.380841807340294</v>
      </c>
      <c r="I14" s="12"/>
      <c r="J14" s="12"/>
      <c r="K14" s="13" t="n">
        <f aca="false">MAX(K8:K12)</f>
        <v>0.480422524721026</v>
      </c>
      <c r="L14" s="12"/>
      <c r="M14" s="13" t="n">
        <f aca="false">MAX(M8:M12)</f>
        <v>0.547709401479368</v>
      </c>
    </row>
    <row r="15" customFormat="false" ht="21.75" hidden="false" customHeight="true" outlineLevel="0" collapsed="false">
      <c r="A15" s="11" t="s">
        <v>33</v>
      </c>
      <c r="B15" s="12"/>
      <c r="C15" s="12"/>
      <c r="D15" s="12"/>
      <c r="E15" s="12"/>
      <c r="F15" s="13" t="n">
        <f aca="false">QUARTILE(F8:F12,3)</f>
        <v>0.216171337558033</v>
      </c>
      <c r="G15" s="12"/>
      <c r="H15" s="13" t="n">
        <f aca="false">QUARTILE(H8:H12,3)</f>
        <v>0.331729584874781</v>
      </c>
      <c r="I15" s="12"/>
      <c r="J15" s="12"/>
      <c r="K15" s="13" t="n">
        <f aca="false">QUARTILE(K8:K12,3)</f>
        <v>0.472832144449398</v>
      </c>
      <c r="L15" s="12"/>
      <c r="M15" s="13" t="n">
        <f aca="false">QUARTILE(M8:M12,3)</f>
        <v>0.298352223687496</v>
      </c>
    </row>
    <row r="16" customFormat="false" ht="21.75" hidden="false" customHeight="true" outlineLevel="0" collapsed="false">
      <c r="A16" s="11" t="s">
        <v>34</v>
      </c>
      <c r="B16" s="12"/>
      <c r="C16" s="12"/>
      <c r="D16" s="12"/>
      <c r="E16" s="12"/>
      <c r="F16" s="13" t="n">
        <f aca="false">MEDIAN(F8:F12)</f>
        <v>0.200504040129349</v>
      </c>
      <c r="G16" s="12"/>
      <c r="H16" s="13" t="n">
        <f aca="false">MEDIAN(H8:H12)</f>
        <v>0.331103963971238</v>
      </c>
      <c r="I16" s="12"/>
      <c r="J16" s="12"/>
      <c r="K16" s="13" t="n">
        <f aca="false">MEDIAN(K8:K12)</f>
        <v>0.387706171809467</v>
      </c>
      <c r="L16" s="12"/>
      <c r="M16" s="13" t="n">
        <f aca="false">MEDIAN(M8:M12)</f>
        <v>0.276186049102122</v>
      </c>
    </row>
    <row r="17" customFormat="false" ht="21.75" hidden="false" customHeight="true" outlineLevel="0" collapsed="false">
      <c r="A17" s="11" t="s">
        <v>35</v>
      </c>
      <c r="B17" s="12"/>
      <c r="C17" s="12"/>
      <c r="D17" s="12"/>
      <c r="E17" s="12"/>
      <c r="F17" s="13" t="n">
        <f aca="false">QUARTILE(F8:F12,1)</f>
        <v>0.157665684632812</v>
      </c>
      <c r="G17" s="12"/>
      <c r="H17" s="13" t="n">
        <f aca="false">QUARTILE(H8:H12,1)</f>
        <v>0.32123551047704</v>
      </c>
      <c r="I17" s="12"/>
      <c r="J17" s="12"/>
      <c r="K17" s="13" t="n">
        <f aca="false">QUARTILE(K8:K12,1)</f>
        <v>0.359791612666899</v>
      </c>
      <c r="L17" s="12"/>
      <c r="M17" s="13" t="n">
        <f aca="false">QUARTILE(M8:M12,1)</f>
        <v>0.263597860008917</v>
      </c>
    </row>
    <row r="18" customFormat="false" ht="21.75" hidden="false" customHeight="true" outlineLevel="0" collapsed="false">
      <c r="A18" s="11" t="s">
        <v>36</v>
      </c>
      <c r="B18" s="12"/>
      <c r="C18" s="12"/>
      <c r="D18" s="12"/>
      <c r="E18" s="12"/>
      <c r="F18" s="13" t="n">
        <f aca="false">MIN(F8:F12)</f>
        <v>0.142423982869379</v>
      </c>
      <c r="G18" s="12"/>
      <c r="H18" s="13" t="n">
        <f aca="false">MIN(H8:H12)</f>
        <v>0.120812706270627</v>
      </c>
      <c r="I18" s="12"/>
      <c r="J18" s="12"/>
      <c r="K18" s="13" t="n">
        <f aca="false">MIN(K8:K12)</f>
        <v>0.217759900990099</v>
      </c>
      <c r="L18" s="12"/>
      <c r="M18" s="13" t="n">
        <f aca="false">MIN(M8:M12)</f>
        <v>0.174403104372937</v>
      </c>
    </row>
    <row r="19" customFormat="false" ht="21.75" hidden="false" customHeight="true" outlineLevel="0" collapsed="false"/>
    <row r="20" customFormat="false" ht="21.75" hidden="false" customHeight="true" outlineLevel="0" collapsed="false">
      <c r="A20" s="4" t="s">
        <v>37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21.75" hidden="false" customHeight="true" outlineLevel="0" collapsed="false">
      <c r="A21" s="6" t="s">
        <v>4</v>
      </c>
      <c r="B21" s="6" t="s">
        <v>5</v>
      </c>
      <c r="C21" s="6" t="s">
        <v>38</v>
      </c>
      <c r="D21" s="6" t="s">
        <v>39</v>
      </c>
      <c r="E21" s="6" t="s">
        <v>40</v>
      </c>
      <c r="F21" s="6" t="s">
        <v>41</v>
      </c>
      <c r="G21" s="6" t="s">
        <v>42</v>
      </c>
      <c r="H21" s="6" t="s">
        <v>43</v>
      </c>
      <c r="I21" s="6" t="s">
        <v>44</v>
      </c>
      <c r="J21" s="6" t="s">
        <v>45</v>
      </c>
      <c r="K21" s="6" t="s">
        <v>46</v>
      </c>
      <c r="L21" s="6" t="s">
        <v>47</v>
      </c>
      <c r="M21" s="6" t="s">
        <v>48</v>
      </c>
    </row>
    <row r="22" customFormat="false" ht="21.75" hidden="false" customHeight="true" outlineLevel="0" collapsed="false">
      <c r="A22" s="7" t="s">
        <v>17</v>
      </c>
      <c r="B22" s="7" t="s">
        <v>18</v>
      </c>
      <c r="C22" s="14" t="n">
        <v>533.69</v>
      </c>
      <c r="D22" s="15" t="n">
        <v>7443</v>
      </c>
      <c r="E22" s="9" t="n">
        <f aca="false">C22*D22</f>
        <v>3972254.67</v>
      </c>
      <c r="F22" s="16" t="n">
        <v>40294</v>
      </c>
      <c r="G22" s="16" t="n">
        <v>76843</v>
      </c>
      <c r="H22" s="9" t="n">
        <f aca="false">E22+F22-G22</f>
        <v>3935705.67</v>
      </c>
      <c r="I22" s="17" t="n">
        <f aca="false">H22/D7</f>
        <v>11.8602866751648</v>
      </c>
      <c r="J22" s="17" t="n">
        <f aca="false">H22/J7</f>
        <v>20.3111181239711</v>
      </c>
      <c r="K22" s="17" t="n">
        <f aca="false">E22/L7</f>
        <v>29.6993223874571</v>
      </c>
      <c r="L22" s="17" t="n">
        <f aca="false">H22/G7</f>
        <v>25.3528841062376</v>
      </c>
      <c r="M22" s="18" t="n">
        <f aca="false">L7/D22</f>
        <v>17.9697702539299</v>
      </c>
    </row>
    <row r="23" customFormat="false" ht="21.75" hidden="false" customHeight="true" outlineLevel="0" collapsed="false">
      <c r="A23" s="7" t="s">
        <v>20</v>
      </c>
      <c r="B23" s="7" t="s">
        <v>21</v>
      </c>
      <c r="C23" s="14" t="n">
        <v>347.64</v>
      </c>
      <c r="D23" s="15" t="n">
        <v>12306</v>
      </c>
      <c r="E23" s="9" t="n">
        <f aca="false">C23*D23</f>
        <v>4278057.84</v>
      </c>
      <c r="F23" s="16" t="n">
        <v>98165</v>
      </c>
      <c r="G23" s="16" t="n">
        <v>242474</v>
      </c>
      <c r="H23" s="9" t="n">
        <f aca="false">E23+F23-G23</f>
        <v>4133748.84</v>
      </c>
      <c r="I23" s="17" t="n">
        <f aca="false">H23/D8</f>
        <v>9.27128069868526</v>
      </c>
      <c r="J23" s="17" t="n">
        <f aca="false">H23/J8</f>
        <v>23.9131625256703</v>
      </c>
      <c r="K23" s="17" t="n">
        <f aca="false">E23/L8</f>
        <v>17.5183056857968</v>
      </c>
      <c r="L23" s="17" t="n">
        <f aca="false">H23/G8</f>
        <v>28.0011165903487</v>
      </c>
      <c r="M23" s="18" t="n">
        <f aca="false">L8/D23</f>
        <v>19.8443848529173</v>
      </c>
    </row>
    <row r="24" customFormat="false" ht="21.75" hidden="false" customHeight="true" outlineLevel="0" collapsed="false">
      <c r="A24" s="7" t="s">
        <v>22</v>
      </c>
      <c r="B24" s="7" t="s">
        <v>23</v>
      </c>
      <c r="C24" s="14" t="n">
        <v>254.08</v>
      </c>
      <c r="D24" s="15" t="n">
        <v>10903</v>
      </c>
      <c r="E24" s="9" t="n">
        <f aca="false">C24*D24</f>
        <v>2770234.24</v>
      </c>
      <c r="F24" s="16" t="n">
        <v>128894</v>
      </c>
      <c r="G24" s="16" t="n">
        <v>122988</v>
      </c>
      <c r="H24" s="9" t="n">
        <f aca="false">E24+F24-G24</f>
        <v>2776140.24</v>
      </c>
      <c r="I24" s="17" t="n">
        <f aca="false">H24/D9</f>
        <v>3.57897617574257</v>
      </c>
      <c r="J24" s="17" t="n">
        <f aca="false">H24/J9</f>
        <v>16.4354234157431</v>
      </c>
      <c r="K24" s="17" t="n">
        <f aca="false">E24/L9</f>
        <v>20.4776298223697</v>
      </c>
      <c r="L24" s="17" t="n">
        <f aca="false">H24/G9</f>
        <v>29.624170223664</v>
      </c>
      <c r="M24" s="18" t="n">
        <f aca="false">L9/D24</f>
        <v>12.4076859579932</v>
      </c>
    </row>
    <row r="25" customFormat="false" ht="21.75" hidden="false" customHeight="true" outlineLevel="0" collapsed="false">
      <c r="A25" s="7" t="s">
        <v>24</v>
      </c>
      <c r="B25" s="7" t="s">
        <v>25</v>
      </c>
      <c r="C25" s="14" t="n">
        <v>737.54</v>
      </c>
      <c r="D25" s="15" t="n">
        <v>2566</v>
      </c>
      <c r="E25" s="9" t="n">
        <f aca="false">C25*D25</f>
        <v>1892527.64</v>
      </c>
      <c r="F25" s="16" t="n">
        <v>83664</v>
      </c>
      <c r="G25" s="16" t="n">
        <v>90260</v>
      </c>
      <c r="H25" s="9" t="n">
        <f aca="false">E25+F25-G25</f>
        <v>1885931.64</v>
      </c>
      <c r="I25" s="17" t="n">
        <f aca="false">H25/D10</f>
        <v>8.26267876467161</v>
      </c>
      <c r="J25" s="17" t="n">
        <f aca="false">H25/J10</f>
        <v>17.1987747024759</v>
      </c>
      <c r="K25" s="17" t="n">
        <f aca="false">E25/L10</f>
        <v>27.791236747041</v>
      </c>
      <c r="L25" s="17" t="n">
        <f aca="false">H25/G10</f>
        <v>21.6958290960127</v>
      </c>
      <c r="M25" s="18" t="n">
        <f aca="false">L10/D25</f>
        <v>26.5385814497272</v>
      </c>
    </row>
    <row r="26" customFormat="false" ht="21.75" hidden="false" customHeight="true" outlineLevel="0" collapsed="false">
      <c r="A26" s="7" t="s">
        <v>26</v>
      </c>
      <c r="B26" s="7" t="s">
        <v>27</v>
      </c>
      <c r="C26" s="14" t="n">
        <v>342.96</v>
      </c>
      <c r="D26" s="15" t="n">
        <v>14714.7</v>
      </c>
      <c r="E26" s="9" t="n">
        <f aca="false">C26*D26</f>
        <v>5046553.512</v>
      </c>
      <c r="F26" s="16" t="n">
        <v>84344</v>
      </c>
      <c r="G26" s="16" t="n">
        <v>146517</v>
      </c>
      <c r="H26" s="9" t="n">
        <f aca="false">E26+F26-G26</f>
        <v>4984380.512</v>
      </c>
      <c r="I26" s="17" t="n">
        <f aca="false">H26/D11</f>
        <v>10.677238507957</v>
      </c>
      <c r="J26" s="17" t="n">
        <f aca="false">H26/J11</f>
        <v>29.6761740186593</v>
      </c>
      <c r="K26" s="17" t="n">
        <f aca="false">E26/L11</f>
        <v>39.1418096021097</v>
      </c>
      <c r="L26" s="17" t="n">
        <f aca="false">H26/G11</f>
        <v>32.1865730244933</v>
      </c>
      <c r="M26" s="18" t="n">
        <f aca="false">L11/D26</f>
        <v>8.76198631300672</v>
      </c>
    </row>
    <row r="27" customFormat="false" ht="21.75" hidden="false" customHeight="true" outlineLevel="0" collapsed="false">
      <c r="A27" s="7" t="s">
        <v>29</v>
      </c>
      <c r="B27" s="7" t="s">
        <v>30</v>
      </c>
      <c r="C27" s="14" t="n">
        <v>130.55</v>
      </c>
      <c r="D27" s="15" t="n">
        <v>3000</v>
      </c>
      <c r="E27" s="9" t="n">
        <f aca="false">C27*D27</f>
        <v>391650</v>
      </c>
      <c r="F27" s="16" t="n">
        <v>125337</v>
      </c>
      <c r="G27" s="16" t="n">
        <v>37077</v>
      </c>
      <c r="H27" s="9" t="n">
        <f aca="false">E27+F27-G27</f>
        <v>479910</v>
      </c>
      <c r="I27" s="17" t="n">
        <f aca="false">H27/D12</f>
        <v>6.68621823450736</v>
      </c>
      <c r="J27" s="17" t="n">
        <f aca="false">H27/J12</f>
        <v>14.1407861394307</v>
      </c>
      <c r="K27" s="17" t="n">
        <f aca="false">E27/L12</f>
        <v>20.7003171247357</v>
      </c>
      <c r="L27" s="17" t="n">
        <f aca="false">H27/G12</f>
        <v>20.8140694799844</v>
      </c>
      <c r="M27" s="18" t="n">
        <f aca="false">L12/D27</f>
        <v>6.30666666666667</v>
      </c>
    </row>
    <row r="28" customFormat="false" ht="21.75" hidden="false" customHeight="true" outlineLevel="0" collapsed="false"/>
    <row r="29" customFormat="false" ht="21.75" hidden="false" customHeight="true" outlineLevel="0" collapsed="false">
      <c r="A29" s="11" t="s">
        <v>32</v>
      </c>
      <c r="B29" s="12"/>
      <c r="C29" s="12"/>
      <c r="D29" s="12"/>
      <c r="E29" s="12"/>
      <c r="F29" s="12"/>
      <c r="G29" s="12"/>
      <c r="H29" s="12"/>
      <c r="I29" s="19" t="n">
        <f aca="false">MAX(I23:I27)</f>
        <v>10.677238507957</v>
      </c>
      <c r="J29" s="19" t="n">
        <f aca="false">MAX(J23:J27)</f>
        <v>29.6761740186593</v>
      </c>
      <c r="K29" s="19" t="n">
        <f aca="false">MAX(K23:K27)</f>
        <v>39.1418096021097</v>
      </c>
      <c r="L29" s="19" t="n">
        <f aca="false">MAX(L23:L27)</f>
        <v>32.1865730244933</v>
      </c>
      <c r="M29" s="12"/>
    </row>
    <row r="30" customFormat="false" ht="21.75" hidden="false" customHeight="true" outlineLevel="0" collapsed="false">
      <c r="A30" s="11" t="s">
        <v>33</v>
      </c>
      <c r="B30" s="12"/>
      <c r="C30" s="12"/>
      <c r="D30" s="12"/>
      <c r="E30" s="12"/>
      <c r="F30" s="12"/>
      <c r="G30" s="12"/>
      <c r="H30" s="12"/>
      <c r="I30" s="19" t="n">
        <f aca="false">QUARTILE(I23:I27,3)</f>
        <v>9.27128069868526</v>
      </c>
      <c r="J30" s="19" t="n">
        <f aca="false">QUARTILE(J23:J27,3)</f>
        <v>23.9131625256703</v>
      </c>
      <c r="K30" s="19" t="n">
        <f aca="false">QUARTILE(K23:K27,3)</f>
        <v>27.791236747041</v>
      </c>
      <c r="L30" s="19" t="n">
        <f aca="false">QUARTILE(L23:L27,3)</f>
        <v>29.624170223664</v>
      </c>
      <c r="M30" s="12"/>
    </row>
    <row r="31" customFormat="false" ht="21.75" hidden="false" customHeight="true" outlineLevel="0" collapsed="false">
      <c r="A31" s="11" t="s">
        <v>34</v>
      </c>
      <c r="B31" s="12"/>
      <c r="C31" s="12"/>
      <c r="D31" s="12"/>
      <c r="E31" s="12"/>
      <c r="F31" s="12"/>
      <c r="G31" s="12"/>
      <c r="H31" s="12"/>
      <c r="I31" s="19" t="n">
        <f aca="false">MEDIAN(I23:I27)</f>
        <v>8.26267876467161</v>
      </c>
      <c r="J31" s="19" t="n">
        <f aca="false">MEDIAN(J23:J27)</f>
        <v>17.1987747024759</v>
      </c>
      <c r="K31" s="19" t="n">
        <f aca="false">MEDIAN(K23:K27)</f>
        <v>20.7003171247357</v>
      </c>
      <c r="L31" s="19" t="n">
        <f aca="false">MEDIAN(L23:L27)</f>
        <v>28.0011165903487</v>
      </c>
      <c r="M31" s="12"/>
    </row>
    <row r="32" customFormat="false" ht="21.75" hidden="false" customHeight="true" outlineLevel="0" collapsed="false">
      <c r="A32" s="11" t="s">
        <v>35</v>
      </c>
      <c r="B32" s="12"/>
      <c r="C32" s="12"/>
      <c r="D32" s="12"/>
      <c r="E32" s="12"/>
      <c r="F32" s="12"/>
      <c r="G32" s="12"/>
      <c r="H32" s="12"/>
      <c r="I32" s="19" t="n">
        <f aca="false">QUARTILE(I23:I27,1)</f>
        <v>6.68621823450736</v>
      </c>
      <c r="J32" s="19" t="n">
        <f aca="false">QUARTILE(J23:J27,1)</f>
        <v>16.4354234157431</v>
      </c>
      <c r="K32" s="19" t="n">
        <f aca="false">QUARTILE(K23:K27,1)</f>
        <v>20.4776298223697</v>
      </c>
      <c r="L32" s="19" t="n">
        <f aca="false">QUARTILE(L23:L27,1)</f>
        <v>21.6958290960127</v>
      </c>
      <c r="M32" s="12"/>
    </row>
    <row r="33" customFormat="false" ht="21.75" hidden="false" customHeight="true" outlineLevel="0" collapsed="false">
      <c r="A33" s="11" t="s">
        <v>36</v>
      </c>
      <c r="B33" s="12"/>
      <c r="C33" s="12"/>
      <c r="D33" s="12"/>
      <c r="E33" s="12"/>
      <c r="F33" s="12"/>
      <c r="G33" s="12"/>
      <c r="H33" s="12"/>
      <c r="I33" s="19" t="n">
        <f aca="false">MIN(I23:I27)</f>
        <v>3.57897617574257</v>
      </c>
      <c r="J33" s="19" t="n">
        <f aca="false">MIN(J23:J27)</f>
        <v>14.1407861394307</v>
      </c>
      <c r="K33" s="19" t="n">
        <f aca="false">MIN(K23:K27)</f>
        <v>17.5183056857968</v>
      </c>
      <c r="L33" s="19" t="n">
        <f aca="false">MIN(L23:L27)</f>
        <v>20.8140694799844</v>
      </c>
      <c r="M33" s="12"/>
    </row>
    <row r="34" customFormat="false" ht="21.75" hidden="false" customHeight="true" outlineLevel="0" collapsed="false">
      <c r="A34" s="7" t="s">
        <v>49</v>
      </c>
      <c r="I34" s="20" t="n">
        <f aca="false">I22/I31-1</f>
        <v>0.435404547720687</v>
      </c>
      <c r="J34" s="20" t="n">
        <f aca="false">J22/J31-1</f>
        <v>0.180963090414056</v>
      </c>
      <c r="K34" s="20" t="n">
        <f aca="false">K22/K31-1</f>
        <v>0.434727893707873</v>
      </c>
      <c r="L34" s="20" t="n">
        <f aca="false">L22/L31-1</f>
        <v>-0.0945759600538191</v>
      </c>
    </row>
    <row r="35" customFormat="false" ht="21.75" hidden="false" customHeight="true" outlineLevel="0" collapsed="false"/>
    <row r="36" customFormat="false" ht="21.75" hidden="false" customHeight="true" outlineLevel="0" collapsed="false">
      <c r="A36" s="4" t="s">
        <v>50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21.75" hidden="false" customHeight="true" outlineLevel="0" collapsed="false">
      <c r="A37" s="6" t="s">
        <v>51</v>
      </c>
      <c r="B37" s="6" t="s">
        <v>52</v>
      </c>
      <c r="C37" s="6" t="s">
        <v>53</v>
      </c>
      <c r="D37" s="6" t="s">
        <v>34</v>
      </c>
      <c r="E37" s="6" t="s">
        <v>54</v>
      </c>
      <c r="F37" s="6" t="s">
        <v>55</v>
      </c>
      <c r="G37" s="6" t="s">
        <v>56</v>
      </c>
      <c r="H37" s="6" t="s">
        <v>57</v>
      </c>
      <c r="I37" s="6" t="s">
        <v>58</v>
      </c>
      <c r="J37" s="6" t="s">
        <v>59</v>
      </c>
      <c r="K37" s="6"/>
      <c r="L37" s="6"/>
      <c r="M37" s="6"/>
    </row>
    <row r="38" customFormat="false" ht="21.75" hidden="false" customHeight="true" outlineLevel="0" collapsed="false">
      <c r="A38" s="7" t="s">
        <v>44</v>
      </c>
      <c r="B38" s="9" t="n">
        <f aca="false">D7</f>
        <v>331839</v>
      </c>
      <c r="C38" s="17" t="n">
        <f aca="false">I32</f>
        <v>6.68621823450736</v>
      </c>
      <c r="D38" s="17" t="n">
        <f aca="false">I31</f>
        <v>8.26267876467161</v>
      </c>
      <c r="E38" s="17" t="n">
        <f aca="false">I30</f>
        <v>9.27128069868526</v>
      </c>
      <c r="F38" s="18" t="n">
        <f aca="false">(C38*B38-$F$22+$G$22)/$D$22</f>
        <v>303.009132435938</v>
      </c>
      <c r="G38" s="18" t="n">
        <f aca="false">(D38*B38-$F$22+$G$22)/$D$22</f>
        <v>373.294109712463</v>
      </c>
      <c r="H38" s="18" t="n">
        <f aca="false">(E38*B38-$F$22+$G$22)/$D$22</f>
        <v>418.261657365446</v>
      </c>
      <c r="I38" s="18" t="n">
        <f aca="false">$C$22</f>
        <v>533.69</v>
      </c>
      <c r="J38" s="20" t="n">
        <f aca="false">G38/I38-1</f>
        <v>-0.300541307289882</v>
      </c>
    </row>
    <row r="39" customFormat="false" ht="21.75" hidden="false" customHeight="true" outlineLevel="0" collapsed="false">
      <c r="A39" s="7" t="s">
        <v>45</v>
      </c>
      <c r="B39" s="9" t="n">
        <f aca="false">J7</f>
        <v>193771</v>
      </c>
      <c r="C39" s="17" t="n">
        <f aca="false">J32</f>
        <v>16.4354234157431</v>
      </c>
      <c r="D39" s="17" t="n">
        <f aca="false">J31</f>
        <v>17.1987747024759</v>
      </c>
      <c r="E39" s="17" t="n">
        <f aca="false">J30</f>
        <v>23.9131625256703</v>
      </c>
      <c r="F39" s="18" t="n">
        <f aca="false">(C39*B39-$F$22+$G$22)/$D$22</f>
        <v>432.790196250431</v>
      </c>
      <c r="G39" s="18" t="n">
        <f aca="false">(D39*B39-$F$22+$G$22)/$D$22</f>
        <v>452.663277290537</v>
      </c>
      <c r="H39" s="18" t="n">
        <f aca="false">(E39*B39-$F$22+$G$22)/$D$22</f>
        <v>627.4655939489</v>
      </c>
      <c r="I39" s="18" t="n">
        <f aca="false">$C$22</f>
        <v>533.69</v>
      </c>
      <c r="J39" s="20" t="n">
        <f aca="false">G39/I39-1</f>
        <v>-0.151823573065755</v>
      </c>
    </row>
    <row r="40" customFormat="false" ht="21.75" hidden="false" customHeight="true" outlineLevel="0" collapsed="false">
      <c r="A40" s="7" t="s">
        <v>46</v>
      </c>
      <c r="B40" s="9" t="n">
        <f aca="false">L7</f>
        <v>133749</v>
      </c>
      <c r="C40" s="17" t="n">
        <f aca="false">K32</f>
        <v>20.4776298223697</v>
      </c>
      <c r="D40" s="17" t="n">
        <f aca="false">K31</f>
        <v>20.7003171247357</v>
      </c>
      <c r="E40" s="17" t="n">
        <f aca="false">K30</f>
        <v>27.791236747041</v>
      </c>
      <c r="F40" s="18" t="n">
        <f aca="false">C40*B40/$D$22</f>
        <v>367.978303253007</v>
      </c>
      <c r="G40" s="18" t="n">
        <f aca="false">D40*B40/$D$22</f>
        <v>371.979942914991</v>
      </c>
      <c r="H40" s="18" t="n">
        <f aca="false">E40*B40/$D$22</f>
        <v>499.402139416901</v>
      </c>
      <c r="I40" s="18" t="n">
        <f aca="false">$C$22</f>
        <v>533.69</v>
      </c>
      <c r="J40" s="20" t="n">
        <f aca="false">G40/I40-1</f>
        <v>-0.303003723294438</v>
      </c>
    </row>
    <row r="41" customFormat="false" ht="21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90"/>
  </cols>
  <sheetData>
    <row r="1" customFormat="false" ht="15" hidden="false" customHeight="false" outlineLevel="0" collapsed="false">
      <c r="A1" s="21" t="s">
        <v>60</v>
      </c>
    </row>
    <row r="3" customFormat="false" ht="25.35" hidden="false" customHeight="false" outlineLevel="0" collapsed="false">
      <c r="A3" s="6" t="s">
        <v>5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66</v>
      </c>
      <c r="H3" s="6" t="s">
        <v>67</v>
      </c>
      <c r="I3" s="6" t="s">
        <v>68</v>
      </c>
      <c r="J3" s="6" t="s">
        <v>69</v>
      </c>
    </row>
    <row r="4" customFormat="false" ht="15" hidden="false" customHeight="false" outlineLevel="0" collapsed="false">
      <c r="A4" s="7" t="s">
        <v>18</v>
      </c>
      <c r="B4" s="2" t="s">
        <v>70</v>
      </c>
      <c r="C4" s="2" t="s">
        <v>71</v>
      </c>
      <c r="D4" s="16" t="n">
        <v>331839</v>
      </c>
      <c r="E4" s="2" t="s">
        <v>72</v>
      </c>
      <c r="F4" s="16" t="n">
        <v>0</v>
      </c>
      <c r="G4" s="2" t="s">
        <v>72</v>
      </c>
      <c r="H4" s="16" t="n">
        <v>0</v>
      </c>
      <c r="I4" s="22" t="n">
        <f aca="false">D4-F4+H4</f>
        <v>331839</v>
      </c>
      <c r="J4" s="23" t="s">
        <v>73</v>
      </c>
    </row>
    <row r="5" customFormat="false" ht="15" hidden="false" customHeight="false" outlineLevel="0" collapsed="false">
      <c r="A5" s="7" t="s">
        <v>18</v>
      </c>
      <c r="B5" s="2" t="s">
        <v>74</v>
      </c>
      <c r="C5" s="2" t="s">
        <v>75</v>
      </c>
      <c r="D5" s="16" t="n">
        <v>281724</v>
      </c>
      <c r="E5" s="2" t="s">
        <v>76</v>
      </c>
      <c r="F5" s="16" t="n">
        <v>0</v>
      </c>
      <c r="G5" s="2" t="s">
        <v>76</v>
      </c>
      <c r="H5" s="16" t="n">
        <v>0</v>
      </c>
      <c r="I5" s="22" t="n">
        <f aca="false">D5-F5+H5</f>
        <v>281724</v>
      </c>
      <c r="J5" s="23" t="s">
        <v>73</v>
      </c>
    </row>
    <row r="6" customFormat="false" ht="15" hidden="false" customHeight="false" outlineLevel="0" collapsed="false">
      <c r="A6" s="7" t="s">
        <v>18</v>
      </c>
      <c r="B6" s="2" t="s">
        <v>77</v>
      </c>
      <c r="C6" s="2" t="s">
        <v>71</v>
      </c>
      <c r="D6" s="16" t="n">
        <v>155237</v>
      </c>
      <c r="E6" s="2" t="s">
        <v>72</v>
      </c>
      <c r="F6" s="16" t="n">
        <v>0</v>
      </c>
      <c r="G6" s="2" t="s">
        <v>72</v>
      </c>
      <c r="H6" s="16" t="n">
        <v>0</v>
      </c>
      <c r="I6" s="22" t="n">
        <f aca="false">D6-F6+H6</f>
        <v>155237</v>
      </c>
      <c r="J6" s="23" t="s">
        <v>78</v>
      </c>
    </row>
    <row r="7" customFormat="false" ht="15" hidden="false" customHeight="false" outlineLevel="0" collapsed="false">
      <c r="A7" s="7" t="s">
        <v>18</v>
      </c>
      <c r="B7" s="2" t="s">
        <v>79</v>
      </c>
      <c r="C7" s="2" t="s">
        <v>71</v>
      </c>
      <c r="D7" s="16" t="n">
        <v>38534</v>
      </c>
      <c r="E7" s="2" t="s">
        <v>72</v>
      </c>
      <c r="F7" s="16" t="n">
        <v>0</v>
      </c>
      <c r="G7" s="2" t="s">
        <v>72</v>
      </c>
      <c r="H7" s="16" t="n">
        <v>0</v>
      </c>
      <c r="I7" s="22" t="n">
        <f aca="false">D7-F7+H7</f>
        <v>38534</v>
      </c>
      <c r="J7" s="23" t="s">
        <v>80</v>
      </c>
    </row>
    <row r="8" customFormat="false" ht="15" hidden="false" customHeight="false" outlineLevel="0" collapsed="false">
      <c r="A8" s="7" t="s">
        <v>18</v>
      </c>
      <c r="B8" s="2" t="s">
        <v>81</v>
      </c>
      <c r="C8" s="2" t="s">
        <v>71</v>
      </c>
      <c r="D8" s="16" t="n">
        <v>133749</v>
      </c>
      <c r="E8" s="2" t="s">
        <v>72</v>
      </c>
      <c r="F8" s="16" t="n">
        <v>0</v>
      </c>
      <c r="G8" s="2" t="s">
        <v>72</v>
      </c>
      <c r="H8" s="16" t="n">
        <v>0</v>
      </c>
      <c r="I8" s="22" t="n">
        <f aca="false">D8-F8+H8</f>
        <v>133749</v>
      </c>
      <c r="J8" s="23" t="s">
        <v>82</v>
      </c>
    </row>
    <row r="10" customFormat="false" ht="15" hidden="false" customHeight="false" outlineLevel="0" collapsed="false">
      <c r="A10" s="7" t="s">
        <v>21</v>
      </c>
      <c r="B10" s="2" t="s">
        <v>70</v>
      </c>
      <c r="C10" s="2" t="s">
        <v>83</v>
      </c>
      <c r="D10" s="16" t="n">
        <v>402836</v>
      </c>
      <c r="E10" s="2" t="s">
        <v>84</v>
      </c>
      <c r="F10" s="16" t="n">
        <v>186662</v>
      </c>
      <c r="G10" s="2" t="s">
        <v>85</v>
      </c>
      <c r="H10" s="16" t="n">
        <v>229692</v>
      </c>
      <c r="I10" s="22" t="n">
        <f aca="false">D10-F10+H10</f>
        <v>445866</v>
      </c>
      <c r="J10" s="23" t="s">
        <v>86</v>
      </c>
    </row>
    <row r="11" customFormat="false" ht="15" hidden="false" customHeight="false" outlineLevel="0" collapsed="false">
      <c r="A11" s="7" t="s">
        <v>21</v>
      </c>
      <c r="B11" s="2" t="s">
        <v>74</v>
      </c>
      <c r="C11" s="2" t="s">
        <v>87</v>
      </c>
      <c r="D11" s="16" t="n">
        <v>350018</v>
      </c>
      <c r="E11" s="2" t="s">
        <v>88</v>
      </c>
      <c r="F11" s="16" t="n">
        <v>165281</v>
      </c>
      <c r="G11" s="2" t="s">
        <v>84</v>
      </c>
      <c r="H11" s="16" t="n">
        <v>186662</v>
      </c>
      <c r="I11" s="22" t="n">
        <f aca="false">D11-F11+H11</f>
        <v>371399</v>
      </c>
      <c r="J11" s="23" t="s">
        <v>89</v>
      </c>
    </row>
    <row r="12" customFormat="false" ht="15" hidden="false" customHeight="false" outlineLevel="0" collapsed="false">
      <c r="A12" s="7" t="s">
        <v>21</v>
      </c>
      <c r="B12" s="2" t="s">
        <v>77</v>
      </c>
      <c r="C12" s="2" t="s">
        <v>83</v>
      </c>
      <c r="D12" s="16" t="n">
        <v>129039</v>
      </c>
      <c r="E12" s="2" t="s">
        <v>84</v>
      </c>
      <c r="F12" s="16" t="n">
        <v>61877</v>
      </c>
      <c r="G12" s="2" t="s">
        <v>85</v>
      </c>
      <c r="H12" s="16" t="n">
        <v>80466</v>
      </c>
      <c r="I12" s="22" t="n">
        <f aca="false">D12-F12+H12</f>
        <v>147628</v>
      </c>
      <c r="J12" s="23" t="s">
        <v>90</v>
      </c>
    </row>
    <row r="13" customFormat="false" ht="15" hidden="false" customHeight="false" outlineLevel="0" collapsed="false">
      <c r="A13" s="7" t="s">
        <v>21</v>
      </c>
      <c r="B13" s="2" t="s">
        <v>79</v>
      </c>
      <c r="C13" s="2" t="s">
        <v>83</v>
      </c>
      <c r="D13" s="16" t="n">
        <v>21136</v>
      </c>
      <c r="E13" s="2" t="s">
        <v>84</v>
      </c>
      <c r="F13" s="16" t="n">
        <v>9485</v>
      </c>
      <c r="G13" s="2" t="s">
        <v>85</v>
      </c>
      <c r="H13" s="16" t="n">
        <v>13586</v>
      </c>
      <c r="I13" s="22" t="n">
        <f aca="false">D13-F13+H13</f>
        <v>25237</v>
      </c>
      <c r="J13" s="23" t="s">
        <v>91</v>
      </c>
    </row>
    <row r="14" customFormat="false" ht="15" hidden="false" customHeight="false" outlineLevel="0" collapsed="false">
      <c r="A14" s="7" t="s">
        <v>21</v>
      </c>
      <c r="B14" s="2" t="s">
        <v>81</v>
      </c>
      <c r="C14" s="2" t="s">
        <v>83</v>
      </c>
      <c r="D14" s="16" t="n">
        <v>132170</v>
      </c>
      <c r="E14" s="2" t="s">
        <v>84</v>
      </c>
      <c r="F14" s="16" t="n">
        <v>62736</v>
      </c>
      <c r="G14" s="2" t="s">
        <v>85</v>
      </c>
      <c r="H14" s="16" t="n">
        <v>174771</v>
      </c>
      <c r="I14" s="22" t="n">
        <f aca="false">D14-F14+H14</f>
        <v>244205</v>
      </c>
      <c r="J14" s="23" t="s">
        <v>92</v>
      </c>
    </row>
    <row r="16" customFormat="false" ht="15" hidden="false" customHeight="false" outlineLevel="0" collapsed="false">
      <c r="A16" s="7" t="s">
        <v>23</v>
      </c>
      <c r="B16" s="2" t="s">
        <v>70</v>
      </c>
      <c r="C16" s="2" t="s">
        <v>83</v>
      </c>
      <c r="D16" s="16" t="n">
        <v>716924</v>
      </c>
      <c r="E16" s="2" t="s">
        <v>84</v>
      </c>
      <c r="F16" s="16" t="n">
        <v>323369</v>
      </c>
      <c r="G16" s="2" t="s">
        <v>85</v>
      </c>
      <c r="H16" s="16" t="n">
        <v>382125</v>
      </c>
      <c r="I16" s="22" t="n">
        <f aca="false">D16-F16+H16</f>
        <v>775680</v>
      </c>
      <c r="J16" s="23" t="s">
        <v>93</v>
      </c>
    </row>
    <row r="17" customFormat="false" ht="15" hidden="false" customHeight="false" outlineLevel="0" collapsed="false">
      <c r="A17" s="7" t="s">
        <v>23</v>
      </c>
      <c r="B17" s="2" t="s">
        <v>74</v>
      </c>
      <c r="C17" s="2" t="s">
        <v>87</v>
      </c>
      <c r="D17" s="16" t="n">
        <v>637959</v>
      </c>
      <c r="E17" s="2" t="s">
        <v>88</v>
      </c>
      <c r="F17" s="16" t="n">
        <v>291290</v>
      </c>
      <c r="G17" s="2" t="s">
        <v>84</v>
      </c>
      <c r="H17" s="16" t="n">
        <v>323369</v>
      </c>
      <c r="I17" s="22" t="n">
        <f aca="false">D17-F17+H17</f>
        <v>670038</v>
      </c>
      <c r="J17" s="23" t="s">
        <v>93</v>
      </c>
    </row>
    <row r="18" customFormat="false" ht="15" hidden="false" customHeight="false" outlineLevel="0" collapsed="false">
      <c r="A18" s="7" t="s">
        <v>23</v>
      </c>
      <c r="B18" s="2" t="s">
        <v>77</v>
      </c>
      <c r="C18" s="2" t="s">
        <v>83</v>
      </c>
      <c r="D18" s="16" t="n">
        <v>79975</v>
      </c>
      <c r="E18" s="2" t="s">
        <v>84</v>
      </c>
      <c r="F18" s="16" t="n">
        <v>37576</v>
      </c>
      <c r="G18" s="2" t="s">
        <v>85</v>
      </c>
      <c r="H18" s="16" t="n">
        <v>51313</v>
      </c>
      <c r="I18" s="22" t="n">
        <f aca="false">D18-F18+H18</f>
        <v>93712</v>
      </c>
      <c r="J18" s="23" t="s">
        <v>94</v>
      </c>
    </row>
    <row r="19" customFormat="false" ht="15" hidden="false" customHeight="false" outlineLevel="0" collapsed="false">
      <c r="A19" s="7" t="s">
        <v>23</v>
      </c>
      <c r="B19" s="2" t="s">
        <v>79</v>
      </c>
      <c r="C19" s="2" t="s">
        <v>83</v>
      </c>
      <c r="D19" s="16" t="n">
        <v>65756</v>
      </c>
      <c r="E19" s="2" t="s">
        <v>84</v>
      </c>
      <c r="F19" s="16" t="n">
        <v>29489</v>
      </c>
      <c r="G19" s="2" t="s">
        <v>85</v>
      </c>
      <c r="H19" s="16" t="n">
        <v>38933</v>
      </c>
      <c r="I19" s="22" t="n">
        <f aca="false">D19-F19+H19</f>
        <v>75200</v>
      </c>
      <c r="J19" s="23" t="s">
        <v>95</v>
      </c>
    </row>
    <row r="20" customFormat="false" ht="15" hidden="false" customHeight="false" outlineLevel="0" collapsed="false">
      <c r="A20" s="7" t="s">
        <v>23</v>
      </c>
      <c r="B20" s="2" t="s">
        <v>81</v>
      </c>
      <c r="C20" s="2" t="s">
        <v>83</v>
      </c>
      <c r="D20" s="16" t="n">
        <v>77670</v>
      </c>
      <c r="E20" s="2" t="s">
        <v>84</v>
      </c>
      <c r="F20" s="16" t="n">
        <v>35291</v>
      </c>
      <c r="G20" s="2" t="s">
        <v>85</v>
      </c>
      <c r="H20" s="16" t="n">
        <v>92902</v>
      </c>
      <c r="I20" s="22" t="n">
        <f aca="false">D20-F20+H20</f>
        <v>135281</v>
      </c>
      <c r="J20" s="23" t="s">
        <v>96</v>
      </c>
    </row>
    <row r="22" customFormat="false" ht="15" hidden="false" customHeight="false" outlineLevel="0" collapsed="false">
      <c r="A22" s="7" t="s">
        <v>25</v>
      </c>
      <c r="B22" s="2" t="s">
        <v>70</v>
      </c>
      <c r="C22" s="2" t="s">
        <v>83</v>
      </c>
      <c r="D22" s="16" t="n">
        <v>200966</v>
      </c>
      <c r="E22" s="2" t="s">
        <v>84</v>
      </c>
      <c r="F22" s="16" t="n">
        <v>89830</v>
      </c>
      <c r="G22" s="2" t="s">
        <v>85</v>
      </c>
      <c r="H22" s="16" t="n">
        <v>117111</v>
      </c>
      <c r="I22" s="22" t="n">
        <f aca="false">D22-F22+H22</f>
        <v>228247</v>
      </c>
      <c r="J22" s="23" t="s">
        <v>97</v>
      </c>
    </row>
    <row r="23" customFormat="false" ht="15" hidden="false" customHeight="false" outlineLevel="0" collapsed="false">
      <c r="A23" s="7" t="s">
        <v>25</v>
      </c>
      <c r="B23" s="2" t="s">
        <v>74</v>
      </c>
      <c r="C23" s="2" t="s">
        <v>87</v>
      </c>
      <c r="D23" s="16" t="n">
        <v>164501</v>
      </c>
      <c r="E23" s="2" t="s">
        <v>88</v>
      </c>
      <c r="F23" s="16" t="n">
        <v>75527</v>
      </c>
      <c r="G23" s="2" t="s">
        <v>84</v>
      </c>
      <c r="H23" s="16" t="n">
        <v>89830</v>
      </c>
      <c r="I23" s="22" t="n">
        <f aca="false">D23-F23+H23</f>
        <v>178804</v>
      </c>
      <c r="J23" s="23" t="s">
        <v>97</v>
      </c>
    </row>
    <row r="24" customFormat="false" ht="15" hidden="false" customHeight="false" outlineLevel="0" collapsed="false">
      <c r="A24" s="7" t="s">
        <v>25</v>
      </c>
      <c r="B24" s="2" t="s">
        <v>77</v>
      </c>
      <c r="C24" s="2" t="s">
        <v>83</v>
      </c>
      <c r="D24" s="16" t="n">
        <v>83276</v>
      </c>
      <c r="E24" s="2" t="s">
        <v>84</v>
      </c>
      <c r="F24" s="16" t="n">
        <v>37997</v>
      </c>
      <c r="G24" s="2" t="s">
        <v>85</v>
      </c>
      <c r="H24" s="16" t="n">
        <v>41647</v>
      </c>
      <c r="I24" s="22" t="n">
        <f aca="false">D24-F24+H24</f>
        <v>86926</v>
      </c>
      <c r="J24" s="23" t="s">
        <v>98</v>
      </c>
    </row>
    <row r="25" customFormat="false" ht="15" hidden="false" customHeight="false" outlineLevel="0" collapsed="false">
      <c r="A25" s="7" t="s">
        <v>25</v>
      </c>
      <c r="B25" s="2" t="s">
        <v>79</v>
      </c>
      <c r="C25" s="2" t="s">
        <v>83</v>
      </c>
      <c r="D25" s="16" t="n">
        <v>18616</v>
      </c>
      <c r="E25" s="2" t="s">
        <v>84</v>
      </c>
      <c r="F25" s="16" t="n">
        <v>8242</v>
      </c>
      <c r="G25" s="2" t="s">
        <v>85</v>
      </c>
      <c r="H25" s="16" t="n">
        <v>12355</v>
      </c>
      <c r="I25" s="22" t="n">
        <f aca="false">D25-F25+H25</f>
        <v>22729</v>
      </c>
      <c r="J25" s="23" t="s">
        <v>99</v>
      </c>
    </row>
    <row r="26" customFormat="false" ht="15" hidden="false" customHeight="false" outlineLevel="0" collapsed="false">
      <c r="A26" s="7" t="s">
        <v>25</v>
      </c>
      <c r="B26" s="2" t="s">
        <v>81</v>
      </c>
      <c r="C26" s="2" t="s">
        <v>83</v>
      </c>
      <c r="D26" s="16" t="n">
        <v>60458</v>
      </c>
      <c r="E26" s="2" t="s">
        <v>84</v>
      </c>
      <c r="F26" s="16" t="n">
        <v>34981</v>
      </c>
      <c r="G26" s="2" t="s">
        <v>85</v>
      </c>
      <c r="H26" s="16" t="n">
        <v>42621</v>
      </c>
      <c r="I26" s="22" t="n">
        <f aca="false">D26-F26+H26</f>
        <v>68098</v>
      </c>
      <c r="J26" s="23" t="s">
        <v>100</v>
      </c>
    </row>
    <row r="28" customFormat="false" ht="15" hidden="false" customHeight="false" outlineLevel="0" collapsed="false">
      <c r="A28" s="7" t="s">
        <v>27</v>
      </c>
      <c r="B28" s="2" t="s">
        <v>70</v>
      </c>
      <c r="C28" s="2" t="s">
        <v>101</v>
      </c>
      <c r="D28" s="16" t="n">
        <v>416161</v>
      </c>
      <c r="E28" s="2" t="s">
        <v>102</v>
      </c>
      <c r="F28" s="16" t="n">
        <v>313695</v>
      </c>
      <c r="G28" s="2" t="s">
        <v>103</v>
      </c>
      <c r="H28" s="16" t="n">
        <v>364357</v>
      </c>
      <c r="I28" s="22" t="n">
        <f aca="false">D28-F28+H28</f>
        <v>466823</v>
      </c>
      <c r="J28" s="23" t="s">
        <v>104</v>
      </c>
    </row>
    <row r="29" customFormat="false" ht="15" hidden="false" customHeight="false" outlineLevel="0" collapsed="false">
      <c r="A29" s="7" t="s">
        <v>27</v>
      </c>
      <c r="B29" s="2" t="s">
        <v>74</v>
      </c>
      <c r="C29" s="2" t="s">
        <v>105</v>
      </c>
      <c r="D29" s="16" t="n">
        <v>391035</v>
      </c>
      <c r="E29" s="2" t="s">
        <v>106</v>
      </c>
      <c r="F29" s="16" t="n">
        <v>296105</v>
      </c>
      <c r="G29" s="2" t="s">
        <v>102</v>
      </c>
      <c r="H29" s="16" t="n">
        <v>313695</v>
      </c>
      <c r="I29" s="22" t="n">
        <f aca="false">D29-F29+H29</f>
        <v>408625</v>
      </c>
      <c r="J29" s="23" t="s">
        <v>107</v>
      </c>
    </row>
    <row r="30" customFormat="false" ht="15" hidden="false" customHeight="false" outlineLevel="0" collapsed="false">
      <c r="A30" s="7" t="s">
        <v>27</v>
      </c>
      <c r="B30" s="2" t="s">
        <v>77</v>
      </c>
      <c r="C30" s="2" t="s">
        <v>101</v>
      </c>
      <c r="D30" s="16" t="n">
        <v>133050</v>
      </c>
      <c r="E30" s="2" t="s">
        <v>102</v>
      </c>
      <c r="F30" s="16" t="n">
        <v>100623</v>
      </c>
      <c r="G30" s="2" t="s">
        <v>103</v>
      </c>
      <c r="H30" s="16" t="n">
        <v>122432</v>
      </c>
      <c r="I30" s="22" t="n">
        <f aca="false">D30-F30+H30</f>
        <v>154859</v>
      </c>
      <c r="J30" s="23" t="s">
        <v>108</v>
      </c>
    </row>
    <row r="31" customFormat="false" ht="15" hidden="false" customHeight="false" outlineLevel="0" collapsed="false">
      <c r="A31" s="7" t="s">
        <v>27</v>
      </c>
      <c r="B31" s="2" t="s">
        <v>79</v>
      </c>
      <c r="C31" s="2" t="s">
        <v>101</v>
      </c>
      <c r="D31" s="16" t="n">
        <v>11698</v>
      </c>
      <c r="E31" s="2" t="s">
        <v>102</v>
      </c>
      <c r="F31" s="16" t="n">
        <v>8571</v>
      </c>
      <c r="G31" s="2" t="s">
        <v>103</v>
      </c>
      <c r="H31" s="16" t="n">
        <v>9973</v>
      </c>
      <c r="I31" s="22" t="n">
        <f aca="false">D31-F31+H31</f>
        <v>13100</v>
      </c>
      <c r="J31" s="23" t="s">
        <v>109</v>
      </c>
    </row>
    <row r="32" customFormat="false" ht="15" hidden="false" customHeight="false" outlineLevel="0" collapsed="false">
      <c r="A32" s="7" t="s">
        <v>27</v>
      </c>
      <c r="B32" s="2" t="s">
        <v>81</v>
      </c>
      <c r="C32" s="2" t="s">
        <v>101</v>
      </c>
      <c r="D32" s="16" t="n">
        <v>112010</v>
      </c>
      <c r="E32" s="2" t="s">
        <v>102</v>
      </c>
      <c r="F32" s="16" t="n">
        <v>84544</v>
      </c>
      <c r="G32" s="2" t="s">
        <v>103</v>
      </c>
      <c r="H32" s="16" t="n">
        <v>101464</v>
      </c>
      <c r="I32" s="22" t="n">
        <f aca="false">D32-F32+H32</f>
        <v>128930</v>
      </c>
      <c r="J32" s="23" t="s">
        <v>110</v>
      </c>
    </row>
    <row r="34" customFormat="false" ht="15" hidden="false" customHeight="false" outlineLevel="0" collapsed="false">
      <c r="A34" s="7" t="s">
        <v>30</v>
      </c>
      <c r="B34" s="2" t="s">
        <v>70</v>
      </c>
      <c r="C34" s="2" t="s">
        <v>111</v>
      </c>
      <c r="D34" s="16" t="n">
        <v>67357</v>
      </c>
      <c r="E34" s="2" t="s">
        <v>112</v>
      </c>
      <c r="F34" s="16" t="n">
        <v>14926</v>
      </c>
      <c r="G34" s="2" t="s">
        <v>113</v>
      </c>
      <c r="H34" s="16" t="n">
        <v>19345</v>
      </c>
      <c r="I34" s="22" t="n">
        <f aca="false">D34-F34+H34</f>
        <v>71776</v>
      </c>
      <c r="J34" s="23" t="s">
        <v>114</v>
      </c>
    </row>
    <row r="35" customFormat="false" ht="15" hidden="false" customHeight="false" outlineLevel="0" collapsed="false">
      <c r="A35" s="7" t="s">
        <v>30</v>
      </c>
      <c r="B35" s="2" t="s">
        <v>74</v>
      </c>
      <c r="C35" s="2" t="s">
        <v>115</v>
      </c>
      <c r="D35" s="16" t="n">
        <v>57399</v>
      </c>
      <c r="E35" s="2" t="s">
        <v>116</v>
      </c>
      <c r="F35" s="16" t="n">
        <v>13307</v>
      </c>
      <c r="G35" s="2" t="s">
        <v>112</v>
      </c>
      <c r="H35" s="16" t="n">
        <v>14926</v>
      </c>
      <c r="I35" s="22" t="n">
        <f aca="false">D35-F35+H35</f>
        <v>59018</v>
      </c>
      <c r="J35" s="23" t="s">
        <v>114</v>
      </c>
    </row>
    <row r="36" customFormat="false" ht="15" hidden="false" customHeight="false" outlineLevel="0" collapsed="false">
      <c r="A36" s="7" t="s">
        <v>30</v>
      </c>
      <c r="B36" s="2" t="s">
        <v>77</v>
      </c>
      <c r="C36" s="2" t="s">
        <v>111</v>
      </c>
      <c r="D36" s="16" t="n">
        <v>20606</v>
      </c>
      <c r="E36" s="2" t="s">
        <v>112</v>
      </c>
      <c r="F36" s="16" t="n">
        <v>4277</v>
      </c>
      <c r="G36" s="2" t="s">
        <v>113</v>
      </c>
      <c r="H36" s="16" t="n">
        <v>6728</v>
      </c>
      <c r="I36" s="22" t="n">
        <f aca="false">D36-F36+H36</f>
        <v>23057</v>
      </c>
      <c r="J36" s="23" t="s">
        <v>117</v>
      </c>
    </row>
    <row r="37" customFormat="false" ht="15" hidden="false" customHeight="false" outlineLevel="0" collapsed="false">
      <c r="A37" s="7" t="s">
        <v>30</v>
      </c>
      <c r="B37" s="2" t="s">
        <v>79</v>
      </c>
      <c r="C37" s="2" t="s">
        <v>111</v>
      </c>
      <c r="D37" s="16" t="n">
        <v>9294</v>
      </c>
      <c r="E37" s="2" t="s">
        <v>112</v>
      </c>
      <c r="F37" s="16" t="n">
        <v>1771</v>
      </c>
      <c r="G37" s="2" t="s">
        <v>113</v>
      </c>
      <c r="H37" s="16" t="n">
        <v>3358</v>
      </c>
      <c r="I37" s="22" t="n">
        <f aca="false">D37-F37+H37</f>
        <v>10881</v>
      </c>
      <c r="J37" s="23" t="s">
        <v>118</v>
      </c>
    </row>
    <row r="38" customFormat="false" ht="15" hidden="false" customHeight="false" outlineLevel="0" collapsed="false">
      <c r="A38" s="7" t="s">
        <v>30</v>
      </c>
      <c r="B38" s="2" t="s">
        <v>81</v>
      </c>
      <c r="C38" s="2" t="s">
        <v>111</v>
      </c>
      <c r="D38" s="16" t="n">
        <v>17087</v>
      </c>
      <c r="E38" s="2" t="s">
        <v>112</v>
      </c>
      <c r="F38" s="16" t="n">
        <v>2927</v>
      </c>
      <c r="G38" s="2" t="s">
        <v>113</v>
      </c>
      <c r="H38" s="16" t="n">
        <v>4760</v>
      </c>
      <c r="I38" s="22" t="n">
        <f aca="false">D38-F38+H38</f>
        <v>18920</v>
      </c>
      <c r="J38" s="2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24" t="s">
        <v>120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25" t="s">
        <v>121</v>
      </c>
    </row>
    <row r="4" customFormat="false" ht="15" hidden="false" customHeight="false" outlineLevel="0" collapsed="false">
      <c r="A4" s="25" t="s">
        <v>122</v>
      </c>
    </row>
    <row r="5" customFormat="false" ht="15" hidden="false" customHeight="false" outlineLevel="0" collapsed="false">
      <c r="A5" s="25"/>
    </row>
    <row r="6" customFormat="false" ht="15" hidden="false" customHeight="false" outlineLevel="0" collapsed="false">
      <c r="A6" s="24" t="s">
        <v>123</v>
      </c>
    </row>
    <row r="7" customFormat="false" ht="15" hidden="false" customHeight="false" outlineLevel="0" collapsed="false">
      <c r="A7" s="25" t="s">
        <v>124</v>
      </c>
    </row>
    <row r="8" customFormat="false" ht="15" hidden="false" customHeight="false" outlineLevel="0" collapsed="false">
      <c r="A8" s="25" t="s">
        <v>125</v>
      </c>
    </row>
    <row r="9" customFormat="false" ht="15" hidden="false" customHeight="false" outlineLevel="0" collapsed="false">
      <c r="A9" s="25" t="s">
        <v>126</v>
      </c>
    </row>
    <row r="10" customFormat="false" ht="15" hidden="false" customHeight="false" outlineLevel="0" collapsed="false">
      <c r="A10" s="25"/>
    </row>
    <row r="11" customFormat="false" ht="15" hidden="false" customHeight="false" outlineLevel="0" collapsed="false">
      <c r="A11" s="24" t="s">
        <v>127</v>
      </c>
    </row>
    <row r="12" customFormat="false" ht="15" hidden="false" customHeight="false" outlineLevel="0" collapsed="false">
      <c r="A12" s="25" t="s">
        <v>128</v>
      </c>
    </row>
    <row r="13" customFormat="false" ht="15" hidden="false" customHeight="false" outlineLevel="0" collapsed="false">
      <c r="A13" s="25" t="s">
        <v>129</v>
      </c>
    </row>
    <row r="14" customFormat="false" ht="15" hidden="false" customHeight="false" outlineLevel="0" collapsed="false">
      <c r="A14" s="25" t="s">
        <v>130</v>
      </c>
    </row>
    <row r="15" customFormat="false" ht="15" hidden="false" customHeight="false" outlineLevel="0" collapsed="false">
      <c r="A15" s="25"/>
    </row>
    <row r="16" customFormat="false" ht="15" hidden="false" customHeight="false" outlineLevel="0" collapsed="false">
      <c r="A16" s="24" t="s">
        <v>131</v>
      </c>
    </row>
    <row r="17" customFormat="false" ht="25.35" hidden="false" customHeight="false" outlineLevel="0" collapsed="false">
      <c r="A17" s="25" t="s">
        <v>132</v>
      </c>
    </row>
    <row r="18" customFormat="false" ht="25.35" hidden="false" customHeight="false" outlineLevel="0" collapsed="false">
      <c r="A18" s="25" t="s">
        <v>133</v>
      </c>
    </row>
    <row r="19" customFormat="false" ht="15" hidden="false" customHeight="false" outlineLevel="0" collapsed="false">
      <c r="A19" s="25" t="s">
        <v>134</v>
      </c>
    </row>
    <row r="20" customFormat="false" ht="25.35" hidden="false" customHeight="false" outlineLevel="0" collapsed="false">
      <c r="A20" s="25" t="s">
        <v>135</v>
      </c>
    </row>
    <row r="21" customFormat="false" ht="15" hidden="false" customHeight="false" outlineLevel="0" collapsed="false">
      <c r="A21" s="25" t="s">
        <v>136</v>
      </c>
    </row>
    <row r="22" customFormat="false" ht="15" hidden="false" customHeight="false" outlineLevel="0" collapsed="false">
      <c r="A22" s="25"/>
    </row>
    <row r="23" customFormat="false" ht="15" hidden="false" customHeight="false" outlineLevel="0" collapsed="false">
      <c r="A23" s="24" t="s">
        <v>137</v>
      </c>
    </row>
    <row r="24" customFormat="false" ht="25.35" hidden="false" customHeight="false" outlineLevel="0" collapsed="false">
      <c r="A24" s="25" t="s">
        <v>138</v>
      </c>
    </row>
    <row r="25" customFormat="false" ht="15" hidden="false" customHeight="false" outlineLevel="0" collapsed="false">
      <c r="A25" s="25" t="s">
        <v>139</v>
      </c>
    </row>
    <row r="26" customFormat="false" ht="15" hidden="false" customHeight="false" outlineLevel="0" collapsed="false">
      <c r="A26" s="25" t="s">
        <v>140</v>
      </c>
    </row>
    <row r="27" customFormat="false" ht="15" hidden="false" customHeight="false" outlineLevel="0" collapsed="false">
      <c r="A27" s="25" t="s">
        <v>141</v>
      </c>
    </row>
    <row r="28" customFormat="false" ht="15" hidden="false" customHeight="false" outlineLevel="0" collapsed="false">
      <c r="A28" s="25"/>
    </row>
    <row r="29" customFormat="false" ht="15" hidden="false" customHeight="false" outlineLevel="0" collapsed="false">
      <c r="A29" s="2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2026-10-15T02:04:04Z</dcterms:created>
  <dc:creator>openpyxl</dc:creator>
  <dc:description/>
  <dc:language>en-US</dc:language>
  <cp:lastModifiedBy/>
  <dcterms:modified xsi:type="dcterms:W3CDTF">2026-10-15T02:04:04Z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