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  <sheet name="Input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stock-data get_financials (SEC XBRL, quarterly) revenue, quarter ended 2024-09-30.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stock-data get_financials (SEC XBRL, quarterly) revenue, quarter ended 2024-09-30.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stock-data get_financials (SEC XBRL, quarterly) revenue, quarter ended 2024-09-30.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stock-data get_financials (SEC XBRL, quarterly) revenue, quarter ended 2024-09-30.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stock-data get_financials (SEC XBRL, quarterly) revenue, quarter ended 2024-09-28.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stock-data get_financials (SEC XBRL, quarterly) revenue, quarter ended 2024-11-30.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2025-09-27.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2025-11-30.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stock-data get_financials (SEC XBRL, quarterly) net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stock-data get_financials (SEC XBRL, quarterly) net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stock-data get_financials (SEC XBRL, quarterly) net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stock-data get_financials (SEC XBRL, quarterly) net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stock-data get_financials (SEC XBRL, quarterly) net income, quarter ended 2025-09-27.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stock-data get_financials (SEC XBRL, quarterly) net income, quarter ended 2025-11-30.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stock-data get_financials (SEC XBRL, quarterly) income tax,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stock-data get_financials (SEC XBRL, quarterly) income tax,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stock-data get_financials (SEC XBRL, quarterly) income tax,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stock-data get_financials (SEC XBRL, quarterly) income tax,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stock-data get_financials (SEC XBRL, quarterly) income tax, quarter ended 2025-09-27.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stock-data get_financials (SEC XBRL, quarterly) income tax, quarter ended 2025-11-30.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2025-09-27.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'Depreciation, amortization, and other', twelve months ended 2026-06-30, cash flow statement, MSFT earnings release Ex.99.1 (8-K filed 2026-07-29). Includes 'other' non-cash items.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Depreciation of property &amp; equipment FY2025, 10-K filed 2026-02-05 (cash flow statement, R10).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stock-data get_financials (SEC XBRL, quarterly) depreciation_amortization, Q ended 2025-09-30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stock-data get_financials (SEC XBRL, quarterly) depreciation_amortization, Q ended 2025-09-30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stock-data get_financials (SEC XBRL, quarterly) depreciation_amortization, Q ended 2025-09-27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FY ended 2026-05-31: Depreciation 7,623 + Amortization of intangibles 1,671; 10-K filed 2026-06-22, cash flow statement (R8).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Latest reported quarter end. Source: 10-K filed 2026-07-29 (FY ended 2026-06-30);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Latest reported quarter end. Source: 10-Q filed 2026-07-23 (Q ended 2026-06-30);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Latest reported quarter end. Source: 10-Q filed 2026-07-31 (Q ended 2026-06-30);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Latest reported quarter end. Source: 10-Q filed 2026-07-30 (Q ended 2026-06-30);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Latest reported quarter end. Source: 10-Q filed 2026-07-31 (Q ended 2026-06-27);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Latest reported quarter end. Source: 10-Q filed 2026-09-11 (Q ended 2026-08-31); stock-data get_filings.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stock-data get_financials (SEC XBRL, quarterly) revenue, quarter ended 2024-12-31.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stock-data get_financials (SEC XBRL, quarterly) revenue, quarter ended 2024-12-31.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stock-data get_financials (SEC XBRL, quarterly) revenue, quarter ended 2024-12-31.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stock-data get_financials (SEC XBRL, quarterly) revenue, quarter ended 2024-12-31.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stock-data get_financials (SEC XBRL, quarterly) revenue, quarter ended 2024-12-28.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stock-data get_financials (SEC XBRL, quarterly) revenue, quarter ended 2025-02-28.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2025-12-27.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stock-data get_financials (SEC XBRL, quarterly) net income, quarter ended 2025-12-31.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stock-data get_financials (SEC XBRL, quarterly) net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stock-data get_financials (SEC XBRL, quarterly) net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stock-data get_financials (SEC XBRL, quarterly) net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stock-data get_financials (SEC XBRL, quarterly) net income, quarter ended 2025-12-27.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stock-data get_financials (SEC XBRL, quarterly) net income, quarter ended 2026-02-28.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stock-data get_financials (SEC XBRL, quarterly) income tax, quarter ended 2025-12-31.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stock-data get_financials (SEC XBRL, quarterly) income tax,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stock-data get_financials (SEC XBRL, quarterly) income tax,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stock-data get_financials (SEC XBRL, quarterly) income tax,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stock-data get_financials (SEC XBRL, quarterly) income tax, quarter ended 2025-12-27.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stock-data get_financials (SEC XBRL, quarterly) income tax, quarter ended 2026-02-28.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stock-data get_financials (SEC XBRL, quarterly) pre-tax income, quarter ended 2025-12-27.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Depreciation of P&amp;E, six months ended 2026-06-30, 10-Q filed 2026-07-23.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stock-data get_financials (SEC XBRL, quarterly), Q ended 2025-12-31 (derived FY-9M)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stock-data get_financials (SEC XBRL, quarterly), Q ended 2025-12-31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stock-data get_financials (SEC XBRL, quarterly), Q ended 2025-12-27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Q ended 2026-08-31: Depreciation 3,156 + Amortization 202; 10-Q filed 2026-09-11.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Company fiscal label of latest quarter.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stock-data get_financials (SEC XBRL, quarterly) revenue, quarter ended 2025-03-31.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stock-data get_financials (SEC XBRL, quarterly) revenue, quarter ended 2025-03-31.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stock-data get_financials (SEC XBRL, quarterly) revenue, quarter ended 2025-03-31.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stock-data get_financials (SEC XBRL, quarterly) revenue, quarter ended 2025-03-31.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stock-data get_financials (SEC XBRL, quarterly) revenue, quarter ended 2025-03-29.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stock-data get_financials (SEC XBRL, quarterly) revenue, quarter ended 2025-05-31.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2026-03-28.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2026-05-31.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stock-data get_financials (SEC XBRL, quarterly) net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stock-data get_financials (SEC XBRL, quarterly) net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stock-data get_financials (SEC XBRL, quarterly) net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stock-data get_financials (SEC XBRL, quarterly) net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stock-data get_financials (SEC XBRL, quarterly) net income, quarter ended 2026-03-28.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stock-data get_financials (SEC XBRL, quarterly) net income, quarter ended 2026-05-31.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stock-data get_financials (SEC XBRL, quarterly) income tax,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stock-data get_financials (SEC XBRL, quarterly) income tax,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stock-data get_financials (SEC XBRL, quarterly) income tax,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stock-data get_financials (SEC XBRL, quarterly) income tax,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stock-data get_financials (SEC XBRL, quarterly) income tax, quarter ended 2026-03-28.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stock-data get_financials (SEC XBRL, quarterly) income tax, quarter ended 2026-05-31.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2026-03-28.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Depreciation of P&amp;E, six months ended 2025-06-30, 10-Q filed 2026-07-23 (comparative).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stock-data get_financials (SEC XBRL, quarterly), Q ended 2026-03-31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stock-data get_financials (SEC XBRL, quarterly), Q ended 2026-03-31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stock-data get_financials (SEC XBRL, quarterly), Q ended 2026-03-28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Q ended 2025-08-31: Depreciation 1,351 + Amortization 420; 10-Q filed 2026-09-11 (comparative).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stock-data get_quote (Yahoo Finance), last price for 2026-10-14 session, fetched 2026-10-15T01:58Z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stock-data get_financials (SEC XBRL, quarterly) revenue, quarter ended 2025-06-30.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stock-data get_financials (SEC XBRL, quarterly) revenue, quarter ended 2025-06-30.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stock-data get_financials (SEC XBRL, quarterly) revenue, quarter ended 2025-06-30.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stock-data get_financials (SEC XBRL, quarterly) revenue, quarter ended 2025-06-30.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stock-data get_financials (SEC XBRL, quarterly) revenue, quarter ended 2025-06-28.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stock-data get_financials (SEC XBRL, quarterly) revenue, quarter ended 2025-08-31.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stock-data get_financials (SEC XBRL, quarterly) operating income, quarter ended 2026-08-31.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4</xdr:col>
                <xdr:colOff>8</xdr:colOff>
                <xdr:row>6</xdr:row>
                <xdr:rowOff>20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stock-data get_financials (SEC XBRL, quarterly) net income, quarter ended 2026-06-30.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stock-data get_financials (SEC XBRL, quarterly) net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stock-data get_financials (SEC XBRL, quarterly) net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stock-data get_financials (SEC XBRL, quarterly) net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stock-data get_financials (SEC XBRL, quarterly) net income, quarter ended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stock-data get_financials (SEC XBRL, quarterly) net income, quarter ended 2026-08-31.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4</xdr:col>
                <xdr:colOff>8</xdr:colOff>
                <xdr:row>7</xdr:row>
                <xdr:rowOff>13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stock-data get_financials (SEC XBRL, quarterly) income tax, quarter ended 2026-06-30.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stock-data get_financials (SEC XBRL, quarterly) income tax,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stock-data get_financials (SEC XBRL, quarterly) income tax,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stock-data get_financials (SEC XBRL, quarterly) income tax,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stock-data get_financials (SEC XBRL, quarterly) income tax, quarter ended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stock-data get_financials (SEC XBRL, quarterly) income tax, quarter ended 2026-08-31.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</xdr:rowOff>
              </xdr:from>
              <xdr:to>
                <xdr:col>4</xdr:col>
                <xdr:colOff>8</xdr:colOff>
                <xdr:row>8</xdr:row>
                <xdr:rowOff>7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stock-data get_financials (SEC XBRL, quarterly) pre-tax income, quarter ended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stock-data get_financials (SEC XBRL, quarterly), Q ended 2026-06-30 (derived 6M-3M)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stock-data get_financials (SEC XBRL, quarterly), Q ended 2026-06-30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stock-data get_financials (SEC XBRL, quarterly), Q ended 2026-06-27 (derived)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25</xdr:rowOff>
              </xdr:from>
              <xdr:to>
                <xdr:col>4</xdr:col>
                <xdr:colOff>8</xdr:colOff>
                <xdr:row>9</xdr:row>
                <xdr:rowOff>1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CommonStockSharesOutstanding at 2026-06-30 (stock-data balance).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CommonStockSharesOutstanding (all classes) at 2026-06-30 (stock-data balance).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CommonStockSharesOutstanding at 2026-06-30 (stock-data balance).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10-Q cover (filed 2026-07-30): 2,205.1M Class A + 342.4M Class B as of 2026-07-24.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CommonStockSharesOutstanding at 2026-06-27 (stock-data balance).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CommonStockSharesOutstanding at 2026-08-31 (stock-data balance). Basic shares outstanding; dilution not added.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stock-data get_financials (SEC XBRL, quarterly) revenue,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stock-data get_financials (SEC XBRL, quarterly) revenue,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stock-data get_financials (SEC XBRL, quarterly) revenue,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stock-data get_financials (SEC XBRL, quarterly) revenue, quarter ended 2025-09-30.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stock-data get_financials (SEC XBRL, quarterly) revenue, quarter ended 2025-09-27.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stock-data get_financials (SEC XBRL, quarterly) revenue, quarter ended 2025-11-30.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CashAndCashEquivalentsAtCarryingValue at 2026-06-30; stock-data get_financials balance (10-K filed 2026-07-29 (FY ended 2026-06-30)).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CashAndCashEquivalentsAtCarryingValue at 2026-06-30; stock-data get_financials balance (10-Q filed 2026-07-23 (Q ended 2026-06-30)).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CashAndCashEquivalentsAtCarryingValue at 2026-06-30; stock-data get_financials balance (10-Q filed 2026-07-31 (Q ended 2026-06-30)).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CashAndCashEquivalentsAtCarryingValue at 2026-06-30; stock-data get_financials balance (10-Q filed 2026-07-30 (Q ended 2026-06-30)).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CashAndCashEquivalentsAtCarryingValue at 2026-06-27; stock-data get_financials balance (10-Q filed 2026-07-31 (Q ended 2026-06-27)).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CashAndCashEquivalentsAtCarryingValue at 2026-08-31; stock-data get_financials balance (10-Q filed 2026-09-11 (Q ended 2026-08-31)).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stock-data get_financials (SEC XBRL, quarterly) revenue, quarter ended 2025-12-31.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stock-data get_financials (SEC XBRL, quarterly) revenue,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stock-data get_financials (SEC XBRL, quarterly) revenue,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stock-data get_financials (SEC XBRL, quarterly) revenue, quarter ended 2025-12-31.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stock-data get_financials (SEC XBRL, quarterly) revenue, quarter ended 2025-12-27.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stock-data get_financials (SEC XBRL, quarterly) revenue, quarter ended 2026-02-28.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Current short-term investments / marketable securities at 2026-06-30;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Current short-term investments / marketable securities at 2026-06-30;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Current short-term investments / marketable securities at 2026-06-30;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Current short-term investments / marketable securities at 2026-06-30;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Current short-term investments / marketable securities at 2026-06-27;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Current short-term investments / marketable securities at 2026-08-31; stock-data get_financials balance. Non-current securities and equity stakes excluded.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stock-data get_financials (SEC XBRL, quarterly) revenue,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stock-data get_financials (SEC XBRL, quarterly) revenue,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stock-data get_financials (SEC XBRL, quarterly) revenue,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stock-data get_financials (SEC XBRL, quarterly) revenue, quarter ended 2026-03-31.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stock-data get_financials (SEC XBRL, quarterly) revenue, quarter ended 2026-03-28.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stock-data get_financials (SEC XBRL, quarterly) revenue, quarter ended 2026-05-31.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Current portion of LT debt 9,227 / LT debt 31,067 at 2026-06-30 (10-K FY26; earnings release Ex.99.1 8-K 2026-07-29). Excludes finance/operating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DebtCurrent 1,999 / LT debt 98,165 at 2026-06-30 (stock-data balance; 10-Q filed 2026-07-23). Excludes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LongTermDebtCurrent 3,330 / LT debt 128,894 at 2026-06-30 (stock-data balance). Excludes leases and other short-term borrowings in accrued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No current debt tagged; LT debt 83,664 at 2026-06-30 (stock-data balance). Excludes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Commercial paper 1,997 + term debt current 11,007 = 13,004; term debt non-current 71,340 at 2026-06-27 (10-Q filed 2026-07-31, balance sheet R4).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Notes payable &amp; other borrowings current 7,625 / non-current 117,712 at 2026-08-31 (10-Q filed 2026-09-11, balance sheet R2).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stock-data get_financials (SEC XBRL, quarterly) revenue, quarter ended 2026-06-30. Derived by tool as FY less 9M YTD.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stock-data get_financials (SEC XBRL, quarterly) revenue,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stock-data get_financials (SEC XBRL, quarterly) revenue,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stock-data get_financials (SEC XBRL, quarterly) revenue, quarter ended 2026-06-30.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stock-data get_financials (SEC XBRL, quarterly) revenue, quarter ended 2026-06-27.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stock-data get_financials (SEC XBRL, quarterly) revenue, quarter ended 2026-08-31.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10</xdr:rowOff>
              </xdr:from>
              <xdr:to>
                <xdr:col>4</xdr:col>
                <xdr:colOff>8</xdr:colOff>
                <xdr:row>6</xdr:row>
                <xdr:rowOff>6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Current portion of LT debt 9,227 / LT debt 31,067 at 2026-06-30 (10-K FY26; earnings release Ex.99.1 8-K 2026-07-29). Excludes finance/operating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DebtCurrent 1,999 / LT debt 98,165 at 2026-06-30 (stock-data balance; 10-Q filed 2026-07-23). Excludes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LongTermDebtCurrent 3,330 / LT debt 128,894 at 2026-06-30 (stock-data balance). Excludes leases and other short-term borrowings in accrued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No current debt tagged; LT debt 83,664 at 2026-06-30 (stock-data balance). Excludes leases.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Commercial paper 1,997 + term debt current 11,007 = 13,004; term debt non-current 71,340 at 2026-06-27 (10-Q filed 2026-07-31, balance sheet R4).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Notes payable &amp; other borrowings current 7,625 / non-current 117,712 at 2026-08-31 (10-Q filed 2026-09-11, balance sheet R2).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Assumed zero: no preferred stock on balance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Assumed zero: no preferred stock on balance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Assumed zero: no preferred stock on balance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Assumed zero: no preferred stock on balance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Assumed zero: no preferred stock on balance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Series D 6.50% mandatory convertible preferred, carrying value at 2026-08-31; 10-Q filed 2026-09-11 (R2).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Assumed zero / immaterial: no NCI line captured by data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Assumed zero / immaterial: no NCI line captured by data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Assumed zero / immaterial: no NCI line captured by data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Assumed zero / immaterial: no NCI line captured by data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Assumed zero / immaterial: no NCI line captured by data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Noncontrolling interests at 2026-08-31; 10-Q filed 2026-09-11 (R2).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4</xdr:col>
                <xdr:colOff>8</xdr:colOff>
                <xdr:row>5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<sst xmlns="http://schemas.openxmlformats.org/spreadsheetml/2006/main" count="230" uniqueCount="123">
  <si>
    <t xml:space="preserve">LARGE-CAP TECHNOLOGY - COMPARABLE COMPANY ANALYSIS: MICROSOFT (MSFT)</t>
  </si>
  <si>
    <t xml:space="preserve">Target: Microsoft (MSFT)  |  Peers: Alphabet (GOOGL) • Amazon (AMZN) • Meta Platforms (META) • Apple (AAPL) • Oracle (ORCL)</t>
  </si>
  <si>
    <t xml:space="preserve">Prices as of 2026-10-14 close | LTM to each company's latest reported quarter | USD millions except per-share data and ratios | Peer statistics exclude MSFT</t>
  </si>
  <si>
    <t xml:space="preserve">OPERATING STATISTICS &amp; FINANCIAL METRICS (LTM)</t>
  </si>
  <si>
    <t xml:space="preserve">Company</t>
  </si>
  <si>
    <t xml:space="preserve">Ticker</t>
  </si>
  <si>
    <t xml:space="preserve">LTM through</t>
  </si>
  <si>
    <t xml:space="preserve">LTM revenue</t>
  </si>
  <si>
    <t xml:space="preserve">Revenue growth (YoY LTM)</t>
  </si>
  <si>
    <t xml:space="preserve">LTM EBIT</t>
  </si>
  <si>
    <t xml:space="preserve">EBIT margin</t>
  </si>
  <si>
    <t xml:space="preserve">LTM D&amp;A</t>
  </si>
  <si>
    <t xml:space="preserve">LTM EBITDA</t>
  </si>
  <si>
    <t xml:space="preserve">EBITDA margin</t>
  </si>
  <si>
    <t xml:space="preserve">LTM net income</t>
  </si>
  <si>
    <t xml:space="preserve">Net margin</t>
  </si>
  <si>
    <t xml:space="preserve">Microsoft</t>
  </si>
  <si>
    <t xml:space="preserve">MSFT</t>
  </si>
  <si>
    <t xml:space="preserve">Alphabet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</si>
  <si>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</si>
  <si>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</si>
  <si>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</si>
  <si>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</si>
  <si>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</si>
  <si>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</si>
  <si>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</si>
  <si>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Oracle</t>
  </si>
  <si>
    <t xml:space="preserve">ORCL</t>
  </si>
  <si>
    <t xml:space="preserve">Peer Maximum</t>
  </si>
  <si>
    <t xml:space="preserve">Peer 75th Percentile</t>
  </si>
  <si>
    <t xml:space="preserve">Peer Median</t>
  </si>
  <si>
    <t xml:space="preserve">Peer 25th Percentile</t>
  </si>
  <si>
    <t xml:space="preserve">Peer Minimum</t>
  </si>
  <si>
    <t xml:space="preserve">MSFT vs peer median (pp)</t>
  </si>
  <si>
    <t xml:space="preserve">VALUATION MULTIPLES</t>
  </si>
  <si>
    <t xml:space="preserve">Share price ($)</t>
  </si>
  <si>
    <t xml:space="preserve">Shares out (M)</t>
  </si>
  <si>
    <t xml:space="preserve">Market cap</t>
  </si>
  <si>
    <t xml:space="preserve">Net debt (cash) incl. pref &amp; NCI</t>
  </si>
  <si>
    <t xml:space="preserve">Enterprise value</t>
  </si>
  <si>
    <t xml:space="preserve">EV / LTM revenue</t>
  </si>
  <si>
    <t xml:space="preserve">EV / LTM EBITDA</t>
  </si>
  <si>
    <t xml:space="preserve">P/E (LTM GAAP)</t>
  </si>
  <si>
    <t xml:space="preserve">LTM effective tax rate</t>
  </si>
  <si>
    <t xml:space="preserve">P/E (LTM EBIT after tax)</t>
  </si>
  <si>
    <t xml:space="preserve">MSFT premium / (discount) to peer median</t>
  </si>
  <si>
    <t xml:space="preserve">IMPLIED MSFT VALUE PER SHARE AT PEER MULTIPLES (USD)</t>
  </si>
  <si>
    <t xml:space="preserve">Multiple</t>
  </si>
  <si>
    <t xml:space="preserve">MSFT LTM metric</t>
  </si>
  <si>
    <t xml:space="preserve">Peer 25th pct</t>
  </si>
  <si>
    <t xml:space="preserve">Peer median</t>
  </si>
  <si>
    <t xml:space="preserve">Peer 75th pct</t>
  </si>
  <si>
    <t xml:space="preserve">Implied price @25th</t>
  </si>
  <si>
    <t xml:space="preserve">Implied price @median</t>
  </si>
  <si>
    <t xml:space="preserve">Implied price @75th</t>
  </si>
  <si>
    <t xml:space="preserve">Current price</t>
  </si>
  <si>
    <t xml:space="preserve">Upside/(down) @median</t>
  </si>
  <si>
    <t xml:space="preserve">INPUTS - MARKET DATA, BALANCE SHEET AND QUARTERLY FINANCIALS (USD millions except per-share)</t>
  </si>
  <si>
    <t xml:space="preserve">Blue = hard-coded input (each has a cell comment with its source); black = formula.</t>
  </si>
  <si>
    <t xml:space="preserve">A. MARKET DATA &amp; BALANCE SHEET (latest reported balance sheet)</t>
  </si>
  <si>
    <t xml:space="preserve">Latest Q end (LTM)</t>
  </si>
  <si>
    <t xml:space="preserve">Fiscal period</t>
  </si>
  <si>
    <t xml:space="preserve">Cash &amp; equiv.</t>
  </si>
  <si>
    <t xml:space="preserve">ST investments</t>
  </si>
  <si>
    <t xml:space="preserve">Debt - current</t>
  </si>
  <si>
    <t xml:space="preserve">Debt - non-current</t>
  </si>
  <si>
    <t xml:space="preserve">Preferred stock</t>
  </si>
  <si>
    <t xml:space="preserve">Noncontrolling int.</t>
  </si>
  <si>
    <t xml:space="preserve">Total debt</t>
  </si>
  <si>
    <t xml:space="preserve">Net debt (cash)</t>
  </si>
  <si>
    <t xml:space="preserve">2026-06-30</t>
  </si>
  <si>
    <t xml:space="preserve">FY26 Q4</t>
  </si>
  <si>
    <t xml:space="preserve">Q2 CY26</t>
  </si>
  <si>
    <t xml:space="preserve">2026-06-27</t>
  </si>
  <si>
    <t xml:space="preserve">FY26 Q3</t>
  </si>
  <si>
    <t xml:space="preserve">2026-08-31</t>
  </si>
  <si>
    <t xml:space="preserve">FY27 Q1</t>
  </si>
  <si>
    <t xml:space="preserve">B. QUARTERLY REVENUE (oldest to newest; Q-7 .. Q0 where Q0 = latest reported quarter)</t>
  </si>
  <si>
    <t xml:space="preserve">Q-7</t>
  </si>
  <si>
    <t xml:space="preserve">Q-6</t>
  </si>
  <si>
    <t xml:space="preserve">Q-5</t>
  </si>
  <si>
    <t xml:space="preserve">Q-4</t>
  </si>
  <si>
    <t xml:space="preserve">Q-3</t>
  </si>
  <si>
    <t xml:space="preserve">Q-2</t>
  </si>
  <si>
    <t xml:space="preserve">Q-1</t>
  </si>
  <si>
    <t xml:space="preserve">Q0</t>
  </si>
  <si>
    <t xml:space="preserve">Prior LTM revenue</t>
  </si>
  <si>
    <t xml:space="preserve">LTM growth %</t>
  </si>
  <si>
    <t xml:space="preserve">Q0 end</t>
  </si>
  <si>
    <t xml:space="preserve">C. OPERATING INCOME (GAAP, last 4 quarters)</t>
  </si>
  <si>
    <t xml:space="preserve">LTM operating income</t>
  </si>
  <si>
    <t xml:space="preserve">D. NET INCOME ATTRIBUTABLE TO COMMON (GAAP, last 4 quarters)</t>
  </si>
  <si>
    <t xml:space="preserve">E. INCOME TAX EXPENSE (last 4 quarters)</t>
  </si>
  <si>
    <t xml:space="preserve">LTM income tax</t>
  </si>
  <si>
    <t xml:space="preserve">F. PRE-TAX INCOME (last 4 quarters; ORCL = net income + tax, pre-tax not tagged)</t>
  </si>
  <si>
    <t xml:space="preserve">LTM pre-tax income</t>
  </si>
  <si>
    <t xml:space="preserve">G. DEPRECIATION &amp; AMORTIZATION BUILD (cash flow statement)</t>
  </si>
  <si>
    <t xml:space="preserve">Comp. 1</t>
  </si>
  <si>
    <t xml:space="preserve">Comp. 2</t>
  </si>
  <si>
    <t xml:space="preserve">Comp. 3</t>
  </si>
  <si>
    <t xml:space="preserve">Comp. 4</t>
  </si>
  <si>
    <t xml:space="preserve">Build method</t>
  </si>
  <si>
    <t xml:space="preserve">FY26 (Jul-25 to Jun-26) = LTM</t>
  </si>
  <si>
    <t xml:space="preserve">FY25 + 6M26 - 6M25</t>
  </si>
  <si>
    <t xml:space="preserve">Sum of last 4 quarters</t>
  </si>
  <si>
    <t xml:space="preserve">FY26 + Q1 FY27 - Q1 FY26 (depreciation + intangible amortization)</t>
  </si>
  <si>
    <t xml:space="preserve">NOTES &amp; METHODOLOGY</t>
  </si>
  <si>
    <t xml:space="preserve">Purpose: trading comparables for an investment-committee valuation of Microsoft (MSFT). Peer set as specified: GOOGL, AMZN, META, AAPL, ORCL. Statistics (max / 75th / median / 25th / min) are computed on the five peers only; MSFT is shown as the target and benchmarked against the peer median.</t>
  </si>
  <si>
    <t xml:space="preserve">Data sources</t>
  </si>
  <si>
    <t xml:space="preserve">Share prices and quote market caps: stock-data get_quote (Yahoo Finance), 2026-10-14 session, fetched 2026-10-15T01:58Z.</t>
  </si>
  <si>
    <t xml:space="preserve">Income statement, balance sheet and cash-flow lines: stock-data get_financials (standardized SEC XBRL, quarterly). Fourth fiscal quarters are derived by the tool as full year less 9M YTD.</t>
  </si>
  <si>
    <t xml:space="preserve">Items not available in the data tool were taken from SEC EDGAR filings via WebFetch: MSFT D&amp;A (earnings release Ex.99.1, 8-K filed 2026-07-29); GOOGL depreciation (10-K filed 2026-02-05; 10-Q filed 2026-07-23); ORCL D&amp;A, debt, preferred and NCI (10-K filed 2026-06-22; 10-Q filed 2026-09-11); AAPL commercial paper (10-Q filed 2026-07-31); META shares outstanding (10-Q cover, filed 2026-07-30).</t>
  </si>
  <si>
    <t xml:space="preserve">Definitions</t>
  </si>
  <si>
    <t xml:space="preserve">LTM = sum of the four most recent reported fiscal quarters for each company. Latest quarter ends: MSFT 2026-06-30 (FY26 Q4), GOOGL/AMZN/META 2026-06-30, AAPL 2026-06-27 (FY26 Q3), ORCL 2026-08-31 (FY27 Q1). Fiscal calendars are not aligned; ORCL is two months later than the others.</t>
  </si>
  <si>
    <t xml:space="preserve">Revenue growth = LTM revenue / prior-year LTM revenue (the four quarters before) - 1.</t>
  </si>
  <si>
    <t xml:space="preserve">EBITDA = GAAP operating income + depreciation &amp; amortization from the cash flow statement. Stock-based compensation is NOT added back; no one-off adjustments. MSFT D&amp;A line is 'Depreciation, amortization, and other' and includes minor other non-cash items. GOOGL uses 'Depreciation of property and equipment' only (intangible amortization not separately disclosed in the cash flow statement).</t>
  </si>
  <si>
    <t xml:space="preserve">Market cap = share price x basic shares outstanding from the latest balance sheet / 10-Q cover (no treasury-method dilution).</t>
  </si>
  <si>
    <t xml:space="preserve">Enterprise value = market cap + total debt (current + non-current, excl. lease liabilities) + preferred stock + noncontrolling interests - cash &amp; equivalents - current short-term investments / marketable securities. Non-current marketable securities and strategic equity stakes (e.g., AAPL non-current securities of 84,118; GOOGL/AMZN/MSFT AI-lab stakes) are excluded from cash.</t>
  </si>
  <si>
    <t xml:space="preserve">P/E (LTM GAAP) = market cap / LTM GAAP net income. P/E (LTM EBIT after tax) = market cap / [LTM operating income x (1 - LTM effective tax rate)], a supplementary measure that strips non-operating gains (large equity-security mark-to-market gains at GOOGL and AMZN in 2026, and the MSFT OpenAI-related gain in the Dec-25 quarter) and the META Q3-25 one-off tax charge from the earnings base.</t>
  </si>
  <si>
    <t xml:space="preserve">Interpretation caveats</t>
  </si>
  <si>
    <t xml:space="preserve">GOOGL LTM net income (244,205) and AMZN LTM net income (135,281) are inflated by non-operating gains on equity securities (GOOGL 6M-26 'other income' of 135,699). Their GAAP P/Es (~17x / ~20x) understate the operating multiple; use the EBIT-after-tax P/E column for like-for-like comparison.</t>
  </si>
  <si>
    <t xml:space="preserve">ORCL EBITDA and multiples reflect heavy AI infrastructure build-out; ORCL's share price fell 8.8% on 2026-10-14, so its multiples moved materially on the pricing date.</t>
  </si>
  <si>
    <t xml:space="preserve">Formatting: blue font = hard-coded inputs (each with a cell comment documenting its source); black = formulas. All derived values are live formulas.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</si>
</sst>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"/>
    <numFmt numFmtId="167" formatCode="0.0%"/>
    <numFmt numFmtId="168" formatCode="\+0.0%;\-0.0%"/>
    <numFmt numFmtId="169" formatCode="#,##0.00"/>
    <numFmt numFmtId="170" formatCode="#,##0.0"/>
    <numFmt numFmtId="171" formatCode="#,##0;\(#,##0\)"/>
    <numFmt numFmtId="172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1.75" hidden="false" customHeight="true" outlineLevel="0" collapsed="false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43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customFormat="false" ht="21.75" hidden="false" customHeight="true" outlineLevel="0" collapsed="false">
      <c r="A7" s="6" t="s">
        <v>16</v>
      </c>
      <c r="B7" s="7" t="s">
        <v>17</v>
      </c>
      <c r="C7" s="8" t="str">
        <f aca="false">Inputs!C5</f>
        <v>2026-06-30</v>
      </c>
      <c r="D7" s="9" t="n">
        <f aca="false">Inputs!J14</f>
        <v>331839</v>
      </c>
      <c r="E7" s="10" t="n">
        <f aca="false">Inputs!L14</f>
        <v>0.177886867998467</v>
      </c>
      <c r="F7" s="9" t="n">
        <f aca="false">Inputs!F23</f>
        <v>155237</v>
      </c>
      <c r="G7" s="10" t="n">
        <f aca="false">F7/D7</f>
        <v>0.467808184089272</v>
      </c>
      <c r="H7" s="9" t="n">
        <f aca="false">Inputs!F59</f>
        <v>38534</v>
      </c>
      <c r="I7" s="9" t="n">
        <f aca="false">F7+H7</f>
        <v>193771</v>
      </c>
      <c r="J7" s="10" t="n">
        <f aca="false">I7/D7</f>
        <v>0.583930761604272</v>
      </c>
      <c r="K7" s="9" t="n">
        <f aca="false">Inputs!F32</f>
        <v>133749</v>
      </c>
      <c r="L7" s="10" t="n">
        <f aca="false">K7/D7</f>
        <v>0.403053890591522</v>
      </c>
    </row>
    <row r="8" customFormat="false" ht="21.75" hidden="false" customHeight="true" outlineLevel="0" collapsed="false"/>
    <row r="9" customFormat="false" ht="21.75" hidden="false" customHeight="true" outlineLevel="0" collapsed="false">
      <c r="A9" s="6" t="s">
        <v>18</v>
      </c>
      <c r="B9" s="7" t="s">
        <v>19</v>
      </c>
      <c r="C9" s="8" t="str">
        <f aca="false">Inputs!C6</f>
        <v>2026-06-30</v>
      </c>
      <c r="D9" s="9" t="n">
        <f aca="false">Inputs!J15</f>
        <v>445867</v>
      </c>
      <c r="E9" s="10" t="n">
        <f aca="false">Inputs!L15</f>
        <v>0.200506732651407</v>
      </c>
      <c r="F9" s="9" t="n">
        <f aca="false">Inputs!F24</f>
        <v>147628</v>
      </c>
      <c r="G9" s="10" t="n">
        <f aca="false">F9/D9</f>
        <v>0.331103221364219</v>
      </c>
      <c r="H9" s="9" t="n">
        <f aca="false">Inputs!F60</f>
        <v>25237</v>
      </c>
      <c r="I9" s="9" t="n">
        <f aca="false">F9+H9</f>
        <v>172865</v>
      </c>
      <c r="J9" s="10" t="n">
        <f aca="false">I9/D9</f>
        <v>0.387705302253811</v>
      </c>
      <c r="K9" s="9" t="n">
        <f aca="false">Inputs!F33</f>
        <v>244205</v>
      </c>
      <c r="L9" s="10" t="n">
        <f aca="false">K9/D9</f>
        <v>0.547708173065062</v>
      </c>
    </row>
    <row r="10" customFormat="false" ht="21.75" hidden="false" customHeight="true" outlineLevel="0" collapsed="false">
      <c r="A10" s="6" t="s">
        <v>20</v>
      </c>
      <c r="B10" s="7" t="s">
        <v>21</v>
      </c>
      <c r="C10" s="8" t="str">
        <f aca="false">Inputs!C7</f>
        <v>2026-06-30</v>
      </c>
      <c r="D10" s="9" t="n">
        <f aca="false">Inputs!J16</f>
        <v>775680</v>
      </c>
      <c r="E10" s="10" t="n">
        <f aca="false">Inputs!L16</f>
        <v>0.157665684632812</v>
      </c>
      <c r="F10" s="9" t="n">
        <f aca="false">Inputs!F25</f>
        <v>93712</v>
      </c>
      <c r="G10" s="10" t="n">
        <f aca="false">F10/D10</f>
        <v>0.120812706270627</v>
      </c>
      <c r="H10" s="9" t="n">
        <f aca="false">Inputs!F61</f>
        <v>75200</v>
      </c>
      <c r="I10" s="9" t="n">
        <f aca="false">F10+H10</f>
        <v>168912</v>
      </c>
      <c r="J10" s="10" t="n">
        <f aca="false">I10/D10</f>
        <v>0.217759900990099</v>
      </c>
      <c r="K10" s="9" t="n">
        <f aca="false">Inputs!F34</f>
        <v>135281</v>
      </c>
      <c r="L10" s="10" t="n">
        <f aca="false">K10/D10</f>
        <v>0.174403104372937</v>
      </c>
    </row>
    <row r="11" customFormat="false" ht="21.75" hidden="false" customHeight="true" outlineLevel="0" collapsed="false">
      <c r="A11" s="6" t="s">
        <v>22</v>
      </c>
      <c r="B11" s="7" t="s">
        <v>23</v>
      </c>
      <c r="C11" s="8" t="str">
        <f aca="false">Inputs!C8</f>
        <v>2026-06-30</v>
      </c>
      <c r="D11" s="9" t="n">
        <f aca="false">Inputs!J17</f>
        <v>228247</v>
      </c>
      <c r="E11" s="10" t="n">
        <f aca="false">Inputs!L17</f>
        <v>0.276520659493076</v>
      </c>
      <c r="F11" s="9" t="n">
        <f aca="false">Inputs!F26</f>
        <v>86927</v>
      </c>
      <c r="G11" s="10" t="n">
        <f aca="false">F11/D11</f>
        <v>0.380846188558886</v>
      </c>
      <c r="H11" s="9" t="n">
        <f aca="false">Inputs!F62</f>
        <v>22729</v>
      </c>
      <c r="I11" s="9" t="n">
        <f aca="false">F11+H11</f>
        <v>109656</v>
      </c>
      <c r="J11" s="10" t="n">
        <f aca="false">I11/D11</f>
        <v>0.480426905939618</v>
      </c>
      <c r="K11" s="9" t="n">
        <f aca="false">Inputs!F35</f>
        <v>68098</v>
      </c>
      <c r="L11" s="10" t="n">
        <f aca="false">K11/D11</f>
        <v>0.298352223687496</v>
      </c>
    </row>
    <row r="12" customFormat="false" ht="21.75" hidden="false" customHeight="true" outlineLevel="0" collapsed="false">
      <c r="A12" s="6" t="s">
        <v>24</v>
      </c>
      <c r="B12" s="7" t="s">
        <v>25</v>
      </c>
      <c r="C12" s="8" t="str">
        <f aca="false">Inputs!C9</f>
        <v>2026-06-27</v>
      </c>
      <c r="D12" s="9" t="n">
        <f aca="false">Inputs!J18</f>
        <v>466823</v>
      </c>
      <c r="E12" s="10" t="n">
        <f aca="false">Inputs!L18</f>
        <v>0.142423982869379</v>
      </c>
      <c r="F12" s="9" t="n">
        <f aca="false">Inputs!F27</f>
        <v>154859</v>
      </c>
      <c r="G12" s="10" t="n">
        <f aca="false">F12/D12</f>
        <v>0.331729584874781</v>
      </c>
      <c r="H12" s="9" t="n">
        <f aca="false">Inputs!F63</f>
        <v>13100</v>
      </c>
      <c r="I12" s="9" t="n">
        <f aca="false">F12+H12</f>
        <v>167959</v>
      </c>
      <c r="J12" s="10" t="n">
        <f aca="false">I12/D12</f>
        <v>0.359791612666899</v>
      </c>
      <c r="K12" s="9" t="n">
        <f aca="false">Inputs!F36</f>
        <v>128930</v>
      </c>
      <c r="L12" s="10" t="n">
        <f aca="false">K12/D12</f>
        <v>0.276186049102122</v>
      </c>
    </row>
    <row r="13" customFormat="false" ht="21.75" hidden="false" customHeight="true" outlineLevel="0" collapsed="false">
      <c r="A13" s="6" t="s">
        <v>26</v>
      </c>
      <c r="B13" s="7" t="s">
        <v>27</v>
      </c>
      <c r="C13" s="8" t="str">
        <f aca="false">Inputs!C10</f>
        <v>2026-08-31</v>
      </c>
      <c r="D13" s="9" t="n">
        <f aca="false">Inputs!J19</f>
        <v>71777</v>
      </c>
      <c r="E13" s="10" t="n">
        <f aca="false">Inputs!L19</f>
        <v>0.216188281541225</v>
      </c>
      <c r="F13" s="9" t="n">
        <f aca="false">Inputs!F28</f>
        <v>23056</v>
      </c>
      <c r="G13" s="10" t="n">
        <f aca="false">F13/D13</f>
        <v>0.321217102971704</v>
      </c>
      <c r="H13" s="9" t="n">
        <f aca="false">Inputs!F64</f>
        <v>10881</v>
      </c>
      <c r="I13" s="9" t="n">
        <f aca="false">F13+H13</f>
        <v>33937</v>
      </c>
      <c r="J13" s="10" t="n">
        <f aca="false">I13/D13</f>
        <v>0.472811624893768</v>
      </c>
      <c r="K13" s="9" t="n">
        <f aca="false">Inputs!F37</f>
        <v>18920</v>
      </c>
      <c r="L13" s="10" t="n">
        <f aca="false">K13/D13</f>
        <v>0.263594187553116</v>
      </c>
    </row>
    <row r="14" customFormat="false" ht="21.75" hidden="false" customHeight="true" outlineLevel="0" collapsed="false"/>
    <row r="15" customFormat="false" ht="21.75" hidden="false" customHeight="true" outlineLevel="0" collapsed="false">
      <c r="A15" s="11" t="s">
        <v>28</v>
      </c>
      <c r="B15" s="12"/>
      <c r="C15" s="12"/>
      <c r="D15" s="12"/>
      <c r="E15" s="13" t="n">
        <f aca="false">MAX(E9:E13)</f>
        <v>0.276520659493076</v>
      </c>
      <c r="F15" s="12"/>
      <c r="G15" s="13" t="n">
        <f aca="false">MAX(G9:G13)</f>
        <v>0.380846188558886</v>
      </c>
      <c r="H15" s="12"/>
      <c r="I15" s="12"/>
      <c r="J15" s="13" t="n">
        <f aca="false">MAX(J9:J13)</f>
        <v>0.480426905939618</v>
      </c>
      <c r="K15" s="12"/>
      <c r="L15" s="13" t="n">
        <f aca="false">MAX(L9:L13)</f>
        <v>0.547708173065062</v>
      </c>
    </row>
    <row r="16" customFormat="false" ht="21.75" hidden="false" customHeight="true" outlineLevel="0" collapsed="false">
      <c r="A16" s="11" t="s">
        <v>29</v>
      </c>
      <c r="B16" s="12"/>
      <c r="C16" s="12"/>
      <c r="D16" s="12"/>
      <c r="E16" s="13" t="n">
        <f aca="false">QUARTILE(E9:E13,3)</f>
        <v>0.216188281541225</v>
      </c>
      <c r="F16" s="12"/>
      <c r="G16" s="13" t="n">
        <f aca="false">QUARTILE(G9:G13,3)</f>
        <v>0.331729584874781</v>
      </c>
      <c r="H16" s="12"/>
      <c r="I16" s="12"/>
      <c r="J16" s="13" t="n">
        <f aca="false">QUARTILE(J9:J13,3)</f>
        <v>0.472811624893768</v>
      </c>
      <c r="K16" s="12"/>
      <c r="L16" s="13" t="n">
        <f aca="false">QUARTILE(L9:L13,3)</f>
        <v>0.298352223687496</v>
      </c>
    </row>
    <row r="17" customFormat="false" ht="21.75" hidden="false" customHeight="true" outlineLevel="0" collapsed="false">
      <c r="A17" s="11" t="s">
        <v>30</v>
      </c>
      <c r="B17" s="12"/>
      <c r="C17" s="12"/>
      <c r="D17" s="12"/>
      <c r="E17" s="13" t="n">
        <f aca="false">MEDIAN(E9:E13)</f>
        <v>0.200506732651407</v>
      </c>
      <c r="F17" s="12"/>
      <c r="G17" s="13" t="n">
        <f aca="false">MEDIAN(G9:G13)</f>
        <v>0.331103221364219</v>
      </c>
      <c r="H17" s="12"/>
      <c r="I17" s="12"/>
      <c r="J17" s="13" t="n">
        <f aca="false">MEDIAN(J9:J13)</f>
        <v>0.387705302253811</v>
      </c>
      <c r="K17" s="12"/>
      <c r="L17" s="13" t="n">
        <f aca="false">MEDIAN(L9:L13)</f>
        <v>0.276186049102122</v>
      </c>
    </row>
    <row r="18" customFormat="false" ht="21.75" hidden="false" customHeight="true" outlineLevel="0" collapsed="false">
      <c r="A18" s="11" t="s">
        <v>31</v>
      </c>
      <c r="B18" s="12"/>
      <c r="C18" s="12"/>
      <c r="D18" s="12"/>
      <c r="E18" s="13" t="n">
        <f aca="false">QUARTILE(E9:E13,1)</f>
        <v>0.157665684632812</v>
      </c>
      <c r="F18" s="12"/>
      <c r="G18" s="13" t="n">
        <f aca="false">QUARTILE(G9:G13,1)</f>
        <v>0.321217102971704</v>
      </c>
      <c r="H18" s="12"/>
      <c r="I18" s="12"/>
      <c r="J18" s="13" t="n">
        <f aca="false">QUARTILE(J9:J13,1)</f>
        <v>0.359791612666899</v>
      </c>
      <c r="K18" s="12"/>
      <c r="L18" s="13" t="n">
        <f aca="false">QUARTILE(L9:L13,1)</f>
        <v>0.263594187553116</v>
      </c>
    </row>
    <row r="19" customFormat="false" ht="21.75" hidden="false" customHeight="true" outlineLevel="0" collapsed="false">
      <c r="A19" s="11" t="s">
        <v>32</v>
      </c>
      <c r="B19" s="12"/>
      <c r="C19" s="12"/>
      <c r="D19" s="12"/>
      <c r="E19" s="13" t="n">
        <f aca="false">MIN(E9:E13)</f>
        <v>0.142423982869379</v>
      </c>
      <c r="F19" s="12"/>
      <c r="G19" s="13" t="n">
        <f aca="false">MIN(G9:G13)</f>
        <v>0.120812706270627</v>
      </c>
      <c r="H19" s="12"/>
      <c r="I19" s="12"/>
      <c r="J19" s="13" t="n">
        <f aca="false">MIN(J9:J13)</f>
        <v>0.217759900990099</v>
      </c>
      <c r="K19" s="12"/>
      <c r="L19" s="13" t="n">
        <f aca="false">MIN(L9:L13)</f>
        <v>0.174403104372937</v>
      </c>
    </row>
    <row r="20" customFormat="false" ht="21.75" hidden="false" customHeight="true" outlineLevel="0" collapsed="false">
      <c r="A20" s="6" t="s">
        <v>33</v>
      </c>
      <c r="E20" s="14" t="n">
        <f aca="false">E7-E17</f>
        <v>-0.0226198646529405</v>
      </c>
      <c r="G20" s="14" t="n">
        <f aca="false">G7-G17</f>
        <v>0.136704962725054</v>
      </c>
      <c r="J20" s="14" t="n">
        <f aca="false">J7-J17</f>
        <v>0.196225459350461</v>
      </c>
      <c r="L20" s="14" t="n">
        <f aca="false">L7-L17</f>
        <v>0.1268678414894</v>
      </c>
    </row>
    <row r="21" customFormat="false" ht="21.75" hidden="false" customHeight="true" outlineLevel="0" collapsed="false"/>
    <row r="22" customFormat="false" ht="21.75" hidden="false" customHeight="true" outlineLevel="0" collapsed="false">
      <c r="A22" s="3" t="s">
        <v>34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43.5" hidden="false" customHeight="true" outlineLevel="0" collapsed="false">
      <c r="A23" s="5" t="s">
        <v>4</v>
      </c>
      <c r="B23" s="5" t="s">
        <v>5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40</v>
      </c>
      <c r="I23" s="5" t="s">
        <v>41</v>
      </c>
      <c r="J23" s="5" t="s">
        <v>42</v>
      </c>
      <c r="K23" s="5" t="s">
        <v>43</v>
      </c>
      <c r="L23" s="5" t="s">
        <v>44</v>
      </c>
    </row>
    <row r="24" customFormat="false" ht="21.75" hidden="false" customHeight="true" outlineLevel="0" collapsed="false">
      <c r="A24" s="6" t="s">
        <v>16</v>
      </c>
      <c r="B24" s="7" t="s">
        <v>17</v>
      </c>
      <c r="C24" s="15" t="n">
        <f aca="false">Inputs!E5</f>
        <v>533.69</v>
      </c>
      <c r="D24" s="16" t="n">
        <f aca="false">Inputs!F5</f>
        <v>7427</v>
      </c>
      <c r="E24" s="9" t="n">
        <f aca="false">C24*D24</f>
        <v>3963715.63</v>
      </c>
      <c r="F24" s="17" t="n">
        <f aca="false">Inputs!N5</f>
        <v>-36549</v>
      </c>
      <c r="G24" s="9" t="n">
        <f aca="false">E24+F24</f>
        <v>3927166.63</v>
      </c>
      <c r="H24" s="18" t="n">
        <f aca="false">G24/D7</f>
        <v>11.8345541964627</v>
      </c>
      <c r="I24" s="18" t="n">
        <f aca="false">G24/I7</f>
        <v>20.2670504358237</v>
      </c>
      <c r="J24" s="18" t="n">
        <f aca="false">E24/K7</f>
        <v>29.6354786204009</v>
      </c>
      <c r="K24" s="10" t="n">
        <f aca="false">Inputs!F41/Inputs!F50</f>
        <v>0.193962659852713</v>
      </c>
      <c r="L24" s="18" t="n">
        <f aca="false">E24/(F7*(1-K24))</f>
        <v>31.6775865895219</v>
      </c>
    </row>
    <row r="25" customFormat="false" ht="21.75" hidden="false" customHeight="true" outlineLevel="0" collapsed="false"/>
    <row r="26" customFormat="false" ht="21.75" hidden="false" customHeight="true" outlineLevel="0" collapsed="false">
      <c r="A26" s="6" t="s">
        <v>18</v>
      </c>
      <c r="B26" s="7" t="s">
        <v>19</v>
      </c>
      <c r="C26" s="15" t="n">
        <f aca="false">Inputs!E6</f>
        <v>347.64</v>
      </c>
      <c r="D26" s="16" t="n">
        <f aca="false">Inputs!F6</f>
        <v>12230</v>
      </c>
      <c r="E26" s="9" t="n">
        <f aca="false">C26*D26</f>
        <v>4251637.2</v>
      </c>
      <c r="F26" s="17" t="n">
        <f aca="false">Inputs!N6</f>
        <v>-142310</v>
      </c>
      <c r="G26" s="9" t="n">
        <f aca="false">E26+F26</f>
        <v>4109327.2</v>
      </c>
      <c r="H26" s="18" t="n">
        <f aca="false">G26/D9</f>
        <v>9.21648653073675</v>
      </c>
      <c r="I26" s="18" t="n">
        <f aca="false">G26/I9</f>
        <v>23.7718867324213</v>
      </c>
      <c r="J26" s="18" t="n">
        <f aca="false">E26/K9</f>
        <v>17.4101152720051</v>
      </c>
      <c r="K26" s="10" t="n">
        <f aca="false">Inputs!F42/Inputs!F51</f>
        <v>0.183995001152809</v>
      </c>
      <c r="L26" s="18" t="n">
        <f aca="false">E26/(F9*(1-K26))</f>
        <v>35.2934930185174</v>
      </c>
    </row>
    <row r="27" customFormat="false" ht="21.75" hidden="false" customHeight="true" outlineLevel="0" collapsed="false">
      <c r="A27" s="6" t="s">
        <v>20</v>
      </c>
      <c r="B27" s="7" t="s">
        <v>21</v>
      </c>
      <c r="C27" s="15" t="n">
        <f aca="false">Inputs!E7</f>
        <v>254.08</v>
      </c>
      <c r="D27" s="16" t="n">
        <f aca="false">Inputs!F7</f>
        <v>10783</v>
      </c>
      <c r="E27" s="9" t="n">
        <f aca="false">C27*D27</f>
        <v>2739744.64</v>
      </c>
      <c r="F27" s="17" t="n">
        <f aca="false">Inputs!N7</f>
        <v>9236</v>
      </c>
      <c r="G27" s="9" t="n">
        <f aca="false">E27+F27</f>
        <v>2748980.64</v>
      </c>
      <c r="H27" s="18" t="n">
        <f aca="false">G27/D10</f>
        <v>3.54396225247525</v>
      </c>
      <c r="I27" s="18" t="n">
        <f aca="false">G27/I10</f>
        <v>16.2746319977266</v>
      </c>
      <c r="J27" s="18" t="n">
        <f aca="false">E27/K10</f>
        <v>20.2522500572882</v>
      </c>
      <c r="K27" s="10" t="n">
        <f aca="false">Inputs!F43/Inputs!F52</f>
        <v>0.225770234689342</v>
      </c>
      <c r="L27" s="18" t="n">
        <f aca="false">E27/(F10*(1-K27))</f>
        <v>37.7611329065769</v>
      </c>
    </row>
    <row r="28" customFormat="false" ht="21.75" hidden="false" customHeight="true" outlineLevel="0" collapsed="false">
      <c r="A28" s="6" t="s">
        <v>22</v>
      </c>
      <c r="B28" s="7" t="s">
        <v>23</v>
      </c>
      <c r="C28" s="15" t="n">
        <f aca="false">Inputs!E8</f>
        <v>737.54</v>
      </c>
      <c r="D28" s="16" t="n">
        <f aca="false">Inputs!F8</f>
        <v>2547.506</v>
      </c>
      <c r="E28" s="9" t="n">
        <f aca="false">C28*D28</f>
        <v>1878887.57524</v>
      </c>
      <c r="F28" s="17" t="n">
        <f aca="false">Inputs!N8</f>
        <v>-6596</v>
      </c>
      <c r="G28" s="9" t="n">
        <f aca="false">E28+F28</f>
        <v>1872291.57524</v>
      </c>
      <c r="H28" s="18" t="n">
        <f aca="false">G28/D11</f>
        <v>8.20291865934711</v>
      </c>
      <c r="I28" s="18" t="n">
        <f aca="false">G28/I11</f>
        <v>17.0742282705917</v>
      </c>
      <c r="J28" s="18" t="n">
        <f aca="false">E28/K11</f>
        <v>27.5909362277894</v>
      </c>
      <c r="K28" s="10" t="n">
        <f aca="false">Inputs!F44/Inputs!F53</f>
        <v>0.221959440159954</v>
      </c>
      <c r="L28" s="18" t="n">
        <f aca="false">E28/(F11*(1-K28))</f>
        <v>27.7807435358089</v>
      </c>
    </row>
    <row r="29" customFormat="false" ht="21.75" hidden="false" customHeight="true" outlineLevel="0" collapsed="false">
      <c r="A29" s="6" t="s">
        <v>24</v>
      </c>
      <c r="B29" s="7" t="s">
        <v>25</v>
      </c>
      <c r="C29" s="15" t="n">
        <f aca="false">Inputs!E9</f>
        <v>342.96</v>
      </c>
      <c r="D29" s="16" t="n">
        <f aca="false">Inputs!F9</f>
        <v>14608.963</v>
      </c>
      <c r="E29" s="9" t="n">
        <f aca="false">C29*D29</f>
        <v>5010289.95048</v>
      </c>
      <c r="F29" s="17" t="n">
        <f aca="false">Inputs!N9</f>
        <v>21945</v>
      </c>
      <c r="G29" s="9" t="n">
        <f aca="false">E29+F29</f>
        <v>5032234.95048</v>
      </c>
      <c r="H29" s="18" t="n">
        <f aca="false">G29/D12</f>
        <v>10.7797493921251</v>
      </c>
      <c r="I29" s="18" t="n">
        <f aca="false">G29/I12</f>
        <v>29.9610914001631</v>
      </c>
      <c r="J29" s="18" t="n">
        <f aca="false">E29/K12</f>
        <v>38.8605440974172</v>
      </c>
      <c r="K29" s="10" t="n">
        <f aca="false">Inputs!F45/Inputs!F54</f>
        <v>0.173027336985106</v>
      </c>
      <c r="L29" s="18" t="n">
        <f aca="false">E29/(F12*(1-K29))</f>
        <v>39.1232798097103</v>
      </c>
    </row>
    <row r="30" customFormat="false" ht="21.75" hidden="false" customHeight="true" outlineLevel="0" collapsed="false">
      <c r="A30" s="6" t="s">
        <v>26</v>
      </c>
      <c r="B30" s="7" t="s">
        <v>27</v>
      </c>
      <c r="C30" s="15" t="n">
        <f aca="false">Inputs!E10</f>
        <v>130.55</v>
      </c>
      <c r="D30" s="16" t="n">
        <f aca="false">Inputs!F10</f>
        <v>3024</v>
      </c>
      <c r="E30" s="9" t="n">
        <f aca="false">C30*D30</f>
        <v>394783.2</v>
      </c>
      <c r="F30" s="17" t="n">
        <f aca="false">Inputs!N10</f>
        <v>93638</v>
      </c>
      <c r="G30" s="9" t="n">
        <f aca="false">E30+F30</f>
        <v>488421.2</v>
      </c>
      <c r="H30" s="18" t="n">
        <f aca="false">G30/D13</f>
        <v>6.804703456539</v>
      </c>
      <c r="I30" s="18" t="n">
        <f aca="false">G30/I13</f>
        <v>14.3919969354981</v>
      </c>
      <c r="J30" s="18" t="n">
        <f aca="false">E30/K13</f>
        <v>20.8659196617336</v>
      </c>
      <c r="K30" s="10" t="n">
        <f aca="false">Inputs!F46/Inputs!F55</f>
        <v>0.129474555995215</v>
      </c>
      <c r="L30" s="18" t="n">
        <f aca="false">E30/(F13*(1-K30))</f>
        <v>19.6694959198525</v>
      </c>
    </row>
    <row r="31" customFormat="false" ht="21.75" hidden="false" customHeight="true" outlineLevel="0" collapsed="false"/>
    <row r="32" customFormat="false" ht="21.75" hidden="false" customHeight="true" outlineLevel="0" collapsed="false">
      <c r="A32" s="11" t="s">
        <v>28</v>
      </c>
      <c r="B32" s="12"/>
      <c r="C32" s="12"/>
      <c r="D32" s="12"/>
      <c r="E32" s="12"/>
      <c r="F32" s="12"/>
      <c r="G32" s="12"/>
      <c r="H32" s="19" t="n">
        <f aca="false">MAX(H26:H30)</f>
        <v>10.7797493921251</v>
      </c>
      <c r="I32" s="19" t="n">
        <f aca="false">MAX(I26:I30)</f>
        <v>29.9610914001631</v>
      </c>
      <c r="J32" s="19" t="n">
        <f aca="false">MAX(J26:J30)</f>
        <v>38.8605440974172</v>
      </c>
      <c r="K32" s="13" t="n">
        <f aca="false">MAX(K26:K30)</f>
        <v>0.225770234689342</v>
      </c>
      <c r="L32" s="19" t="n">
        <f aca="false">MAX(L26:L30)</f>
        <v>39.1232798097103</v>
      </c>
    </row>
    <row r="33" customFormat="false" ht="21.75" hidden="false" customHeight="true" outlineLevel="0" collapsed="false">
      <c r="A33" s="11" t="s">
        <v>29</v>
      </c>
      <c r="B33" s="12"/>
      <c r="C33" s="12"/>
      <c r="D33" s="12"/>
      <c r="E33" s="12"/>
      <c r="F33" s="12"/>
      <c r="G33" s="12"/>
      <c r="H33" s="19" t="n">
        <f aca="false">QUARTILE(H26:H30,3)</f>
        <v>9.21648653073675</v>
      </c>
      <c r="I33" s="19" t="n">
        <f aca="false">QUARTILE(I26:I30,3)</f>
        <v>23.7718867324213</v>
      </c>
      <c r="J33" s="19" t="n">
        <f aca="false">QUARTILE(J26:J30,3)</f>
        <v>27.5909362277894</v>
      </c>
      <c r="K33" s="13" t="n">
        <f aca="false">QUARTILE(K26:K30,3)</f>
        <v>0.221959440159954</v>
      </c>
      <c r="L33" s="19" t="n">
        <f aca="false">QUARTILE(L26:L30,3)</f>
        <v>37.7611329065769</v>
      </c>
    </row>
    <row r="34" customFormat="false" ht="21.75" hidden="false" customHeight="true" outlineLevel="0" collapsed="false">
      <c r="A34" s="11" t="s">
        <v>30</v>
      </c>
      <c r="B34" s="12"/>
      <c r="C34" s="12"/>
      <c r="D34" s="12"/>
      <c r="E34" s="12"/>
      <c r="F34" s="12"/>
      <c r="G34" s="12"/>
      <c r="H34" s="19" t="n">
        <f aca="false">MEDIAN(H26:H30)</f>
        <v>8.20291865934711</v>
      </c>
      <c r="I34" s="19" t="n">
        <f aca="false">MEDIAN(I26:I30)</f>
        <v>17.0742282705917</v>
      </c>
      <c r="J34" s="19" t="n">
        <f aca="false">MEDIAN(J26:J30)</f>
        <v>20.8659196617336</v>
      </c>
      <c r="K34" s="13" t="n">
        <f aca="false">MEDIAN(K26:K30)</f>
        <v>0.183995001152809</v>
      </c>
      <c r="L34" s="19" t="n">
        <f aca="false">MEDIAN(L26:L30)</f>
        <v>35.2934930185174</v>
      </c>
    </row>
    <row r="35" customFormat="false" ht="21.75" hidden="false" customHeight="true" outlineLevel="0" collapsed="false">
      <c r="A35" s="11" t="s">
        <v>31</v>
      </c>
      <c r="B35" s="12"/>
      <c r="C35" s="12"/>
      <c r="D35" s="12"/>
      <c r="E35" s="12"/>
      <c r="F35" s="12"/>
      <c r="G35" s="12"/>
      <c r="H35" s="19" t="n">
        <f aca="false">QUARTILE(H26:H30,1)</f>
        <v>6.804703456539</v>
      </c>
      <c r="I35" s="19" t="n">
        <f aca="false">QUARTILE(I26:I30,1)</f>
        <v>16.2746319977266</v>
      </c>
      <c r="J35" s="19" t="n">
        <f aca="false">QUARTILE(J26:J30,1)</f>
        <v>20.2522500572882</v>
      </c>
      <c r="K35" s="13" t="n">
        <f aca="false">QUARTILE(K26:K30,1)</f>
        <v>0.173027336985106</v>
      </c>
      <c r="L35" s="19" t="n">
        <f aca="false">QUARTILE(L26:L30,1)</f>
        <v>27.7807435358089</v>
      </c>
    </row>
    <row r="36" customFormat="false" ht="21.75" hidden="false" customHeight="true" outlineLevel="0" collapsed="false">
      <c r="A36" s="11" t="s">
        <v>32</v>
      </c>
      <c r="B36" s="12"/>
      <c r="C36" s="12"/>
      <c r="D36" s="12"/>
      <c r="E36" s="12"/>
      <c r="F36" s="12"/>
      <c r="G36" s="12"/>
      <c r="H36" s="19" t="n">
        <f aca="false">MIN(H26:H30)</f>
        <v>3.54396225247525</v>
      </c>
      <c r="I36" s="19" t="n">
        <f aca="false">MIN(I26:I30)</f>
        <v>14.3919969354981</v>
      </c>
      <c r="J36" s="19" t="n">
        <f aca="false">MIN(J26:J30)</f>
        <v>17.4101152720051</v>
      </c>
      <c r="K36" s="13" t="n">
        <f aca="false">MIN(K26:K30)</f>
        <v>0.129474555995215</v>
      </c>
      <c r="L36" s="19" t="n">
        <f aca="false">MIN(L26:L30)</f>
        <v>19.6694959198525</v>
      </c>
    </row>
    <row r="37" customFormat="false" ht="21.75" hidden="false" customHeight="true" outlineLevel="0" collapsed="false">
      <c r="A37" s="6" t="s">
        <v>45</v>
      </c>
      <c r="H37" s="14" t="n">
        <f aca="false">H24/H34-1</f>
        <v>0.442724801735957</v>
      </c>
      <c r="I37" s="14" t="n">
        <f aca="false">I24/I34-1</f>
        <v>0.186996572532143</v>
      </c>
      <c r="J37" s="14" t="n">
        <f aca="false">J24/J34-1</f>
        <v>0.420281449408144</v>
      </c>
      <c r="L37" s="14" t="n">
        <f aca="false">L24/L34-1</f>
        <v>-0.102452495339535</v>
      </c>
    </row>
    <row r="38" customFormat="false" ht="21.75" hidden="false" customHeight="true" outlineLevel="0" collapsed="false"/>
    <row r="39" customFormat="false" ht="21.75" hidden="false" customHeight="true" outlineLevel="0" collapsed="false">
      <c r="A39" s="3" t="s">
        <v>46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43.5" hidden="false" customHeight="true" outlineLevel="0" collapsed="false">
      <c r="A40" s="5" t="s">
        <v>47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52</v>
      </c>
      <c r="G40" s="5" t="s">
        <v>53</v>
      </c>
      <c r="H40" s="5" t="s">
        <v>54</v>
      </c>
      <c r="I40" s="5" t="s">
        <v>55</v>
      </c>
      <c r="J40" s="5" t="s">
        <v>56</v>
      </c>
      <c r="K40" s="5"/>
      <c r="L40" s="5"/>
    </row>
    <row r="41" customFormat="false" ht="21.75" hidden="false" customHeight="true" outlineLevel="0" collapsed="false">
      <c r="A41" s="6" t="s">
        <v>40</v>
      </c>
      <c r="B41" s="9" t="n">
        <f aca="false">D7</f>
        <v>331839</v>
      </c>
      <c r="C41" s="18" t="n">
        <f aca="false">H35</f>
        <v>6.804703456539</v>
      </c>
      <c r="D41" s="18" t="n">
        <f aca="false">H34</f>
        <v>8.20291865934711</v>
      </c>
      <c r="E41" s="18" t="n">
        <f aca="false">H33</f>
        <v>9.21648653073675</v>
      </c>
      <c r="F41" s="15" t="n">
        <f aca="false">($B41*C41-$F$24)/$D$24</f>
        <v>308.955835507533</v>
      </c>
      <c r="G41" s="15" t="n">
        <f aca="false">($B41*D41-$F$24)/$D$24</f>
        <v>371.428211256104</v>
      </c>
      <c r="H41" s="15" t="n">
        <f aca="false">($B41*E41-$F$24)/$D$24</f>
        <v>416.71451109104</v>
      </c>
      <c r="I41" s="15" t="n">
        <f aca="false">$C$24</f>
        <v>533.69</v>
      </c>
      <c r="J41" s="14" t="n">
        <f aca="false">G41/I41-1</f>
        <v>-0.304037528797421</v>
      </c>
    </row>
    <row r="42" customFormat="false" ht="21.75" hidden="false" customHeight="true" outlineLevel="0" collapsed="false">
      <c r="A42" s="6" t="s">
        <v>41</v>
      </c>
      <c r="B42" s="9" t="n">
        <f aca="false">I7</f>
        <v>193771</v>
      </c>
      <c r="C42" s="18" t="n">
        <f aca="false">I35</f>
        <v>16.2746319977266</v>
      </c>
      <c r="D42" s="18" t="n">
        <f aca="false">I34</f>
        <v>17.0742282705917</v>
      </c>
      <c r="E42" s="18" t="n">
        <f aca="false">I33</f>
        <v>23.7718867324213</v>
      </c>
      <c r="F42" s="15" t="n">
        <f aca="false">($B42*C42-$F$24)/$D$24</f>
        <v>429.527496543892</v>
      </c>
      <c r="G42" s="15" t="n">
        <f aca="false">($B42*D42-$F$24)/$D$24</f>
        <v>450.38902466956</v>
      </c>
      <c r="H42" s="15" t="n">
        <f aca="false">($B42*E42-$F$24)/$D$24</f>
        <v>625.131447963915</v>
      </c>
      <c r="I42" s="15" t="n">
        <f aca="false">$C$24</f>
        <v>533.69</v>
      </c>
      <c r="J42" s="14" t="n">
        <f aca="false">G42/I42-1</f>
        <v>-0.156084946936312</v>
      </c>
    </row>
    <row r="43" customFormat="false" ht="21.75" hidden="false" customHeight="true" outlineLevel="0" collapsed="false">
      <c r="A43" s="6" t="s">
        <v>42</v>
      </c>
      <c r="B43" s="9" t="n">
        <f aca="false">K7</f>
        <v>133749</v>
      </c>
      <c r="C43" s="18" t="n">
        <f aca="false">J35</f>
        <v>20.2522500572882</v>
      </c>
      <c r="D43" s="18" t="n">
        <f aca="false">J34</f>
        <v>20.8659196617336</v>
      </c>
      <c r="E43" s="18" t="n">
        <f aca="false">J33</f>
        <v>27.5909362277894</v>
      </c>
      <c r="F43" s="15" t="n">
        <f aca="false">$B43*C43/$D$24</f>
        <v>364.71229203073</v>
      </c>
      <c r="G43" s="15" t="n">
        <f aca="false">$B43*D43/$D$24</f>
        <v>375.763550402209</v>
      </c>
      <c r="H43" s="15" t="n">
        <f aca="false">$B43*E43/$D$24</f>
        <v>496.870893972075</v>
      </c>
      <c r="I43" s="15" t="n">
        <f aca="false">$C$24</f>
        <v>533.69</v>
      </c>
      <c r="J43" s="14" t="n">
        <f aca="false">G43/I43-1</f>
        <v>-0.295914200374357</v>
      </c>
    </row>
    <row r="44" customFormat="false" ht="21.75" hidden="false" customHeight="true" outlineLevel="0" collapsed="false">
      <c r="A44" s="6" t="s">
        <v>44</v>
      </c>
      <c r="B44" s="9" t="n">
        <f aca="false">F7*(1-K24)</f>
        <v>125126.818572444</v>
      </c>
      <c r="C44" s="18" t="n">
        <f aca="false">L35</f>
        <v>27.7807435358089</v>
      </c>
      <c r="D44" s="18" t="n">
        <f aca="false">L34</f>
        <v>35.2934930185174</v>
      </c>
      <c r="E44" s="18" t="n">
        <f aca="false">L33</f>
        <v>37.7611329065769</v>
      </c>
      <c r="F44" s="15" t="n">
        <f aca="false">$B44*C44/$D$24</f>
        <v>468.037707851457</v>
      </c>
      <c r="G44" s="15" t="n">
        <f aca="false">$B44*D44/$D$24</f>
        <v>594.609195868569</v>
      </c>
      <c r="H44" s="15" t="n">
        <f aca="false">$B44*E44/$D$24</f>
        <v>636.182903768845</v>
      </c>
      <c r="I44" s="15" t="n">
        <f aca="false">$C$24</f>
        <v>533.69</v>
      </c>
      <c r="J44" s="14" t="n">
        <f aca="false">G44/I44-1</f>
        <v>0.114147156342763</v>
      </c>
    </row>
    <row r="45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14" min="3" style="0" width="15"/>
  </cols>
  <sheetData>
    <row r="1" customFormat="false" ht="15" hidden="false" customHeight="false" outlineLevel="0" collapsed="false">
      <c r="A1" s="20" t="s">
        <v>57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A3" s="3" t="s">
        <v>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5.35" hidden="false" customHeight="false" outlineLevel="0" collapsed="false">
      <c r="A4" s="5" t="s">
        <v>5</v>
      </c>
      <c r="B4" s="5" t="s">
        <v>4</v>
      </c>
      <c r="C4" s="5" t="s">
        <v>60</v>
      </c>
      <c r="D4" s="5" t="s">
        <v>61</v>
      </c>
      <c r="E4" s="5" t="s">
        <v>35</v>
      </c>
      <c r="F4" s="5" t="s">
        <v>36</v>
      </c>
      <c r="G4" s="5" t="s">
        <v>62</v>
      </c>
      <c r="H4" s="5" t="s">
        <v>63</v>
      </c>
      <c r="I4" s="5" t="s">
        <v>64</v>
      </c>
      <c r="J4" s="5" t="s">
        <v>65</v>
      </c>
      <c r="K4" s="5" t="s">
        <v>66</v>
      </c>
      <c r="L4" s="5" t="s">
        <v>67</v>
      </c>
      <c r="M4" s="5" t="s">
        <v>68</v>
      </c>
      <c r="N4" s="5" t="s">
        <v>69</v>
      </c>
    </row>
    <row r="5" customFormat="false" ht="15" hidden="false" customHeight="false" outlineLevel="0" collapsed="false">
      <c r="A5" s="21" t="s">
        <v>17</v>
      </c>
      <c r="B5" s="21" t="s">
        <v>16</v>
      </c>
      <c r="C5" s="22" t="s">
        <v>70</v>
      </c>
      <c r="D5" s="22" t="s">
        <v>71</v>
      </c>
      <c r="E5" s="23" t="n">
        <v>533.69</v>
      </c>
      <c r="F5" s="24" t="n">
        <v>7427</v>
      </c>
      <c r="G5" s="25" t="n">
        <v>20935</v>
      </c>
      <c r="H5" s="25" t="n">
        <v>55908</v>
      </c>
      <c r="I5" s="25" t="n">
        <v>9227</v>
      </c>
      <c r="J5" s="25" t="n">
        <v>31067</v>
      </c>
      <c r="K5" s="25" t="n">
        <v>0</v>
      </c>
      <c r="L5" s="25" t="n">
        <v>0</v>
      </c>
      <c r="M5" s="9" t="n">
        <f aca="false">I5+J5</f>
        <v>40294</v>
      </c>
      <c r="N5" s="17" t="n">
        <f aca="false">M5+K5+L5-G5-H5</f>
        <v>-36549</v>
      </c>
    </row>
    <row r="6" customFormat="false" ht="15" hidden="false" customHeight="false" outlineLevel="0" collapsed="false">
      <c r="A6" s="21" t="s">
        <v>19</v>
      </c>
      <c r="B6" s="21" t="s">
        <v>18</v>
      </c>
      <c r="C6" s="22" t="s">
        <v>70</v>
      </c>
      <c r="D6" s="22" t="s">
        <v>72</v>
      </c>
      <c r="E6" s="23" t="n">
        <v>347.64</v>
      </c>
      <c r="F6" s="24" t="n">
        <v>12230</v>
      </c>
      <c r="G6" s="25" t="n">
        <v>55911</v>
      </c>
      <c r="H6" s="25" t="n">
        <v>186563</v>
      </c>
      <c r="I6" s="25" t="n">
        <v>1999</v>
      </c>
      <c r="J6" s="25" t="n">
        <v>98165</v>
      </c>
      <c r="K6" s="25" t="n">
        <v>0</v>
      </c>
      <c r="L6" s="25" t="n">
        <v>0</v>
      </c>
      <c r="M6" s="9" t="n">
        <f aca="false">I6+J6</f>
        <v>100164</v>
      </c>
      <c r="N6" s="17" t="n">
        <f aca="false">M6+K6+L6-G6-H6</f>
        <v>-142310</v>
      </c>
    </row>
    <row r="7" customFormat="false" ht="15" hidden="false" customHeight="false" outlineLevel="0" collapsed="false">
      <c r="A7" s="21" t="s">
        <v>21</v>
      </c>
      <c r="B7" s="21" t="s">
        <v>20</v>
      </c>
      <c r="C7" s="22" t="s">
        <v>70</v>
      </c>
      <c r="D7" s="22" t="s">
        <v>72</v>
      </c>
      <c r="E7" s="23" t="n">
        <v>254.08</v>
      </c>
      <c r="F7" s="24" t="n">
        <v>10783</v>
      </c>
      <c r="G7" s="25" t="n">
        <v>78213</v>
      </c>
      <c r="H7" s="25" t="n">
        <v>44775</v>
      </c>
      <c r="I7" s="25" t="n">
        <v>3330</v>
      </c>
      <c r="J7" s="25" t="n">
        <v>128894</v>
      </c>
      <c r="K7" s="25" t="n">
        <v>0</v>
      </c>
      <c r="L7" s="25" t="n">
        <v>0</v>
      </c>
      <c r="M7" s="9" t="n">
        <f aca="false">I7+J7</f>
        <v>132224</v>
      </c>
      <c r="N7" s="17" t="n">
        <f aca="false">M7+K7+L7-G7-H7</f>
        <v>9236</v>
      </c>
    </row>
    <row r="8" customFormat="false" ht="15" hidden="false" customHeight="false" outlineLevel="0" collapsed="false">
      <c r="A8" s="21" t="s">
        <v>23</v>
      </c>
      <c r="B8" s="21" t="s">
        <v>22</v>
      </c>
      <c r="C8" s="22" t="s">
        <v>70</v>
      </c>
      <c r="D8" s="22" t="s">
        <v>72</v>
      </c>
      <c r="E8" s="23" t="n">
        <v>737.54</v>
      </c>
      <c r="F8" s="24" t="n">
        <v>2547.506</v>
      </c>
      <c r="G8" s="25" t="n">
        <v>15462</v>
      </c>
      <c r="H8" s="25" t="n">
        <v>74798</v>
      </c>
      <c r="I8" s="25" t="n">
        <v>0</v>
      </c>
      <c r="J8" s="25" t="n">
        <v>83664</v>
      </c>
      <c r="K8" s="25" t="n">
        <v>0</v>
      </c>
      <c r="L8" s="25" t="n">
        <v>0</v>
      </c>
      <c r="M8" s="9" t="n">
        <f aca="false">I8+J8</f>
        <v>83664</v>
      </c>
      <c r="N8" s="17" t="n">
        <f aca="false">M8+K8+L8-G8-H8</f>
        <v>-6596</v>
      </c>
    </row>
    <row r="9" customFormat="false" ht="15" hidden="false" customHeight="false" outlineLevel="0" collapsed="false">
      <c r="A9" s="21" t="s">
        <v>25</v>
      </c>
      <c r="B9" s="21" t="s">
        <v>24</v>
      </c>
      <c r="C9" s="22" t="s">
        <v>73</v>
      </c>
      <c r="D9" s="22" t="s">
        <v>74</v>
      </c>
      <c r="E9" s="23" t="n">
        <v>342.96</v>
      </c>
      <c r="F9" s="24" t="n">
        <v>14608.963</v>
      </c>
      <c r="G9" s="25" t="n">
        <v>39544</v>
      </c>
      <c r="H9" s="25" t="n">
        <v>22855</v>
      </c>
      <c r="I9" s="25" t="n">
        <v>13004</v>
      </c>
      <c r="J9" s="25" t="n">
        <v>71340</v>
      </c>
      <c r="K9" s="25" t="n">
        <v>0</v>
      </c>
      <c r="L9" s="25" t="n">
        <v>0</v>
      </c>
      <c r="M9" s="9" t="n">
        <f aca="false">I9+J9</f>
        <v>84344</v>
      </c>
      <c r="N9" s="17" t="n">
        <f aca="false">M9+K9+L9-G9-H9</f>
        <v>21945</v>
      </c>
    </row>
    <row r="10" customFormat="false" ht="15" hidden="false" customHeight="false" outlineLevel="0" collapsed="false">
      <c r="A10" s="21" t="s">
        <v>27</v>
      </c>
      <c r="B10" s="21" t="s">
        <v>26</v>
      </c>
      <c r="C10" s="22" t="s">
        <v>75</v>
      </c>
      <c r="D10" s="22" t="s">
        <v>76</v>
      </c>
      <c r="E10" s="23" t="n">
        <v>130.55</v>
      </c>
      <c r="F10" s="24" t="n">
        <v>3024</v>
      </c>
      <c r="G10" s="25" t="n">
        <v>36369</v>
      </c>
      <c r="H10" s="25" t="n">
        <v>708</v>
      </c>
      <c r="I10" s="25" t="n">
        <v>7625</v>
      </c>
      <c r="J10" s="25" t="n">
        <v>117712</v>
      </c>
      <c r="K10" s="25" t="n">
        <v>4954</v>
      </c>
      <c r="L10" s="25" t="n">
        <v>424</v>
      </c>
      <c r="M10" s="9" t="n">
        <f aca="false">I10+J10</f>
        <v>125337</v>
      </c>
      <c r="N10" s="17" t="n">
        <f aca="false">M10+K10+L10-G10-H10</f>
        <v>93638</v>
      </c>
    </row>
    <row r="12" customFormat="false" ht="15" hidden="false" customHeight="false" outlineLevel="0" collapsed="false">
      <c r="A12" s="3" t="s">
        <v>77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25.35" hidden="false" customHeight="false" outlineLevel="0" collapsed="false">
      <c r="A13" s="5" t="s">
        <v>5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5" t="s">
        <v>83</v>
      </c>
      <c r="H13" s="5" t="s">
        <v>84</v>
      </c>
      <c r="I13" s="5" t="s">
        <v>85</v>
      </c>
      <c r="J13" s="5" t="s">
        <v>7</v>
      </c>
      <c r="K13" s="5" t="s">
        <v>86</v>
      </c>
      <c r="L13" s="5" t="s">
        <v>87</v>
      </c>
      <c r="M13" s="5" t="s">
        <v>88</v>
      </c>
      <c r="N13" s="5"/>
    </row>
    <row r="14" customFormat="false" ht="15" hidden="false" customHeight="false" outlineLevel="0" collapsed="false">
      <c r="A14" s="21" t="s">
        <v>17</v>
      </c>
      <c r="B14" s="25" t="n">
        <v>65585</v>
      </c>
      <c r="C14" s="25" t="n">
        <v>69632</v>
      </c>
      <c r="D14" s="25" t="n">
        <v>70066</v>
      </c>
      <c r="E14" s="25" t="n">
        <v>76441</v>
      </c>
      <c r="F14" s="25" t="n">
        <v>77673</v>
      </c>
      <c r="G14" s="25" t="n">
        <v>81273</v>
      </c>
      <c r="H14" s="25" t="n">
        <v>82886</v>
      </c>
      <c r="I14" s="25" t="n">
        <v>90007</v>
      </c>
      <c r="J14" s="9" t="n">
        <f aca="false">SUM(F14:I14)</f>
        <v>331839</v>
      </c>
      <c r="K14" s="9" t="n">
        <f aca="false">SUM(B14:E14)</f>
        <v>281724</v>
      </c>
      <c r="L14" s="10" t="n">
        <f aca="false">J14/K14-1</f>
        <v>0.177886867998467</v>
      </c>
      <c r="M14" s="8" t="str">
        <f aca="false">Inputs!C5</f>
        <v>2026-06-30</v>
      </c>
    </row>
    <row r="15" customFormat="false" ht="15" hidden="false" customHeight="false" outlineLevel="0" collapsed="false">
      <c r="A15" s="21" t="s">
        <v>19</v>
      </c>
      <c r="B15" s="25" t="n">
        <v>88268</v>
      </c>
      <c r="C15" s="25" t="n">
        <v>96469</v>
      </c>
      <c r="D15" s="25" t="n">
        <v>90234</v>
      </c>
      <c r="E15" s="25" t="n">
        <v>96428</v>
      </c>
      <c r="F15" s="25" t="n">
        <v>102346</v>
      </c>
      <c r="G15" s="25" t="n">
        <v>113829</v>
      </c>
      <c r="H15" s="25" t="n">
        <v>109896</v>
      </c>
      <c r="I15" s="25" t="n">
        <v>119796</v>
      </c>
      <c r="J15" s="9" t="n">
        <f aca="false">SUM(F15:I15)</f>
        <v>445867</v>
      </c>
      <c r="K15" s="9" t="n">
        <f aca="false">SUM(B15:E15)</f>
        <v>371399</v>
      </c>
      <c r="L15" s="10" t="n">
        <f aca="false">J15/K15-1</f>
        <v>0.200506732651407</v>
      </c>
      <c r="M15" s="8" t="str">
        <f aca="false">Inputs!C6</f>
        <v>2026-06-30</v>
      </c>
    </row>
    <row r="16" customFormat="false" ht="15" hidden="false" customHeight="false" outlineLevel="0" collapsed="false">
      <c r="A16" s="21" t="s">
        <v>21</v>
      </c>
      <c r="B16" s="25" t="n">
        <v>158877</v>
      </c>
      <c r="C16" s="25" t="n">
        <v>187792</v>
      </c>
      <c r="D16" s="25" t="n">
        <v>155667</v>
      </c>
      <c r="E16" s="25" t="n">
        <v>167702</v>
      </c>
      <c r="F16" s="25" t="n">
        <v>180169</v>
      </c>
      <c r="G16" s="25" t="n">
        <v>213386</v>
      </c>
      <c r="H16" s="25" t="n">
        <v>181519</v>
      </c>
      <c r="I16" s="25" t="n">
        <v>200606</v>
      </c>
      <c r="J16" s="9" t="n">
        <f aca="false">SUM(F16:I16)</f>
        <v>775680</v>
      </c>
      <c r="K16" s="9" t="n">
        <f aca="false">SUM(B16:E16)</f>
        <v>670038</v>
      </c>
      <c r="L16" s="10" t="n">
        <f aca="false">J16/K16-1</f>
        <v>0.157665684632812</v>
      </c>
      <c r="M16" s="8" t="str">
        <f aca="false">Inputs!C7</f>
        <v>2026-06-30</v>
      </c>
    </row>
    <row r="17" customFormat="false" ht="15" hidden="false" customHeight="false" outlineLevel="0" collapsed="false">
      <c r="A17" s="21" t="s">
        <v>23</v>
      </c>
      <c r="B17" s="25" t="n">
        <v>40589</v>
      </c>
      <c r="C17" s="25" t="n">
        <v>48385</v>
      </c>
      <c r="D17" s="25" t="n">
        <v>42314</v>
      </c>
      <c r="E17" s="25" t="n">
        <v>47516</v>
      </c>
      <c r="F17" s="25" t="n">
        <v>51242</v>
      </c>
      <c r="G17" s="25" t="n">
        <v>59893</v>
      </c>
      <c r="H17" s="25" t="n">
        <v>56311</v>
      </c>
      <c r="I17" s="25" t="n">
        <v>60801</v>
      </c>
      <c r="J17" s="9" t="n">
        <f aca="false">SUM(F17:I17)</f>
        <v>228247</v>
      </c>
      <c r="K17" s="9" t="n">
        <f aca="false">SUM(B17:E17)</f>
        <v>178804</v>
      </c>
      <c r="L17" s="10" t="n">
        <f aca="false">J17/K17-1</f>
        <v>0.276520659493076</v>
      </c>
      <c r="M17" s="8" t="str">
        <f aca="false">Inputs!C8</f>
        <v>2026-06-30</v>
      </c>
    </row>
    <row r="18" customFormat="false" ht="15" hidden="false" customHeight="false" outlineLevel="0" collapsed="false">
      <c r="A18" s="21" t="s">
        <v>25</v>
      </c>
      <c r="B18" s="25" t="n">
        <v>94930</v>
      </c>
      <c r="C18" s="25" t="n">
        <v>124300</v>
      </c>
      <c r="D18" s="25" t="n">
        <v>95359</v>
      </c>
      <c r="E18" s="25" t="n">
        <v>94036</v>
      </c>
      <c r="F18" s="25" t="n">
        <v>102466</v>
      </c>
      <c r="G18" s="25" t="n">
        <v>143756</v>
      </c>
      <c r="H18" s="25" t="n">
        <v>111184</v>
      </c>
      <c r="I18" s="25" t="n">
        <v>109417</v>
      </c>
      <c r="J18" s="9" t="n">
        <f aca="false">SUM(F18:I18)</f>
        <v>466823</v>
      </c>
      <c r="K18" s="9" t="n">
        <f aca="false">SUM(B18:E18)</f>
        <v>408625</v>
      </c>
      <c r="L18" s="10" t="n">
        <f aca="false">J18/K18-1</f>
        <v>0.142423982869379</v>
      </c>
      <c r="M18" s="8" t="str">
        <f aca="false">Inputs!C9</f>
        <v>2026-06-27</v>
      </c>
    </row>
    <row r="19" customFormat="false" ht="15" hidden="false" customHeight="false" outlineLevel="0" collapsed="false">
      <c r="A19" s="21" t="s">
        <v>27</v>
      </c>
      <c r="B19" s="25" t="n">
        <v>14059</v>
      </c>
      <c r="C19" s="25" t="n">
        <v>14130</v>
      </c>
      <c r="D19" s="25" t="n">
        <v>15903</v>
      </c>
      <c r="E19" s="25" t="n">
        <v>14926</v>
      </c>
      <c r="F19" s="25" t="n">
        <v>16058</v>
      </c>
      <c r="G19" s="25" t="n">
        <v>17190</v>
      </c>
      <c r="H19" s="25" t="n">
        <v>19184</v>
      </c>
      <c r="I19" s="25" t="n">
        <v>19345</v>
      </c>
      <c r="J19" s="9" t="n">
        <f aca="false">SUM(F19:I19)</f>
        <v>71777</v>
      </c>
      <c r="K19" s="9" t="n">
        <f aca="false">SUM(B19:E19)</f>
        <v>59018</v>
      </c>
      <c r="L19" s="10" t="n">
        <f aca="false">J19/K19-1</f>
        <v>0.216188281541225</v>
      </c>
      <c r="M19" s="8" t="str">
        <f aca="false">Inputs!C10</f>
        <v>2026-08-31</v>
      </c>
    </row>
    <row r="21" customFormat="false" ht="15" hidden="false" customHeight="false" outlineLevel="0" collapsed="false">
      <c r="A21" s="3" t="s">
        <v>89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25.35" hidden="false" customHeight="false" outlineLevel="0" collapsed="false">
      <c r="A22" s="5" t="s">
        <v>5</v>
      </c>
      <c r="B22" s="5" t="s">
        <v>82</v>
      </c>
      <c r="C22" s="5" t="s">
        <v>83</v>
      </c>
      <c r="D22" s="5" t="s">
        <v>84</v>
      </c>
      <c r="E22" s="5" t="s">
        <v>85</v>
      </c>
      <c r="F22" s="5" t="s">
        <v>90</v>
      </c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21" t="s">
        <v>17</v>
      </c>
      <c r="B23" s="26" t="n">
        <v>37961</v>
      </c>
      <c r="C23" s="26" t="n">
        <v>38275</v>
      </c>
      <c r="D23" s="26" t="n">
        <v>38398</v>
      </c>
      <c r="E23" s="26" t="n">
        <v>40603</v>
      </c>
      <c r="F23" s="17" t="n">
        <f aca="false">SUM(B23:E23)</f>
        <v>155237</v>
      </c>
    </row>
    <row r="24" customFormat="false" ht="15" hidden="false" customHeight="false" outlineLevel="0" collapsed="false">
      <c r="A24" s="21" t="s">
        <v>19</v>
      </c>
      <c r="B24" s="26" t="n">
        <v>31228</v>
      </c>
      <c r="C24" s="26" t="n">
        <v>35934</v>
      </c>
      <c r="D24" s="26" t="n">
        <v>39696</v>
      </c>
      <c r="E24" s="26" t="n">
        <v>40770</v>
      </c>
      <c r="F24" s="17" t="n">
        <f aca="false">SUM(B24:E24)</f>
        <v>147628</v>
      </c>
    </row>
    <row r="25" customFormat="false" ht="15" hidden="false" customHeight="false" outlineLevel="0" collapsed="false">
      <c r="A25" s="21" t="s">
        <v>21</v>
      </c>
      <c r="B25" s="26" t="n">
        <v>17422</v>
      </c>
      <c r="C25" s="26" t="n">
        <v>24977</v>
      </c>
      <c r="D25" s="26" t="n">
        <v>23852</v>
      </c>
      <c r="E25" s="26" t="n">
        <v>27461</v>
      </c>
      <c r="F25" s="17" t="n">
        <f aca="false">SUM(B25:E25)</f>
        <v>93712</v>
      </c>
    </row>
    <row r="26" customFormat="false" ht="15" hidden="false" customHeight="false" outlineLevel="0" collapsed="false">
      <c r="A26" s="21" t="s">
        <v>23</v>
      </c>
      <c r="B26" s="26" t="n">
        <v>20535</v>
      </c>
      <c r="C26" s="26" t="n">
        <v>24745</v>
      </c>
      <c r="D26" s="26" t="n">
        <v>22872</v>
      </c>
      <c r="E26" s="26" t="n">
        <v>18775</v>
      </c>
      <c r="F26" s="17" t="n">
        <f aca="false">SUM(B26:E26)</f>
        <v>86927</v>
      </c>
    </row>
    <row r="27" customFormat="false" ht="15" hidden="false" customHeight="false" outlineLevel="0" collapsed="false">
      <c r="A27" s="21" t="s">
        <v>25</v>
      </c>
      <c r="B27" s="26" t="n">
        <v>32427</v>
      </c>
      <c r="C27" s="26" t="n">
        <v>50852</v>
      </c>
      <c r="D27" s="26" t="n">
        <v>35885</v>
      </c>
      <c r="E27" s="26" t="n">
        <v>35695</v>
      </c>
      <c r="F27" s="17" t="n">
        <f aca="false">SUM(B27:E27)</f>
        <v>154859</v>
      </c>
    </row>
    <row r="28" customFormat="false" ht="15" hidden="false" customHeight="false" outlineLevel="0" collapsed="false">
      <c r="A28" s="21" t="s">
        <v>27</v>
      </c>
      <c r="B28" s="26" t="n">
        <v>4731</v>
      </c>
      <c r="C28" s="26" t="n">
        <v>5464</v>
      </c>
      <c r="D28" s="26" t="n">
        <v>6133</v>
      </c>
      <c r="E28" s="26" t="n">
        <v>6728</v>
      </c>
      <c r="F28" s="17" t="n">
        <f aca="false">SUM(B28:E28)</f>
        <v>23056</v>
      </c>
    </row>
    <row r="30" customFormat="false" ht="15" hidden="false" customHeight="false" outlineLevel="0" collapsed="false">
      <c r="A30" s="3" t="s">
        <v>91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25.35" hidden="false" customHeight="false" outlineLevel="0" collapsed="false">
      <c r="A31" s="5" t="s">
        <v>5</v>
      </c>
      <c r="B31" s="5" t="s">
        <v>82</v>
      </c>
      <c r="C31" s="5" t="s">
        <v>83</v>
      </c>
      <c r="D31" s="5" t="s">
        <v>84</v>
      </c>
      <c r="E31" s="5" t="s">
        <v>85</v>
      </c>
      <c r="F31" s="5" t="s">
        <v>14</v>
      </c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21" t="s">
        <v>17</v>
      </c>
      <c r="B32" s="26" t="n">
        <v>27747</v>
      </c>
      <c r="C32" s="26" t="n">
        <v>38458</v>
      </c>
      <c r="D32" s="26" t="n">
        <v>31778</v>
      </c>
      <c r="E32" s="26" t="n">
        <v>35766</v>
      </c>
      <c r="F32" s="17" t="n">
        <f aca="false">SUM(B32:E32)</f>
        <v>133749</v>
      </c>
    </row>
    <row r="33" customFormat="false" ht="15" hidden="false" customHeight="false" outlineLevel="0" collapsed="false">
      <c r="A33" s="21" t="s">
        <v>19</v>
      </c>
      <c r="B33" s="26" t="n">
        <v>34979</v>
      </c>
      <c r="C33" s="26" t="n">
        <v>34455</v>
      </c>
      <c r="D33" s="26" t="n">
        <v>62578</v>
      </c>
      <c r="E33" s="26" t="n">
        <v>112193</v>
      </c>
      <c r="F33" s="17" t="n">
        <f aca="false">SUM(B33:E33)</f>
        <v>244205</v>
      </c>
    </row>
    <row r="34" customFormat="false" ht="15" hidden="false" customHeight="false" outlineLevel="0" collapsed="false">
      <c r="A34" s="21" t="s">
        <v>21</v>
      </c>
      <c r="B34" s="26" t="n">
        <v>21187</v>
      </c>
      <c r="C34" s="26" t="n">
        <v>21192</v>
      </c>
      <c r="D34" s="26" t="n">
        <v>30255</v>
      </c>
      <c r="E34" s="26" t="n">
        <v>62647</v>
      </c>
      <c r="F34" s="17" t="n">
        <f aca="false">SUM(B34:E34)</f>
        <v>135281</v>
      </c>
    </row>
    <row r="35" customFormat="false" ht="15" hidden="false" customHeight="false" outlineLevel="0" collapsed="false">
      <c r="A35" s="21" t="s">
        <v>23</v>
      </c>
      <c r="B35" s="26" t="n">
        <v>2709</v>
      </c>
      <c r="C35" s="26" t="n">
        <v>22768</v>
      </c>
      <c r="D35" s="26" t="n">
        <v>26773</v>
      </c>
      <c r="E35" s="26" t="n">
        <v>15848</v>
      </c>
      <c r="F35" s="17" t="n">
        <f aca="false">SUM(B35:E35)</f>
        <v>68098</v>
      </c>
    </row>
    <row r="36" customFormat="false" ht="15" hidden="false" customHeight="false" outlineLevel="0" collapsed="false">
      <c r="A36" s="21" t="s">
        <v>25</v>
      </c>
      <c r="B36" s="26" t="n">
        <v>27466</v>
      </c>
      <c r="C36" s="26" t="n">
        <v>42097</v>
      </c>
      <c r="D36" s="26" t="n">
        <v>29578</v>
      </c>
      <c r="E36" s="26" t="n">
        <v>29789</v>
      </c>
      <c r="F36" s="17" t="n">
        <f aca="false">SUM(B36:E36)</f>
        <v>128930</v>
      </c>
    </row>
    <row r="37" customFormat="false" ht="15" hidden="false" customHeight="false" outlineLevel="0" collapsed="false">
      <c r="A37" s="21" t="s">
        <v>27</v>
      </c>
      <c r="B37" s="26" t="n">
        <v>6135</v>
      </c>
      <c r="C37" s="26" t="n">
        <v>3721</v>
      </c>
      <c r="D37" s="26" t="n">
        <v>4304</v>
      </c>
      <c r="E37" s="26" t="n">
        <v>4760</v>
      </c>
      <c r="F37" s="17" t="n">
        <f aca="false">SUM(B37:E37)</f>
        <v>18920</v>
      </c>
    </row>
    <row r="39" customFormat="false" ht="15" hidden="false" customHeight="false" outlineLevel="0" collapsed="false">
      <c r="A39" s="3" t="s">
        <v>92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25.35" hidden="false" customHeight="false" outlineLevel="0" collapsed="false">
      <c r="A40" s="5" t="s">
        <v>5</v>
      </c>
      <c r="B40" s="5" t="s">
        <v>82</v>
      </c>
      <c r="C40" s="5" t="s">
        <v>83</v>
      </c>
      <c r="D40" s="5" t="s">
        <v>84</v>
      </c>
      <c r="E40" s="5" t="s">
        <v>85</v>
      </c>
      <c r="F40" s="5" t="s">
        <v>93</v>
      </c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21" t="s">
        <v>17</v>
      </c>
      <c r="B41" s="26" t="n">
        <v>6554</v>
      </c>
      <c r="C41" s="26" t="n">
        <v>9788</v>
      </c>
      <c r="D41" s="26" t="n">
        <v>7562</v>
      </c>
      <c r="E41" s="26" t="n">
        <v>8281</v>
      </c>
      <c r="F41" s="17" t="n">
        <f aca="false">SUM(B41:E41)</f>
        <v>32185</v>
      </c>
    </row>
    <row r="42" customFormat="false" ht="15" hidden="false" customHeight="false" outlineLevel="0" collapsed="false">
      <c r="A42" s="21" t="s">
        <v>19</v>
      </c>
      <c r="B42" s="26" t="n">
        <v>9008</v>
      </c>
      <c r="C42" s="26" t="n">
        <v>4662</v>
      </c>
      <c r="D42" s="26" t="n">
        <v>14834</v>
      </c>
      <c r="E42" s="26" t="n">
        <v>26560</v>
      </c>
      <c r="F42" s="17" t="n">
        <f aca="false">SUM(B42:E42)</f>
        <v>55064</v>
      </c>
    </row>
    <row r="43" customFormat="false" ht="15" hidden="false" customHeight="false" outlineLevel="0" collapsed="false">
      <c r="A43" s="21" t="s">
        <v>21</v>
      </c>
      <c r="B43" s="26" t="n">
        <v>6910</v>
      </c>
      <c r="C43" s="26" t="n">
        <v>4946</v>
      </c>
      <c r="D43" s="26" t="n">
        <v>9560</v>
      </c>
      <c r="E43" s="26" t="n">
        <v>18199</v>
      </c>
      <c r="F43" s="17" t="n">
        <f aca="false">SUM(B43:E43)</f>
        <v>39615</v>
      </c>
    </row>
    <row r="44" customFormat="false" ht="15" hidden="false" customHeight="false" outlineLevel="0" collapsed="false">
      <c r="A44" s="21" t="s">
        <v>23</v>
      </c>
      <c r="B44" s="26" t="n">
        <v>18954</v>
      </c>
      <c r="C44" s="26" t="n">
        <v>2586</v>
      </c>
      <c r="D44" s="26" t="n">
        <v>-5021</v>
      </c>
      <c r="E44" s="26" t="n">
        <v>2908</v>
      </c>
      <c r="F44" s="17" t="n">
        <f aca="false">SUM(B44:E44)</f>
        <v>19427</v>
      </c>
    </row>
    <row r="45" customFormat="false" ht="15" hidden="false" customHeight="false" outlineLevel="0" collapsed="false">
      <c r="A45" s="21" t="s">
        <v>25</v>
      </c>
      <c r="B45" s="26" t="n">
        <v>5338</v>
      </c>
      <c r="C45" s="26" t="n">
        <v>8905</v>
      </c>
      <c r="D45" s="26" t="n">
        <v>6255</v>
      </c>
      <c r="E45" s="26" t="n">
        <v>6478</v>
      </c>
      <c r="F45" s="17" t="n">
        <f aca="false">SUM(B45:E45)</f>
        <v>26976</v>
      </c>
    </row>
    <row r="46" customFormat="false" ht="15" hidden="false" customHeight="false" outlineLevel="0" collapsed="false">
      <c r="A46" s="21" t="s">
        <v>27</v>
      </c>
      <c r="B46" s="26" t="n">
        <v>207</v>
      </c>
      <c r="C46" s="26" t="n">
        <v>695</v>
      </c>
      <c r="D46" s="26" t="n">
        <v>1065</v>
      </c>
      <c r="E46" s="26" t="n">
        <v>847</v>
      </c>
      <c r="F46" s="17" t="n">
        <f aca="false">SUM(B46:E46)</f>
        <v>2814</v>
      </c>
    </row>
    <row r="48" customFormat="false" ht="15" hidden="false" customHeight="false" outlineLevel="0" collapsed="false">
      <c r="A48" s="3" t="s">
        <v>94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25.35" hidden="false" customHeight="false" outlineLevel="0" collapsed="false">
      <c r="A49" s="5" t="s">
        <v>5</v>
      </c>
      <c r="B49" s="5" t="s">
        <v>82</v>
      </c>
      <c r="C49" s="5" t="s">
        <v>83</v>
      </c>
      <c r="D49" s="5" t="s">
        <v>84</v>
      </c>
      <c r="E49" s="5" t="s">
        <v>85</v>
      </c>
      <c r="F49" s="5" t="s">
        <v>95</v>
      </c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21" t="s">
        <v>17</v>
      </c>
      <c r="B50" s="26" t="n">
        <v>34301</v>
      </c>
      <c r="C50" s="26" t="n">
        <v>48246</v>
      </c>
      <c r="D50" s="26" t="n">
        <v>39340</v>
      </c>
      <c r="E50" s="26" t="n">
        <v>44047</v>
      </c>
      <c r="F50" s="17" t="n">
        <f aca="false">SUM(B50:E50)</f>
        <v>165934</v>
      </c>
    </row>
    <row r="51" customFormat="false" ht="15" hidden="false" customHeight="false" outlineLevel="0" collapsed="false">
      <c r="A51" s="21" t="s">
        <v>19</v>
      </c>
      <c r="B51" s="26" t="n">
        <v>43987</v>
      </c>
      <c r="C51" s="26" t="n">
        <v>39117</v>
      </c>
      <c r="D51" s="26" t="n">
        <v>77412</v>
      </c>
      <c r="E51" s="26" t="n">
        <v>138753</v>
      </c>
      <c r="F51" s="17" t="n">
        <f aca="false">SUM(B51:E51)</f>
        <v>299269</v>
      </c>
    </row>
    <row r="52" customFormat="false" ht="15" hidden="false" customHeight="false" outlineLevel="0" collapsed="false">
      <c r="A52" s="21" t="s">
        <v>21</v>
      </c>
      <c r="B52" s="26" t="n">
        <v>28170</v>
      </c>
      <c r="C52" s="26" t="n">
        <v>26605</v>
      </c>
      <c r="D52" s="26" t="n">
        <v>39834</v>
      </c>
      <c r="E52" s="26" t="n">
        <v>80857</v>
      </c>
      <c r="F52" s="17" t="n">
        <f aca="false">SUM(B52:E52)</f>
        <v>175466</v>
      </c>
    </row>
    <row r="53" customFormat="false" ht="15" hidden="false" customHeight="false" outlineLevel="0" collapsed="false">
      <c r="A53" s="21" t="s">
        <v>23</v>
      </c>
      <c r="B53" s="26" t="n">
        <v>21663</v>
      </c>
      <c r="C53" s="26" t="n">
        <v>25354</v>
      </c>
      <c r="D53" s="26" t="n">
        <v>21752</v>
      </c>
      <c r="E53" s="26" t="n">
        <v>18756</v>
      </c>
      <c r="F53" s="17" t="n">
        <f aca="false">SUM(B53:E53)</f>
        <v>87525</v>
      </c>
    </row>
    <row r="54" customFormat="false" ht="15" hidden="false" customHeight="false" outlineLevel="0" collapsed="false">
      <c r="A54" s="21" t="s">
        <v>25</v>
      </c>
      <c r="B54" s="26" t="n">
        <v>32804</v>
      </c>
      <c r="C54" s="26" t="n">
        <v>51002</v>
      </c>
      <c r="D54" s="26" t="n">
        <v>35833</v>
      </c>
      <c r="E54" s="26" t="n">
        <v>36267</v>
      </c>
      <c r="F54" s="17" t="n">
        <f aca="false">SUM(B54:E54)</f>
        <v>155906</v>
      </c>
    </row>
    <row r="55" customFormat="false" ht="15" hidden="false" customHeight="false" outlineLevel="0" collapsed="false">
      <c r="A55" s="21" t="s">
        <v>27</v>
      </c>
      <c r="B55" s="9" t="n">
        <f aca="false">B37+B46</f>
        <v>6342</v>
      </c>
      <c r="C55" s="9" t="n">
        <f aca="false">C37+C46</f>
        <v>4416</v>
      </c>
      <c r="D55" s="9" t="n">
        <f aca="false">D37+D46</f>
        <v>5369</v>
      </c>
      <c r="E55" s="9" t="n">
        <f aca="false">E37+E46</f>
        <v>5607</v>
      </c>
      <c r="F55" s="17" t="n">
        <f aca="false">SUM(B55:E55)</f>
        <v>21734</v>
      </c>
    </row>
    <row r="57" customFormat="false" ht="15" hidden="false" customHeight="false" outlineLevel="0" collapsed="false">
      <c r="A57" s="3" t="s">
        <v>96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customFormat="false" ht="15" hidden="false" customHeight="false" outlineLevel="0" collapsed="false">
      <c r="A58" s="5" t="s">
        <v>5</v>
      </c>
      <c r="B58" s="5" t="s">
        <v>97</v>
      </c>
      <c r="C58" s="5" t="s">
        <v>98</v>
      </c>
      <c r="D58" s="5" t="s">
        <v>99</v>
      </c>
      <c r="E58" s="5" t="s">
        <v>100</v>
      </c>
      <c r="F58" s="5" t="s">
        <v>11</v>
      </c>
      <c r="G58" s="5" t="s">
        <v>101</v>
      </c>
      <c r="H58" s="5"/>
      <c r="I58" s="5"/>
      <c r="J58" s="5"/>
      <c r="K58" s="5"/>
      <c r="L58" s="5"/>
      <c r="M58" s="5"/>
      <c r="N58" s="5"/>
    </row>
    <row r="59" customFormat="false" ht="15" hidden="false" customHeight="false" outlineLevel="0" collapsed="false">
      <c r="A59" s="21" t="s">
        <v>17</v>
      </c>
      <c r="B59" s="25" t="n">
        <v>38534</v>
      </c>
      <c r="F59" s="9" t="n">
        <f aca="false">B59</f>
        <v>38534</v>
      </c>
      <c r="G59" s="2" t="s">
        <v>102</v>
      </c>
    </row>
    <row r="60" customFormat="false" ht="15" hidden="false" customHeight="false" outlineLevel="0" collapsed="false">
      <c r="A60" s="21" t="s">
        <v>19</v>
      </c>
      <c r="B60" s="25" t="n">
        <v>21136</v>
      </c>
      <c r="C60" s="25" t="n">
        <v>13586</v>
      </c>
      <c r="D60" s="25" t="n">
        <v>9485</v>
      </c>
      <c r="F60" s="9" t="n">
        <f aca="false">B60+C60-D60</f>
        <v>25237</v>
      </c>
      <c r="G60" s="2" t="s">
        <v>103</v>
      </c>
    </row>
    <row r="61" customFormat="false" ht="15" hidden="false" customHeight="false" outlineLevel="0" collapsed="false">
      <c r="A61" s="21" t="s">
        <v>21</v>
      </c>
      <c r="B61" s="25" t="n">
        <v>16796</v>
      </c>
      <c r="C61" s="25" t="n">
        <v>19471</v>
      </c>
      <c r="D61" s="25" t="n">
        <v>18945</v>
      </c>
      <c r="E61" s="25" t="n">
        <v>19988</v>
      </c>
      <c r="F61" s="9" t="n">
        <f aca="false">SUM(B61:E61)</f>
        <v>75200</v>
      </c>
      <c r="G61" s="2" t="s">
        <v>104</v>
      </c>
    </row>
    <row r="62" customFormat="false" ht="15" hidden="false" customHeight="false" outlineLevel="0" collapsed="false">
      <c r="A62" s="21" t="s">
        <v>23</v>
      </c>
      <c r="B62" s="25" t="n">
        <v>4963</v>
      </c>
      <c r="C62" s="25" t="n">
        <v>5411</v>
      </c>
      <c r="D62" s="25" t="n">
        <v>5999</v>
      </c>
      <c r="E62" s="25" t="n">
        <v>6356</v>
      </c>
      <c r="F62" s="9" t="n">
        <f aca="false">SUM(B62:E62)</f>
        <v>22729</v>
      </c>
      <c r="G62" s="2" t="s">
        <v>104</v>
      </c>
    </row>
    <row r="63" customFormat="false" ht="15" hidden="false" customHeight="false" outlineLevel="0" collapsed="false">
      <c r="A63" s="21" t="s">
        <v>25</v>
      </c>
      <c r="B63" s="25" t="n">
        <v>3127</v>
      </c>
      <c r="C63" s="25" t="n">
        <v>3214</v>
      </c>
      <c r="D63" s="25" t="n">
        <v>3439</v>
      </c>
      <c r="E63" s="25" t="n">
        <v>3320</v>
      </c>
      <c r="F63" s="9" t="n">
        <f aca="false">SUM(B63:E63)</f>
        <v>13100</v>
      </c>
      <c r="G63" s="2" t="s">
        <v>104</v>
      </c>
    </row>
    <row r="64" customFormat="false" ht="15" hidden="false" customHeight="false" outlineLevel="0" collapsed="false">
      <c r="A64" s="21" t="s">
        <v>27</v>
      </c>
      <c r="B64" s="25" t="n">
        <f aca="false">7623+1671</f>
        <v>9294</v>
      </c>
      <c r="C64" s="25" t="n">
        <f aca="false">3156+202</f>
        <v>3358</v>
      </c>
      <c r="D64" s="25" t="n">
        <f aca="false">1351+420</f>
        <v>1771</v>
      </c>
      <c r="F64" s="9" t="n">
        <f aca="false">B64+C64-D64</f>
        <v>10881</v>
      </c>
      <c r="G64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27" t="s">
        <v>106</v>
      </c>
    </row>
    <row r="2" customFormat="false" ht="45" hidden="false" customHeight="true" outlineLevel="0" collapsed="false">
      <c r="A2" s="28" t="s">
        <v>107</v>
      </c>
    </row>
    <row r="3" customFormat="false" ht="15" hidden="false" customHeight="false" outlineLevel="0" collapsed="false">
      <c r="A3" s="28"/>
    </row>
    <row r="4" customFormat="false" ht="15" hidden="false" customHeight="false" outlineLevel="0" collapsed="false">
      <c r="A4" s="27" t="s">
        <v>108</v>
      </c>
    </row>
    <row r="5" customFormat="false" ht="15" hidden="false" customHeight="false" outlineLevel="0" collapsed="false">
      <c r="A5" s="28" t="s">
        <v>109</v>
      </c>
    </row>
    <row r="6" customFormat="false" ht="30" hidden="false" customHeight="true" outlineLevel="0" collapsed="false">
      <c r="A6" s="28" t="s">
        <v>110</v>
      </c>
    </row>
    <row r="7" customFormat="false" ht="45" hidden="false" customHeight="true" outlineLevel="0" collapsed="false">
      <c r="A7" s="28" t="s">
        <v>111</v>
      </c>
    </row>
    <row r="8" customFormat="false" ht="15" hidden="false" customHeight="false" outlineLevel="0" collapsed="false">
      <c r="A8" s="28"/>
    </row>
    <row r="9" customFormat="false" ht="15" hidden="false" customHeight="false" outlineLevel="0" collapsed="false">
      <c r="A9" s="27" t="s">
        <v>112</v>
      </c>
    </row>
    <row r="10" customFormat="false" ht="45" hidden="false" customHeight="true" outlineLevel="0" collapsed="false">
      <c r="A10" s="28" t="s">
        <v>113</v>
      </c>
    </row>
    <row r="11" customFormat="false" ht="15" hidden="false" customHeight="false" outlineLevel="0" collapsed="false">
      <c r="A11" s="28" t="s">
        <v>114</v>
      </c>
    </row>
    <row r="12" customFormat="false" ht="45" hidden="false" customHeight="true" outlineLevel="0" collapsed="false">
      <c r="A12" s="28" t="s">
        <v>115</v>
      </c>
    </row>
    <row r="13" customFormat="false" ht="15" hidden="false" customHeight="false" outlineLevel="0" collapsed="false">
      <c r="A13" s="28" t="s">
        <v>116</v>
      </c>
    </row>
    <row r="14" customFormat="false" ht="45" hidden="false" customHeight="true" outlineLevel="0" collapsed="false">
      <c r="A14" s="28" t="s">
        <v>117</v>
      </c>
    </row>
    <row r="15" customFormat="false" ht="45" hidden="false" customHeight="true" outlineLevel="0" collapsed="false">
      <c r="A15" s="28" t="s">
        <v>118</v>
      </c>
    </row>
    <row r="16" customFormat="false" ht="15" hidden="false" customHeight="false" outlineLevel="0" collapsed="false">
      <c r="A16" s="28"/>
    </row>
    <row r="17" customFormat="false" ht="15" hidden="false" customHeight="false" outlineLevel="0" collapsed="false">
      <c r="A17" s="27" t="s">
        <v>119</v>
      </c>
    </row>
    <row r="18" customFormat="false" ht="45" hidden="false" customHeight="true" outlineLevel="0" collapsed="false">
      <c r="A18" s="28" t="s">
        <v>120</v>
      </c>
    </row>
    <row r="19" customFormat="false" ht="30" hidden="false" customHeight="true" outlineLevel="0" collapsed="false">
      <c r="A19" s="28" t="s">
        <v>121</v>
      </c>
    </row>
    <row r="20" customFormat="false" ht="15" hidden="false" customHeight="false" outlineLevel="0" collapsed="false">
      <c r="A20" s="2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2026-10-15T02:03:29Z</dcterms:created>
  <dc:creator>openpyxl</dc:creator>
  <dc:description/>
  <dc:language>en-US</dc:language>
  <cp:lastModifiedBy/>
  <dcterms:modified xsi:type="dcterms:W3CDTF">2026-10-15T02:03:29Z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