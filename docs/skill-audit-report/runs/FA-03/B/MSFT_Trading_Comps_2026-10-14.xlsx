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#,##0;(#,##0)"/>
    <numFmt numFmtId="166" formatCode="0.0%"/>
    <numFmt numFmtId="167" formatCode="+0.0%;-0.0%"/>
    <numFmt numFmtId="168" formatCode="0.0&quot;x&quot;"/>
  </numFmts>
  <fonts count="7">
    <font>
      <name val="Calibri"/>
      <family val="2"/>
      <color theme="1"/>
      <sz val="11"/>
      <scheme val="minor"/>
    </font>
    <font>
      <name val="Times New Roman"/>
      <b val="1"/>
      <color rgb="00000000"/>
      <sz val="12"/>
    </font>
    <font>
      <name val="Times New Roman"/>
      <color rgb="00000000"/>
      <sz val="11"/>
    </font>
    <font>
      <name val="Times New Roman"/>
      <b val="1"/>
      <color rgb="00FFFFFF"/>
      <sz val="12"/>
    </font>
    <font>
      <name val="Times New Roman"/>
      <b val="1"/>
      <color rgb="00000000"/>
      <sz val="11"/>
    </font>
    <font>
      <name val="Times New Roman"/>
      <color rgb="000000FF"/>
      <sz val="11"/>
    </font>
    <font>
      <name val="Times New Roman"/>
      <b val="1"/>
      <color rgb="00000000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center" vertical="center" wrapText="1"/>
    </xf>
    <xf numFmtId="3" fontId="2" fillId="0" borderId="0" applyAlignment="1" pivotButton="0" quotePrefix="0" xfId="0">
      <alignment horizontal="center" vertical="center" wrapText="1"/>
    </xf>
    <xf numFmtId="166" fontId="2" fillId="0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 wrapText="1"/>
    </xf>
    <xf numFmtId="166" fontId="2" fillId="4" borderId="0" applyAlignment="1" pivotButton="0" quotePrefix="0" xfId="0">
      <alignment horizontal="center" vertical="center" wrapText="1"/>
    </xf>
    <xf numFmtId="167" fontId="2" fillId="0" borderId="0" applyAlignment="1" pivotButton="0" quotePrefix="0" xfId="0">
      <alignment horizontal="center" vertical="center" wrapText="1"/>
    </xf>
    <xf numFmtId="4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8" fontId="2" fillId="0" borderId="0" applyAlignment="1" pivotButton="0" quotePrefix="0" xfId="0">
      <alignment horizontal="center" vertical="center" wrapText="1"/>
    </xf>
    <xf numFmtId="168" fontId="2" fillId="4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 vertical="center" wrapText="1"/>
    </xf>
    <xf numFmtId="4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3" fontId="5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Comps build</author>
  </authors>
  <commentList>
    <comment ref="C5" authorId="0" shapeId="0">
      <text>
        <t>Latest reported quarter end. Source: 10-K filed 2026-07-29 (FY ended 2026-06-30); stock-data get_filings.</t>
      </text>
    </comment>
    <comment ref="D5" authorId="0" shapeId="0">
      <text>
        <t>Company fiscal label of latest quarter.</t>
      </text>
    </comment>
    <comment ref="E5" authorId="0" shapeId="0">
      <text>
        <t>stock-data get_quote (Yahoo Finance), last price for 2026-10-14 session, fetched 2026-10-15T01:58Z</t>
      </text>
    </comment>
    <comment ref="F5" authorId="0" shapeId="0">
      <text>
        <t>CommonStockSharesOutstanding at 2026-06-30 (stock-data balance). Basic shares outstanding; dilution not added.</t>
      </text>
    </comment>
    <comment ref="G5" authorId="0" shapeId="0">
      <text>
        <t>CashAndCashEquivalentsAtCarryingValue at 2026-06-30; stock-data get_financials balance (10-K filed 2026-07-29 (FY ended 2026-06-30)).</t>
      </text>
    </comment>
    <comment ref="H5" authorId="0" shapeId="0">
      <text>
        <t>Current short-term investments / marketable securities at 2026-06-30; stock-data get_financials balance. Non-current securities and equity stakes excluded.</t>
      </text>
    </comment>
    <comment ref="I5" authorId="0" shapeId="0">
      <text>
        <t>Current portion of LT debt 9,227 / LT debt 31,067 at 2026-06-30 (10-K FY26; earnings release Ex.99.1 8-K 2026-07-29). Excludes finance/operating leases.</t>
      </text>
    </comment>
    <comment ref="J5" authorId="0" shapeId="0">
      <text>
        <t>Current portion of LT debt 9,227 / LT debt 31,067 at 2026-06-30 (10-K FY26; earnings release Ex.99.1 8-K 2026-07-29). Excludes finance/operating leases.</t>
      </text>
    </comment>
    <comment ref="K5" authorId="0" shapeId="0">
      <text>
        <t>Assumed zero: no preferred stock on balance sheet.</t>
      </text>
    </comment>
    <comment ref="L5" authorId="0" shapeId="0">
      <text>
        <t>Assumed zero / immaterial: no NCI line captured by data source.</t>
      </text>
    </comment>
    <comment ref="C6" authorId="0" shapeId="0">
      <text>
        <t>Latest reported quarter end. Source: 10-Q filed 2026-07-23 (Q ended 2026-06-30); stock-data get_filings.</t>
      </text>
    </comment>
    <comment ref="D6" authorId="0" shapeId="0">
      <text>
        <t>Company fiscal label of latest quarter.</t>
      </text>
    </comment>
    <comment ref="E6" authorId="0" shapeId="0">
      <text>
        <t>stock-data get_quote (Yahoo Finance), last price for 2026-10-14 session, fetched 2026-10-15T01:58Z</t>
      </text>
    </comment>
    <comment ref="F6" authorId="0" shapeId="0">
      <text>
        <t>CommonStockSharesOutstanding (all classes) at 2026-06-30 (stock-data balance). Basic shares outstanding; dilution not added.</t>
      </text>
    </comment>
    <comment ref="G6" authorId="0" shapeId="0">
      <text>
        <t>CashAndCashEquivalentsAtCarryingValue at 2026-06-30; stock-data get_financials balance (10-Q filed 2026-07-23 (Q ended 2026-06-30)).</t>
      </text>
    </comment>
    <comment ref="H6" authorId="0" shapeId="0">
      <text>
        <t>Current short-term investments / marketable securities at 2026-06-30; stock-data get_financials balance. Non-current securities and equity stakes excluded.</t>
      </text>
    </comment>
    <comment ref="I6" authorId="0" shapeId="0">
      <text>
        <t>DebtCurrent 1,999 / LT debt 98,165 at 2026-06-30 (stock-data balance; 10-Q filed 2026-07-23). Excludes leases.</t>
      </text>
    </comment>
    <comment ref="J6" authorId="0" shapeId="0">
      <text>
        <t>DebtCurrent 1,999 / LT debt 98,165 at 2026-06-30 (stock-data balance; 10-Q filed 2026-07-23). Excludes leases.</t>
      </text>
    </comment>
    <comment ref="K6" authorId="0" shapeId="0">
      <text>
        <t>Assumed zero: no preferred stock on balance sheet.</t>
      </text>
    </comment>
    <comment ref="L6" authorId="0" shapeId="0">
      <text>
        <t>Assumed zero / immaterial: no NCI line captured by data source.</t>
      </text>
    </comment>
    <comment ref="C7" authorId="0" shapeId="0">
      <text>
        <t>Latest reported quarter end. Source: 10-Q filed 2026-07-31 (Q ended 2026-06-30); stock-data get_filings.</t>
      </text>
    </comment>
    <comment ref="D7" authorId="0" shapeId="0">
      <text>
        <t>Company fiscal label of latest quarter.</t>
      </text>
    </comment>
    <comment ref="E7" authorId="0" shapeId="0">
      <text>
        <t>stock-data get_quote (Yahoo Finance), last price for 2026-10-14 session, fetched 2026-10-15T01:58Z</t>
      </text>
    </comment>
    <comment ref="F7" authorId="0" shapeId="0">
      <text>
        <t>CommonStockSharesOutstanding at 2026-06-30 (stock-data balance). Basic shares outstanding; dilution not added.</t>
      </text>
    </comment>
    <comment ref="G7" authorId="0" shapeId="0">
      <text>
        <t>CashAndCashEquivalentsAtCarryingValue at 2026-06-30; stock-data get_financials balance (10-Q filed 2026-07-31 (Q ended 2026-06-30)).</t>
      </text>
    </comment>
    <comment ref="H7" authorId="0" shapeId="0">
      <text>
        <t>Current short-term investments / marketable securities at 2026-06-30; stock-data get_financials balance. Non-current securities and equity stakes excluded.</t>
      </text>
    </comment>
    <comment ref="I7" authorId="0" shapeId="0">
      <text>
        <t>LongTermDebtCurrent 3,330 / LT debt 128,894 at 2026-06-30 (stock-data balance). Excludes leases and other short-term borrowings in accrued liabilities.</t>
      </text>
    </comment>
    <comment ref="J7" authorId="0" shapeId="0">
      <text>
        <t>LongTermDebtCurrent 3,330 / LT debt 128,894 at 2026-06-30 (stock-data balance). Excludes leases and other short-term borrowings in accrued liabilities.</t>
      </text>
    </comment>
    <comment ref="K7" authorId="0" shapeId="0">
      <text>
        <t>Assumed zero: no preferred stock on balance sheet.</t>
      </text>
    </comment>
    <comment ref="L7" authorId="0" shapeId="0">
      <text>
        <t>Assumed zero / immaterial: no NCI line captured by data source.</t>
      </text>
    </comment>
    <comment ref="C8" authorId="0" shapeId="0">
      <text>
        <t>Latest reported quarter end. Source: 10-Q filed 2026-07-30 (Q ended 2026-06-30); stock-data get_filings.</t>
      </text>
    </comment>
    <comment ref="D8" authorId="0" shapeId="0">
      <text>
        <t>Company fiscal label of latest quarter.</t>
      </text>
    </comment>
    <comment ref="E8" authorId="0" shapeId="0">
      <text>
        <t>stock-data get_quote (Yahoo Finance), last price for 2026-10-14 session, fetched 2026-10-15T01:58Z</t>
      </text>
    </comment>
    <comment ref="F8" authorId="0" shapeId="0">
      <text>
        <t>10-Q cover (filed 2026-07-30): 2,205.1M Class A + 342.4M Class B as of 2026-07-24. Basic shares outstanding; dilution not added.</t>
      </text>
    </comment>
    <comment ref="G8" authorId="0" shapeId="0">
      <text>
        <t>CashAndCashEquivalentsAtCarryingValue at 2026-06-30; stock-data get_financials balance (10-Q filed 2026-07-30 (Q ended 2026-06-30)).</t>
      </text>
    </comment>
    <comment ref="H8" authorId="0" shapeId="0">
      <text>
        <t>Current short-term investments / marketable securities at 2026-06-30; stock-data get_financials balance. Non-current securities and equity stakes excluded.</t>
      </text>
    </comment>
    <comment ref="I8" authorId="0" shapeId="0">
      <text>
        <t>No current debt tagged; LT debt 83,664 at 2026-06-30 (stock-data balance). Excludes leases.</t>
      </text>
    </comment>
    <comment ref="J8" authorId="0" shapeId="0">
      <text>
        <t>No current debt tagged; LT debt 83,664 at 2026-06-30 (stock-data balance). Excludes leases.</t>
      </text>
    </comment>
    <comment ref="K8" authorId="0" shapeId="0">
      <text>
        <t>Assumed zero: no preferred stock on balance sheet.</t>
      </text>
    </comment>
    <comment ref="L8" authorId="0" shapeId="0">
      <text>
        <t>Assumed zero / immaterial: no NCI line captured by data source.</t>
      </text>
    </comment>
    <comment ref="C9" authorId="0" shapeId="0">
      <text>
        <t>Latest reported quarter end. Source: 10-Q filed 2026-07-31 (Q ended 2026-06-27); stock-data get_filings.</t>
      </text>
    </comment>
    <comment ref="D9" authorId="0" shapeId="0">
      <text>
        <t>Company fiscal label of latest quarter.</t>
      </text>
    </comment>
    <comment ref="E9" authorId="0" shapeId="0">
      <text>
        <t>stock-data get_quote (Yahoo Finance), last price for 2026-10-14 session, fetched 2026-10-15T01:58Z</t>
      </text>
    </comment>
    <comment ref="F9" authorId="0" shapeId="0">
      <text>
        <t>CommonStockSharesOutstanding at 2026-06-27 (stock-data balance). Basic shares outstanding; dilution not added.</t>
      </text>
    </comment>
    <comment ref="G9" authorId="0" shapeId="0">
      <text>
        <t>CashAndCashEquivalentsAtCarryingValue at 2026-06-27; stock-data get_financials balance (10-Q filed 2026-07-31 (Q ended 2026-06-27)).</t>
      </text>
    </comment>
    <comment ref="H9" authorId="0" shapeId="0">
      <text>
        <t>Current short-term investments / marketable securities at 2026-06-27; stock-data get_financials balance. Non-current securities and equity stakes excluded.</t>
      </text>
    </comment>
    <comment ref="I9" authorId="0" shapeId="0">
      <text>
        <t>Commercial paper 1,997 + term debt current 11,007 = 13,004; term debt non-current 71,340 at 2026-06-27 (10-Q filed 2026-07-31, balance sheet R4).</t>
      </text>
    </comment>
    <comment ref="J9" authorId="0" shapeId="0">
      <text>
        <t>Commercial paper 1,997 + term debt current 11,007 = 13,004; term debt non-current 71,340 at 2026-06-27 (10-Q filed 2026-07-31, balance sheet R4).</t>
      </text>
    </comment>
    <comment ref="K9" authorId="0" shapeId="0">
      <text>
        <t>Assumed zero: no preferred stock on balance sheet.</t>
      </text>
    </comment>
    <comment ref="L9" authorId="0" shapeId="0">
      <text>
        <t>Assumed zero / immaterial: no NCI line captured by data source.</t>
      </text>
    </comment>
    <comment ref="C10" authorId="0" shapeId="0">
      <text>
        <t>Latest reported quarter end. Source: 10-Q filed 2026-09-11 (Q ended 2026-08-31); stock-data get_filings.</t>
      </text>
    </comment>
    <comment ref="D10" authorId="0" shapeId="0">
      <text>
        <t>Company fiscal label of latest quarter.</t>
      </text>
    </comment>
    <comment ref="E10" authorId="0" shapeId="0">
      <text>
        <t>stock-data get_quote (Yahoo Finance), last price for 2026-10-14 session, fetched 2026-10-15T01:58Z</t>
      </text>
    </comment>
    <comment ref="F10" authorId="0" shapeId="0">
      <text>
        <t>CommonStockSharesOutstanding at 2026-08-31 (stock-data balance). Basic shares outstanding; dilution not added.</t>
      </text>
    </comment>
    <comment ref="G10" authorId="0" shapeId="0">
      <text>
        <t>CashAndCashEquivalentsAtCarryingValue at 2026-08-31; stock-data get_financials balance (10-Q filed 2026-09-11 (Q ended 2026-08-31)).</t>
      </text>
    </comment>
    <comment ref="H10" authorId="0" shapeId="0">
      <text>
        <t>Current short-term investments / marketable securities at 2026-08-31; stock-data get_financials balance. Non-current securities and equity stakes excluded.</t>
      </text>
    </comment>
    <comment ref="I10" authorId="0" shapeId="0">
      <text>
        <t>Notes payable &amp; other borrowings current 7,625 / non-current 117,712 at 2026-08-31 (10-Q filed 2026-09-11, balance sheet R2).</t>
      </text>
    </comment>
    <comment ref="J10" authorId="0" shapeId="0">
      <text>
        <t>Notes payable &amp; other borrowings current 7,625 / non-current 117,712 at 2026-08-31 (10-Q filed 2026-09-11, balance sheet R2).</t>
      </text>
    </comment>
    <comment ref="K10" authorId="0" shapeId="0">
      <text>
        <t>Series D 6.50% mandatory convertible preferred, carrying value at 2026-08-31; 10-Q filed 2026-09-11 (R2).</t>
      </text>
    </comment>
    <comment ref="L10" authorId="0" shapeId="0">
      <text>
        <t>Noncontrolling interests at 2026-08-31; 10-Q filed 2026-09-11 (R2).</t>
      </text>
    </comment>
    <comment ref="B14" authorId="0" shapeId="0">
      <text>
        <t>stock-data get_financials (SEC XBRL, quarterly) revenue, quarter ended 2024-09-30.</t>
      </text>
    </comment>
    <comment ref="C14" authorId="0" shapeId="0">
      <text>
        <t>stock-data get_financials (SEC XBRL, quarterly) revenue, quarter ended 2024-12-31.</t>
      </text>
    </comment>
    <comment ref="D14" authorId="0" shapeId="0">
      <text>
        <t>stock-data get_financials (SEC XBRL, quarterly) revenue, quarter ended 2025-03-31.</t>
      </text>
    </comment>
    <comment ref="E14" authorId="0" shapeId="0">
      <text>
        <t>stock-data get_financials (SEC XBRL, quarterly) revenue, quarter ended 2025-06-30. Derived by tool as FY less 9M YTD.</t>
      </text>
    </comment>
    <comment ref="F14" authorId="0" shapeId="0">
      <text>
        <t>stock-data get_financials (SEC XBRL, quarterly) revenue, quarter ended 2025-09-30.</t>
      </text>
    </comment>
    <comment ref="G14" authorId="0" shapeId="0">
      <text>
        <t>stock-data get_financials (SEC XBRL, quarterly) revenue, quarter ended 2025-12-31.</t>
      </text>
    </comment>
    <comment ref="H14" authorId="0" shapeId="0">
      <text>
        <t>stock-data get_financials (SEC XBRL, quarterly) revenue, quarter ended 2026-03-31.</t>
      </text>
    </comment>
    <comment ref="I14" authorId="0" shapeId="0">
      <text>
        <t>stock-data get_financials (SEC XBRL, quarterly) revenue, quarter ended 2026-06-30. Derived by tool as FY less 9M YTD.</t>
      </text>
    </comment>
    <comment ref="B15" authorId="0" shapeId="0">
      <text>
        <t>stock-data get_financials (SEC XBRL, quarterly) revenue, quarter ended 2024-09-30.</t>
      </text>
    </comment>
    <comment ref="C15" authorId="0" shapeId="0">
      <text>
        <t>stock-data get_financials (SEC XBRL, quarterly) revenue, quarter ended 2024-12-31. Derived by tool as FY less 9M YTD.</t>
      </text>
    </comment>
    <comment ref="D15" authorId="0" shapeId="0">
      <text>
        <t>stock-data get_financials (SEC XBRL, quarterly) revenue, quarter ended 2025-03-31.</t>
      </text>
    </comment>
    <comment ref="E15" authorId="0" shapeId="0">
      <text>
        <t>stock-data get_financials (SEC XBRL, quarterly) revenue, quarter ended 2025-06-30.</t>
      </text>
    </comment>
    <comment ref="F15" authorId="0" shapeId="0">
      <text>
        <t>stock-data get_financials (SEC XBRL, quarterly) revenue, quarter ended 2025-09-30.</t>
      </text>
    </comment>
    <comment ref="G15" authorId="0" shapeId="0">
      <text>
        <t>stock-data get_financials (SEC XBRL, quarterly) revenue, quarter ended 2025-12-31. Derived by tool as FY less 9M YTD.</t>
      </text>
    </comment>
    <comment ref="H15" authorId="0" shapeId="0">
      <text>
        <t>stock-data get_financials (SEC XBRL, quarterly) revenue, quarter ended 2026-03-31.</t>
      </text>
    </comment>
    <comment ref="I15" authorId="0" shapeId="0">
      <text>
        <t>stock-data get_financials (SEC XBRL, quarterly) revenue, quarter ended 2026-06-30.</t>
      </text>
    </comment>
    <comment ref="B16" authorId="0" shapeId="0">
      <text>
        <t>stock-data get_financials (SEC XBRL, quarterly) revenue, quarter ended 2024-09-30.</t>
      </text>
    </comment>
    <comment ref="C16" authorId="0" shapeId="0">
      <text>
        <t>stock-data get_financials (SEC XBRL, quarterly) revenue, quarter ended 2024-12-31. Derived by tool as FY less 9M YTD.</t>
      </text>
    </comment>
    <comment ref="D16" authorId="0" shapeId="0">
      <text>
        <t>stock-data get_financials (SEC XBRL, quarterly) revenue, quarter ended 2025-03-31.</t>
      </text>
    </comment>
    <comment ref="E16" authorId="0" shapeId="0">
      <text>
        <t>stock-data get_financials (SEC XBRL, quarterly) revenue, quarter ended 2025-06-30.</t>
      </text>
    </comment>
    <comment ref="F16" authorId="0" shapeId="0">
      <text>
        <t>stock-data get_financials (SEC XBRL, quarterly) revenue, quarter ended 2025-09-30.</t>
      </text>
    </comment>
    <comment ref="G16" authorId="0" shapeId="0">
      <text>
        <t>stock-data get_financials (SEC XBRL, quarterly) revenue, quarter ended 2025-12-31. Derived by tool as FY less 9M YTD.</t>
      </text>
    </comment>
    <comment ref="H16" authorId="0" shapeId="0">
      <text>
        <t>stock-data get_financials (SEC XBRL, quarterly) revenue, quarter ended 2026-03-31.</t>
      </text>
    </comment>
    <comment ref="I16" authorId="0" shapeId="0">
      <text>
        <t>stock-data get_financials (SEC XBRL, quarterly) revenue, quarter ended 2026-06-30.</t>
      </text>
    </comment>
    <comment ref="B17" authorId="0" shapeId="0">
      <text>
        <t>stock-data get_financials (SEC XBRL, quarterly) revenue, quarter ended 2024-09-30.</t>
      </text>
    </comment>
    <comment ref="C17" authorId="0" shapeId="0">
      <text>
        <t>stock-data get_financials (SEC XBRL, quarterly) revenue, quarter ended 2024-12-31. Derived by tool as FY less 9M YTD.</t>
      </text>
    </comment>
    <comment ref="D17" authorId="0" shapeId="0">
      <text>
        <t>stock-data get_financials (SEC XBRL, quarterly) revenue, quarter ended 2025-03-31.</t>
      </text>
    </comment>
    <comment ref="E17" authorId="0" shapeId="0">
      <text>
        <t>stock-data get_financials (SEC XBRL, quarterly) revenue, quarter ended 2025-06-30.</t>
      </text>
    </comment>
    <comment ref="F17" authorId="0" shapeId="0">
      <text>
        <t>stock-data get_financials (SEC XBRL, quarterly) revenue, quarter ended 2025-09-30.</t>
      </text>
    </comment>
    <comment ref="G17" authorId="0" shapeId="0">
      <text>
        <t>stock-data get_financials (SEC XBRL, quarterly) revenue, quarter ended 2025-12-31. Derived by tool as FY less 9M YTD.</t>
      </text>
    </comment>
    <comment ref="H17" authorId="0" shapeId="0">
      <text>
        <t>stock-data get_financials (SEC XBRL, quarterly) revenue, quarter ended 2026-03-31.</t>
      </text>
    </comment>
    <comment ref="I17" authorId="0" shapeId="0">
      <text>
        <t>stock-data get_financials (SEC XBRL, quarterly) revenue, quarter ended 2026-06-30.</t>
      </text>
    </comment>
    <comment ref="B18" authorId="0" shapeId="0">
      <text>
        <t>stock-data get_financials (SEC XBRL, quarterly) revenue, quarter ended 2024-09-28. Derived by tool as FY less 9M YTD.</t>
      </text>
    </comment>
    <comment ref="C18" authorId="0" shapeId="0">
      <text>
        <t>stock-data get_financials (SEC XBRL, quarterly) revenue, quarter ended 2024-12-28.</t>
      </text>
    </comment>
    <comment ref="D18" authorId="0" shapeId="0">
      <text>
        <t>stock-data get_financials (SEC XBRL, quarterly) revenue, quarter ended 2025-03-29.</t>
      </text>
    </comment>
    <comment ref="E18" authorId="0" shapeId="0">
      <text>
        <t>stock-data get_financials (SEC XBRL, quarterly) revenue, quarter ended 2025-06-28.</t>
      </text>
    </comment>
    <comment ref="F18" authorId="0" shapeId="0">
      <text>
        <t>stock-data get_financials (SEC XBRL, quarterly) revenue, quarter ended 2025-09-27. Derived by tool as FY less 9M YTD.</t>
      </text>
    </comment>
    <comment ref="G18" authorId="0" shapeId="0">
      <text>
        <t>stock-data get_financials (SEC XBRL, quarterly) revenue, quarter ended 2025-12-27.</t>
      </text>
    </comment>
    <comment ref="H18" authorId="0" shapeId="0">
      <text>
        <t>stock-data get_financials (SEC XBRL, quarterly) revenue, quarter ended 2026-03-28.</t>
      </text>
    </comment>
    <comment ref="I18" authorId="0" shapeId="0">
      <text>
        <t>stock-data get_financials (SEC XBRL, quarterly) revenue, quarter ended 2026-06-27.</t>
      </text>
    </comment>
    <comment ref="B19" authorId="0" shapeId="0">
      <text>
        <t>stock-data get_financials (SEC XBRL, quarterly) revenue, quarter ended 2024-11-30.</t>
      </text>
    </comment>
    <comment ref="C19" authorId="0" shapeId="0">
      <text>
        <t>stock-data get_financials (SEC XBRL, quarterly) revenue, quarter ended 2025-02-28.</t>
      </text>
    </comment>
    <comment ref="D19" authorId="0" shapeId="0">
      <text>
        <t>stock-data get_financials (SEC XBRL, quarterly) revenue, quarter ended 2025-05-31. Derived by tool as FY less 9M YTD.</t>
      </text>
    </comment>
    <comment ref="E19" authorId="0" shapeId="0">
      <text>
        <t>stock-data get_financials (SEC XBRL, quarterly) revenue, quarter ended 2025-08-31.</t>
      </text>
    </comment>
    <comment ref="F19" authorId="0" shapeId="0">
      <text>
        <t>stock-data get_financials (SEC XBRL, quarterly) revenue, quarter ended 2025-11-30.</t>
      </text>
    </comment>
    <comment ref="G19" authorId="0" shapeId="0">
      <text>
        <t>stock-data get_financials (SEC XBRL, quarterly) revenue, quarter ended 2026-02-28.</t>
      </text>
    </comment>
    <comment ref="H19" authorId="0" shapeId="0">
      <text>
        <t>stock-data get_financials (SEC XBRL, quarterly) revenue, quarter ended 2026-05-31. Derived by tool as FY less 9M YTD.</t>
      </text>
    </comment>
    <comment ref="I19" authorId="0" shapeId="0">
      <text>
        <t>stock-data get_financials (SEC XBRL, quarterly) revenue, quarter ended 2026-08-31.</t>
      </text>
    </comment>
    <comment ref="B23" authorId="0" shapeId="0">
      <text>
        <t>stock-data get_financials (SEC XBRL, quarterly) operating income, quarter ended 2025-09-30.</t>
      </text>
    </comment>
    <comment ref="C23" authorId="0" shapeId="0">
      <text>
        <t>stock-data get_financials (SEC XBRL, quarterly) operating income, quarter ended 2025-12-31.</t>
      </text>
    </comment>
    <comment ref="D23" authorId="0" shapeId="0">
      <text>
        <t>stock-data get_financials (SEC XBRL, quarterly) operating income, quarter ended 2026-03-31.</t>
      </text>
    </comment>
    <comment ref="E23" authorId="0" shapeId="0">
      <text>
        <t>stock-data get_financials (SEC XBRL, quarterly) operating income, quarter ended 2026-06-30. Derived by tool as FY less 9M YTD.</t>
      </text>
    </comment>
    <comment ref="B24" authorId="0" shapeId="0">
      <text>
        <t>stock-data get_financials (SEC XBRL, quarterly) operating income, quarter ended 2025-09-30.</t>
      </text>
    </comment>
    <comment ref="C24" authorId="0" shapeId="0">
      <text>
        <t>stock-data get_financials (SEC XBRL, quarterly) operating income, quarter ended 2025-12-31. Derived by tool as FY less 9M YTD.</t>
      </text>
    </comment>
    <comment ref="D24" authorId="0" shapeId="0">
      <text>
        <t>stock-data get_financials (SEC XBRL, quarterly) operating income, quarter ended 2026-03-31.</t>
      </text>
    </comment>
    <comment ref="E24" authorId="0" shapeId="0">
      <text>
        <t>stock-data get_financials (SEC XBRL, quarterly) operating income, quarter ended 2026-06-30.</t>
      </text>
    </comment>
    <comment ref="B25" authorId="0" shapeId="0">
      <text>
        <t>stock-data get_financials (SEC XBRL, quarterly) operating income, quarter ended 2025-09-30.</t>
      </text>
    </comment>
    <comment ref="C25" authorId="0" shapeId="0">
      <text>
        <t>stock-data get_financials (SEC XBRL, quarterly) operating income, quarter ended 2025-12-31. Derived by tool as FY less 9M YTD.</t>
      </text>
    </comment>
    <comment ref="D25" authorId="0" shapeId="0">
      <text>
        <t>stock-data get_financials (SEC XBRL, quarterly) operating income, quarter ended 2026-03-31.</t>
      </text>
    </comment>
    <comment ref="E25" authorId="0" shapeId="0">
      <text>
        <t>stock-data get_financials (SEC XBRL, quarterly) operating income, quarter ended 2026-06-30.</t>
      </text>
    </comment>
    <comment ref="B26" authorId="0" shapeId="0">
      <text>
        <t>stock-data get_financials (SEC XBRL, quarterly) operating income, quarter ended 2025-09-30.</t>
      </text>
    </comment>
    <comment ref="C26" authorId="0" shapeId="0">
      <text>
        <t>stock-data get_financials (SEC XBRL, quarterly) operating income, quarter ended 2025-12-31. Derived by tool as FY less 9M YTD.</t>
      </text>
    </comment>
    <comment ref="D26" authorId="0" shapeId="0">
      <text>
        <t>stock-data get_financials (SEC XBRL, quarterly) operating income, quarter ended 2026-03-31.</t>
      </text>
    </comment>
    <comment ref="E26" authorId="0" shapeId="0">
      <text>
        <t>stock-data get_financials (SEC XBRL, quarterly) operating income, quarter ended 2026-06-30.</t>
      </text>
    </comment>
    <comment ref="B27" authorId="0" shapeId="0">
      <text>
        <t>stock-data get_financials (SEC XBRL, quarterly) operating income, quarter ended 2025-09-27. Derived by tool as FY less 9M YTD.</t>
      </text>
    </comment>
    <comment ref="C27" authorId="0" shapeId="0">
      <text>
        <t>stock-data get_financials (SEC XBRL, quarterly) operating income, quarter ended 2025-12-27.</t>
      </text>
    </comment>
    <comment ref="D27" authorId="0" shapeId="0">
      <text>
        <t>stock-data get_financials (SEC XBRL, quarterly) operating income, quarter ended 2026-03-28.</t>
      </text>
    </comment>
    <comment ref="E27" authorId="0" shapeId="0">
      <text>
        <t>stock-data get_financials (SEC XBRL, quarterly) operating income, quarter ended 2026-06-27.</t>
      </text>
    </comment>
    <comment ref="B28" authorId="0" shapeId="0">
      <text>
        <t>stock-data get_financials (SEC XBRL, quarterly) operating income, quarter ended 2025-11-30.</t>
      </text>
    </comment>
    <comment ref="C28" authorId="0" shapeId="0">
      <text>
        <t>stock-data get_financials (SEC XBRL, quarterly) operating income, quarter ended 2026-02-28.</t>
      </text>
    </comment>
    <comment ref="D28" authorId="0" shapeId="0">
      <text>
        <t>stock-data get_financials (SEC XBRL, quarterly) operating income, quarter ended 2026-05-31. Derived by tool as FY less 9M YTD.</t>
      </text>
    </comment>
    <comment ref="E28" authorId="0" shapeId="0">
      <text>
        <t>stock-data get_financials (SEC XBRL, quarterly) operating income, quarter ended 2026-08-31.</t>
      </text>
    </comment>
    <comment ref="B32" authorId="0" shapeId="0">
      <text>
        <t>stock-data get_financials (SEC XBRL, quarterly) net income, quarter ended 2025-09-30.</t>
      </text>
    </comment>
    <comment ref="C32" authorId="0" shapeId="0">
      <text>
        <t>stock-data get_financials (SEC XBRL, quarterly) net income, quarter ended 2025-12-31.</t>
      </text>
    </comment>
    <comment ref="D32" authorId="0" shapeId="0">
      <text>
        <t>stock-data get_financials (SEC XBRL, quarterly) net income, quarter ended 2026-03-31.</t>
      </text>
    </comment>
    <comment ref="E32" authorId="0" shapeId="0">
      <text>
        <t>stock-data get_financials (SEC XBRL, quarterly) net income, quarter ended 2026-06-30. Derived by tool as FY less 9M YTD.</t>
      </text>
    </comment>
    <comment ref="B33" authorId="0" shapeId="0">
      <text>
        <t>stock-data get_financials (SEC XBRL, quarterly) net income, quarter ended 2025-09-30.</t>
      </text>
    </comment>
    <comment ref="C33" authorId="0" shapeId="0">
      <text>
        <t>stock-data get_financials (SEC XBRL, quarterly) net income, quarter ended 2025-12-31. Derived by tool as FY less 9M YTD.</t>
      </text>
    </comment>
    <comment ref="D33" authorId="0" shapeId="0">
      <text>
        <t>stock-data get_financials (SEC XBRL, quarterly) net income, quarter ended 2026-03-31.</t>
      </text>
    </comment>
    <comment ref="E33" authorId="0" shapeId="0">
      <text>
        <t>stock-data get_financials (SEC XBRL, quarterly) net income, quarter ended 2026-06-30.</t>
      </text>
    </comment>
    <comment ref="B34" authorId="0" shapeId="0">
      <text>
        <t>stock-data get_financials (SEC XBRL, quarterly) net income, quarter ended 2025-09-30.</t>
      </text>
    </comment>
    <comment ref="C34" authorId="0" shapeId="0">
      <text>
        <t>stock-data get_financials (SEC XBRL, quarterly) net income, quarter ended 2025-12-31. Derived by tool as FY less 9M YTD.</t>
      </text>
    </comment>
    <comment ref="D34" authorId="0" shapeId="0">
      <text>
        <t>stock-data get_financials (SEC XBRL, quarterly) net income, quarter ended 2026-03-31.</t>
      </text>
    </comment>
    <comment ref="E34" authorId="0" shapeId="0">
      <text>
        <t>stock-data get_financials (SEC XBRL, quarterly) net income, quarter ended 2026-06-30.</t>
      </text>
    </comment>
    <comment ref="B35" authorId="0" shapeId="0">
      <text>
        <t>stock-data get_financials (SEC XBRL, quarterly) net income, quarter ended 2025-09-30.</t>
      </text>
    </comment>
    <comment ref="C35" authorId="0" shapeId="0">
      <text>
        <t>stock-data get_financials (SEC XBRL, quarterly) net income, quarter ended 2025-12-31. Derived by tool as FY less 9M YTD.</t>
      </text>
    </comment>
    <comment ref="D35" authorId="0" shapeId="0">
      <text>
        <t>stock-data get_financials (SEC XBRL, quarterly) net income, quarter ended 2026-03-31.</t>
      </text>
    </comment>
    <comment ref="E35" authorId="0" shapeId="0">
      <text>
        <t>stock-data get_financials (SEC XBRL, quarterly) net income, quarter ended 2026-06-30.</t>
      </text>
    </comment>
    <comment ref="B36" authorId="0" shapeId="0">
      <text>
        <t>stock-data get_financials (SEC XBRL, quarterly) net income, quarter ended 2025-09-27. Derived by tool as FY less 9M YTD.</t>
      </text>
    </comment>
    <comment ref="C36" authorId="0" shapeId="0">
      <text>
        <t>stock-data get_financials (SEC XBRL, quarterly) net income, quarter ended 2025-12-27.</t>
      </text>
    </comment>
    <comment ref="D36" authorId="0" shapeId="0">
      <text>
        <t>stock-data get_financials (SEC XBRL, quarterly) net income, quarter ended 2026-03-28.</t>
      </text>
    </comment>
    <comment ref="E36" authorId="0" shapeId="0">
      <text>
        <t>stock-data get_financials (SEC XBRL, quarterly) net income, quarter ended 2026-06-27.</t>
      </text>
    </comment>
    <comment ref="B37" authorId="0" shapeId="0">
      <text>
        <t>stock-data get_financials (SEC XBRL, quarterly) net income, quarter ended 2025-11-30.</t>
      </text>
    </comment>
    <comment ref="C37" authorId="0" shapeId="0">
      <text>
        <t>stock-data get_financials (SEC XBRL, quarterly) net income, quarter ended 2026-02-28.</t>
      </text>
    </comment>
    <comment ref="D37" authorId="0" shapeId="0">
      <text>
        <t>stock-data get_financials (SEC XBRL, quarterly) net income, quarter ended 2026-05-31. Derived by tool as FY less 9M YTD.</t>
      </text>
    </comment>
    <comment ref="E37" authorId="0" shapeId="0">
      <text>
        <t>stock-data get_financials (SEC XBRL, quarterly) net income, quarter ended 2026-08-31.</t>
      </text>
    </comment>
    <comment ref="B41" authorId="0" shapeId="0">
      <text>
        <t>stock-data get_financials (SEC XBRL, quarterly) income tax, quarter ended 2025-09-30.</t>
      </text>
    </comment>
    <comment ref="C41" authorId="0" shapeId="0">
      <text>
        <t>stock-data get_financials (SEC XBRL, quarterly) income tax, quarter ended 2025-12-31.</t>
      </text>
    </comment>
    <comment ref="D41" authorId="0" shapeId="0">
      <text>
        <t>stock-data get_financials (SEC XBRL, quarterly) income tax, quarter ended 2026-03-31.</t>
      </text>
    </comment>
    <comment ref="E41" authorId="0" shapeId="0">
      <text>
        <t>stock-data get_financials (SEC XBRL, quarterly) income tax, quarter ended 2026-06-30. Derived by tool as FY less 9M YTD.</t>
      </text>
    </comment>
    <comment ref="B42" authorId="0" shapeId="0">
      <text>
        <t>stock-data get_financials (SEC XBRL, quarterly) income tax, quarter ended 2025-09-30.</t>
      </text>
    </comment>
    <comment ref="C42" authorId="0" shapeId="0">
      <text>
        <t>stock-data get_financials (SEC XBRL, quarterly) income tax, quarter ended 2025-12-31. Derived by tool as FY less 9M YTD.</t>
      </text>
    </comment>
    <comment ref="D42" authorId="0" shapeId="0">
      <text>
        <t>stock-data get_financials (SEC XBRL, quarterly) income tax, quarter ended 2026-03-31.</t>
      </text>
    </comment>
    <comment ref="E42" authorId="0" shapeId="0">
      <text>
        <t>stock-data get_financials (SEC XBRL, quarterly) income tax, quarter ended 2026-06-30.</t>
      </text>
    </comment>
    <comment ref="B43" authorId="0" shapeId="0">
      <text>
        <t>stock-data get_financials (SEC XBRL, quarterly) income tax, quarter ended 2025-09-30.</t>
      </text>
    </comment>
    <comment ref="C43" authorId="0" shapeId="0">
      <text>
        <t>stock-data get_financials (SEC XBRL, quarterly) income tax, quarter ended 2025-12-31. Derived by tool as FY less 9M YTD.</t>
      </text>
    </comment>
    <comment ref="D43" authorId="0" shapeId="0">
      <text>
        <t>stock-data get_financials (SEC XBRL, quarterly) income tax, quarter ended 2026-03-31.</t>
      </text>
    </comment>
    <comment ref="E43" authorId="0" shapeId="0">
      <text>
        <t>stock-data get_financials (SEC XBRL, quarterly) income tax, quarter ended 2026-06-30.</t>
      </text>
    </comment>
    <comment ref="B44" authorId="0" shapeId="0">
      <text>
        <t>stock-data get_financials (SEC XBRL, quarterly) income tax, quarter ended 2025-09-30.</t>
      </text>
    </comment>
    <comment ref="C44" authorId="0" shapeId="0">
      <text>
        <t>stock-data get_financials (SEC XBRL, quarterly) income tax, quarter ended 2025-12-31. Derived by tool as FY less 9M YTD.</t>
      </text>
    </comment>
    <comment ref="D44" authorId="0" shapeId="0">
      <text>
        <t>stock-data get_financials (SEC XBRL, quarterly) income tax, quarter ended 2026-03-31.</t>
      </text>
    </comment>
    <comment ref="E44" authorId="0" shapeId="0">
      <text>
        <t>stock-data get_financials (SEC XBRL, quarterly) income tax, quarter ended 2026-06-30.</t>
      </text>
    </comment>
    <comment ref="B45" authorId="0" shapeId="0">
      <text>
        <t>stock-data get_financials (SEC XBRL, quarterly) income tax, quarter ended 2025-09-27. Derived by tool as FY less 9M YTD.</t>
      </text>
    </comment>
    <comment ref="C45" authorId="0" shapeId="0">
      <text>
        <t>stock-data get_financials (SEC XBRL, quarterly) income tax, quarter ended 2025-12-27.</t>
      </text>
    </comment>
    <comment ref="D45" authorId="0" shapeId="0">
      <text>
        <t>stock-data get_financials (SEC XBRL, quarterly) income tax, quarter ended 2026-03-28.</t>
      </text>
    </comment>
    <comment ref="E45" authorId="0" shapeId="0">
      <text>
        <t>stock-data get_financials (SEC XBRL, quarterly) income tax, quarter ended 2026-06-27.</t>
      </text>
    </comment>
    <comment ref="B46" authorId="0" shapeId="0">
      <text>
        <t>stock-data get_financials (SEC XBRL, quarterly) income tax, quarter ended 2025-11-30.</t>
      </text>
    </comment>
    <comment ref="C46" authorId="0" shapeId="0">
      <text>
        <t>stock-data get_financials (SEC XBRL, quarterly) income tax, quarter ended 2026-02-28.</t>
      </text>
    </comment>
    <comment ref="D46" authorId="0" shapeId="0">
      <text>
        <t>stock-data get_financials (SEC XBRL, quarterly) income tax, quarter ended 2026-05-31. Derived by tool as FY less 9M YTD.</t>
      </text>
    </comment>
    <comment ref="E46" authorId="0" shapeId="0">
      <text>
        <t>stock-data get_financials (SEC XBRL, quarterly) income tax, quarter ended 2026-08-31.</t>
      </text>
    </comment>
    <comment ref="B50" authorId="0" shapeId="0">
      <text>
        <t>stock-data get_financials (SEC XBRL, quarterly) pre-tax income, quarter ended 2025-09-30.</t>
      </text>
    </comment>
    <comment ref="C50" authorId="0" shapeId="0">
      <text>
        <t>stock-data get_financials (SEC XBRL, quarterly) pre-tax income, quarter ended 2025-12-31.</t>
      </text>
    </comment>
    <comment ref="D50" authorId="0" shapeId="0">
      <text>
        <t>stock-data get_financials (SEC XBRL, quarterly) pre-tax income, quarter ended 2026-03-31.</t>
      </text>
    </comment>
    <comment ref="E50" authorId="0" shapeId="0">
      <text>
        <t>stock-data get_financials (SEC XBRL, quarterly) pre-tax income, quarter ended 2026-06-30. Derived by tool as FY less 9M YTD.</t>
      </text>
    </comment>
    <comment ref="B51" authorId="0" shapeId="0">
      <text>
        <t>stock-data get_financials (SEC XBRL, quarterly) pre-tax income, quarter ended 2025-09-30.</t>
      </text>
    </comment>
    <comment ref="C51" authorId="0" shapeId="0">
      <text>
        <t>stock-data get_financials (SEC XBRL, quarterly) pre-tax income, quarter ended 2025-12-31. Derived by tool as FY less 9M YTD.</t>
      </text>
    </comment>
    <comment ref="D51" authorId="0" shapeId="0">
      <text>
        <t>stock-data get_financials (SEC XBRL, quarterly) pre-tax income, quarter ended 2026-03-31.</t>
      </text>
    </comment>
    <comment ref="E51" authorId="0" shapeId="0">
      <text>
        <t>stock-data get_financials (SEC XBRL, quarterly) pre-tax income, quarter ended 2026-06-30.</t>
      </text>
    </comment>
    <comment ref="B52" authorId="0" shapeId="0">
      <text>
        <t>stock-data get_financials (SEC XBRL, quarterly) pre-tax income, quarter ended 2025-09-30.</t>
      </text>
    </comment>
    <comment ref="C52" authorId="0" shapeId="0">
      <text>
        <t>stock-data get_financials (SEC XBRL, quarterly) pre-tax income, quarter ended 2025-12-31. Derived by tool as FY less 9M YTD.</t>
      </text>
    </comment>
    <comment ref="D52" authorId="0" shapeId="0">
      <text>
        <t>stock-data get_financials (SEC XBRL, quarterly) pre-tax income, quarter ended 2026-03-31.</t>
      </text>
    </comment>
    <comment ref="E52" authorId="0" shapeId="0">
      <text>
        <t>stock-data get_financials (SEC XBRL, quarterly) pre-tax income, quarter ended 2026-06-30.</t>
      </text>
    </comment>
    <comment ref="B53" authorId="0" shapeId="0">
      <text>
        <t>stock-data get_financials (SEC XBRL, quarterly) pre-tax income, quarter ended 2025-09-30.</t>
      </text>
    </comment>
    <comment ref="C53" authorId="0" shapeId="0">
      <text>
        <t>stock-data get_financials (SEC XBRL, quarterly) pre-tax income, quarter ended 2025-12-31. Derived by tool as FY less 9M YTD.</t>
      </text>
    </comment>
    <comment ref="D53" authorId="0" shapeId="0">
      <text>
        <t>stock-data get_financials (SEC XBRL, quarterly) pre-tax income, quarter ended 2026-03-31.</t>
      </text>
    </comment>
    <comment ref="E53" authorId="0" shapeId="0">
      <text>
        <t>stock-data get_financials (SEC XBRL, quarterly) pre-tax income, quarter ended 2026-06-30.</t>
      </text>
    </comment>
    <comment ref="B54" authorId="0" shapeId="0">
      <text>
        <t>stock-data get_financials (SEC XBRL, quarterly) pre-tax income, quarter ended 2025-09-27. Derived by tool as FY less 9M YTD.</t>
      </text>
    </comment>
    <comment ref="C54" authorId="0" shapeId="0">
      <text>
        <t>stock-data get_financials (SEC XBRL, quarterly) pre-tax income, quarter ended 2025-12-27.</t>
      </text>
    </comment>
    <comment ref="D54" authorId="0" shapeId="0">
      <text>
        <t>stock-data get_financials (SEC XBRL, quarterly) pre-tax income, quarter ended 2026-03-28.</t>
      </text>
    </comment>
    <comment ref="E54" authorId="0" shapeId="0">
      <text>
        <t>stock-data get_financials (SEC XBRL, quarterly) pre-tax income, quarter ended 2026-06-27.</t>
      </text>
    </comment>
    <comment ref="B59" authorId="0" shapeId="0">
      <text>
        <t>'Depreciation, amortization, and other', twelve months ended 2026-06-30, cash flow statement, MSFT earnings release Ex.99.1 (8-K filed 2026-07-29). Includes 'other' non-cash items.</t>
      </text>
    </comment>
    <comment ref="B60" authorId="0" shapeId="0">
      <text>
        <t>Depreciation of property &amp; equipment FY2025, 10-K filed 2026-02-05 (cash flow statement, R10).</t>
      </text>
    </comment>
    <comment ref="C60" authorId="0" shapeId="0">
      <text>
        <t>Depreciation of P&amp;E, six months ended 2026-06-30, 10-Q filed 2026-07-23.</t>
      </text>
    </comment>
    <comment ref="D60" authorId="0" shapeId="0">
      <text>
        <t>Depreciation of P&amp;E, six months ended 2025-06-30, 10-Q filed 2026-07-23 (comparative).</t>
      </text>
    </comment>
    <comment ref="B61" authorId="0" shapeId="0">
      <text>
        <t>stock-data get_financials (SEC XBRL, quarterly) depreciation_amortization, Q ended 2025-09-30</t>
      </text>
    </comment>
    <comment ref="C61" authorId="0" shapeId="0">
      <text>
        <t>stock-data get_financials (SEC XBRL, quarterly), Q ended 2025-12-31 (derived FY-9M)</t>
      </text>
    </comment>
    <comment ref="D61" authorId="0" shapeId="0">
      <text>
        <t>stock-data get_financials (SEC XBRL, quarterly), Q ended 2026-03-31</t>
      </text>
    </comment>
    <comment ref="E61" authorId="0" shapeId="0">
      <text>
        <t>stock-data get_financials (SEC XBRL, quarterly), Q ended 2026-06-30 (derived 6M-3M)</t>
      </text>
    </comment>
    <comment ref="B62" authorId="0" shapeId="0">
      <text>
        <t>stock-data get_financials (SEC XBRL, quarterly) depreciation_amortization, Q ended 2025-09-30 (derived)</t>
      </text>
    </comment>
    <comment ref="C62" authorId="0" shapeId="0">
      <text>
        <t>stock-data get_financials (SEC XBRL, quarterly), Q ended 2025-12-31 (derived)</t>
      </text>
    </comment>
    <comment ref="D62" authorId="0" shapeId="0">
      <text>
        <t>stock-data get_financials (SEC XBRL, quarterly), Q ended 2026-03-31</t>
      </text>
    </comment>
    <comment ref="E62" authorId="0" shapeId="0">
      <text>
        <t>stock-data get_financials (SEC XBRL, quarterly), Q ended 2026-06-30 (derived)</t>
      </text>
    </comment>
    <comment ref="B63" authorId="0" shapeId="0">
      <text>
        <t>stock-data get_financials (SEC XBRL, quarterly) depreciation_amortization, Q ended 2025-09-27 (derived)</t>
      </text>
    </comment>
    <comment ref="C63" authorId="0" shapeId="0">
      <text>
        <t>stock-data get_financials (SEC XBRL, quarterly), Q ended 2025-12-27</t>
      </text>
    </comment>
    <comment ref="D63" authorId="0" shapeId="0">
      <text>
        <t>stock-data get_financials (SEC XBRL, quarterly), Q ended 2026-03-28 (derived)</t>
      </text>
    </comment>
    <comment ref="E63" authorId="0" shapeId="0">
      <text>
        <t>stock-data get_financials (SEC XBRL, quarterly), Q ended 2026-06-27 (derived)</t>
      </text>
    </comment>
    <comment ref="B64" authorId="0" shapeId="0">
      <text>
        <t>FY ended 2026-05-31: Depreciation 7,623 + Amortization of intangibles 1,671; 10-K filed 2026-06-22, cash flow statement (R8).</t>
      </text>
    </comment>
    <comment ref="C64" authorId="0" shapeId="0">
      <text>
        <t>Q ended 2026-08-31: Depreciation 3,156 + Amortization 202; 10-Q filed 2026-09-11.</t>
      </text>
    </comment>
    <comment ref="D64" authorId="0" shapeId="0">
      <text>
        <t>Q ended 2025-08-31: Depreciation 1,351 + Amortization 420; 10-Q filed 2026-09-11 (comparative).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LARGE-CAP TECHNOLOGY - COMPARABLE COMPANY ANALYSIS: MICROSOFT (MSFT)</t>
        </is>
      </c>
    </row>
    <row r="2">
      <c r="A2" s="2" t="inlineStr">
        <is>
          <t>Target: Microsoft (MSFT)  |  Peers: Alphabet (GOOGL) • Amazon (AMZN) • Meta Platforms (META) • Apple (AAPL) • Oracle (ORCL)</t>
        </is>
      </c>
    </row>
    <row r="3">
      <c r="A3" s="2" t="inlineStr">
        <is>
          <t>Prices as of 2026-10-14 close | LTM to each company's latest reported quarter | USD millions except per-share data and ratios | Peer statistics exclude MSFT</t>
        </is>
      </c>
    </row>
    <row r="5" ht="22" customHeight="1">
      <c r="A5" s="3" t="inlineStr">
        <is>
          <t>OPERATING STATISTICS &amp; FINANCIAL METRICS (LTM)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44" customHeight="1">
      <c r="A6" s="5" t="inlineStr">
        <is>
          <t>Company</t>
        </is>
      </c>
      <c r="B6" s="5" t="inlineStr">
        <is>
          <t>Ticker</t>
        </is>
      </c>
      <c r="C6" s="5" t="inlineStr">
        <is>
          <t>LTM through</t>
        </is>
      </c>
      <c r="D6" s="5" t="inlineStr">
        <is>
          <t>LTM revenue</t>
        </is>
      </c>
      <c r="E6" s="5" t="inlineStr">
        <is>
          <t>Revenue growth (YoY LTM)</t>
        </is>
      </c>
      <c r="F6" s="5" t="inlineStr">
        <is>
          <t>LTM EBIT</t>
        </is>
      </c>
      <c r="G6" s="5" t="inlineStr">
        <is>
          <t>EBIT margin</t>
        </is>
      </c>
      <c r="H6" s="5" t="inlineStr">
        <is>
          <t>LTM D&amp;A</t>
        </is>
      </c>
      <c r="I6" s="5" t="inlineStr">
        <is>
          <t>LTM EBITDA</t>
        </is>
      </c>
      <c r="J6" s="5" t="inlineStr">
        <is>
          <t>EBITDA margin</t>
        </is>
      </c>
      <c r="K6" s="5" t="inlineStr">
        <is>
          <t>LTM net income</t>
        </is>
      </c>
      <c r="L6" s="5" t="inlineStr">
        <is>
          <t>Net margin</t>
        </is>
      </c>
    </row>
    <row r="7" ht="22" customHeight="1">
      <c r="A7" s="6" t="inlineStr">
        <is>
          <t>Microsoft</t>
        </is>
      </c>
      <c r="B7" s="7" t="inlineStr">
        <is>
          <t>MSFT</t>
        </is>
      </c>
      <c r="C7" s="8">
        <f>Inputs!C5</f>
        <v/>
      </c>
      <c r="D7" s="9">
        <f>Inputs!J14</f>
        <v/>
      </c>
      <c r="E7" s="10">
        <f>Inputs!L14</f>
        <v/>
      </c>
      <c r="F7" s="9">
        <f>Inputs!F23</f>
        <v/>
      </c>
      <c r="G7" s="10">
        <f>F7/D7</f>
        <v/>
      </c>
      <c r="H7" s="9">
        <f>Inputs!F59</f>
        <v/>
      </c>
      <c r="I7" s="9">
        <f>F7+H7</f>
        <v/>
      </c>
      <c r="J7" s="10">
        <f>I7/D7</f>
        <v/>
      </c>
      <c r="K7" s="9">
        <f>Inputs!F32</f>
        <v/>
      </c>
      <c r="L7" s="10">
        <f>K7/D7</f>
        <v/>
      </c>
    </row>
    <row r="8" ht="22" customHeight="1"/>
    <row r="9" ht="22" customHeight="1">
      <c r="A9" s="6" t="inlineStr">
        <is>
          <t>Alphabet</t>
        </is>
      </c>
      <c r="B9" s="7" t="inlineStr">
        <is>
          <t>GOOGL</t>
        </is>
      </c>
      <c r="C9" s="8">
        <f>Inputs!C6</f>
        <v/>
      </c>
      <c r="D9" s="9">
        <f>Inputs!J15</f>
        <v/>
      </c>
      <c r="E9" s="10">
        <f>Inputs!L15</f>
        <v/>
      </c>
      <c r="F9" s="9">
        <f>Inputs!F24</f>
        <v/>
      </c>
      <c r="G9" s="10">
        <f>F9/D9</f>
        <v/>
      </c>
      <c r="H9" s="9">
        <f>Inputs!F60</f>
        <v/>
      </c>
      <c r="I9" s="9">
        <f>F9+H9</f>
        <v/>
      </c>
      <c r="J9" s="10">
        <f>I9/D9</f>
        <v/>
      </c>
      <c r="K9" s="9">
        <f>Inputs!F33</f>
        <v/>
      </c>
      <c r="L9" s="10">
        <f>K9/D9</f>
        <v/>
      </c>
    </row>
    <row r="10" ht="22" customHeight="1">
      <c r="A10" s="6" t="inlineStr">
        <is>
          <t>Amazon</t>
        </is>
      </c>
      <c r="B10" s="7" t="inlineStr">
        <is>
          <t>AMZN</t>
        </is>
      </c>
      <c r="C10" s="8">
        <f>Inputs!C7</f>
        <v/>
      </c>
      <c r="D10" s="9">
        <f>Inputs!J16</f>
        <v/>
      </c>
      <c r="E10" s="10">
        <f>Inputs!L16</f>
        <v/>
      </c>
      <c r="F10" s="9">
        <f>Inputs!F25</f>
        <v/>
      </c>
      <c r="G10" s="10">
        <f>F10/D10</f>
        <v/>
      </c>
      <c r="H10" s="9">
        <f>Inputs!F61</f>
        <v/>
      </c>
      <c r="I10" s="9">
        <f>F10+H10</f>
        <v/>
      </c>
      <c r="J10" s="10">
        <f>I10/D10</f>
        <v/>
      </c>
      <c r="K10" s="9">
        <f>Inputs!F34</f>
        <v/>
      </c>
      <c r="L10" s="10">
        <f>K10/D10</f>
        <v/>
      </c>
    </row>
    <row r="11" ht="22" customHeight="1">
      <c r="A11" s="6" t="inlineStr">
        <is>
          <t>Meta Platforms</t>
        </is>
      </c>
      <c r="B11" s="7" t="inlineStr">
        <is>
          <t>META</t>
        </is>
      </c>
      <c r="C11" s="8">
        <f>Inputs!C8</f>
        <v/>
      </c>
      <c r="D11" s="9">
        <f>Inputs!J17</f>
        <v/>
      </c>
      <c r="E11" s="10">
        <f>Inputs!L17</f>
        <v/>
      </c>
      <c r="F11" s="9">
        <f>Inputs!F26</f>
        <v/>
      </c>
      <c r="G11" s="10">
        <f>F11/D11</f>
        <v/>
      </c>
      <c r="H11" s="9">
        <f>Inputs!F62</f>
        <v/>
      </c>
      <c r="I11" s="9">
        <f>F11+H11</f>
        <v/>
      </c>
      <c r="J11" s="10">
        <f>I11/D11</f>
        <v/>
      </c>
      <c r="K11" s="9">
        <f>Inputs!F35</f>
        <v/>
      </c>
      <c r="L11" s="10">
        <f>K11/D11</f>
        <v/>
      </c>
    </row>
    <row r="12" ht="22" customHeight="1">
      <c r="A12" s="6" t="inlineStr">
        <is>
          <t>Apple</t>
        </is>
      </c>
      <c r="B12" s="7" t="inlineStr">
        <is>
          <t>AAPL</t>
        </is>
      </c>
      <c r="C12" s="8">
        <f>Inputs!C9</f>
        <v/>
      </c>
      <c r="D12" s="9">
        <f>Inputs!J18</f>
        <v/>
      </c>
      <c r="E12" s="10">
        <f>Inputs!L18</f>
        <v/>
      </c>
      <c r="F12" s="9">
        <f>Inputs!F27</f>
        <v/>
      </c>
      <c r="G12" s="10">
        <f>F12/D12</f>
        <v/>
      </c>
      <c r="H12" s="9">
        <f>Inputs!F63</f>
        <v/>
      </c>
      <c r="I12" s="9">
        <f>F12+H12</f>
        <v/>
      </c>
      <c r="J12" s="10">
        <f>I12/D12</f>
        <v/>
      </c>
      <c r="K12" s="9">
        <f>Inputs!F36</f>
        <v/>
      </c>
      <c r="L12" s="10">
        <f>K12/D12</f>
        <v/>
      </c>
    </row>
    <row r="13" ht="22" customHeight="1">
      <c r="A13" s="6" t="inlineStr">
        <is>
          <t>Oracle</t>
        </is>
      </c>
      <c r="B13" s="7" t="inlineStr">
        <is>
          <t>ORCL</t>
        </is>
      </c>
      <c r="C13" s="8">
        <f>Inputs!C10</f>
        <v/>
      </c>
      <c r="D13" s="9">
        <f>Inputs!J19</f>
        <v/>
      </c>
      <c r="E13" s="10">
        <f>Inputs!L19</f>
        <v/>
      </c>
      <c r="F13" s="9">
        <f>Inputs!F28</f>
        <v/>
      </c>
      <c r="G13" s="10">
        <f>F13/D13</f>
        <v/>
      </c>
      <c r="H13" s="9">
        <f>Inputs!F64</f>
        <v/>
      </c>
      <c r="I13" s="9">
        <f>F13+H13</f>
        <v/>
      </c>
      <c r="J13" s="10">
        <f>I13/D13</f>
        <v/>
      </c>
      <c r="K13" s="9">
        <f>Inputs!F37</f>
        <v/>
      </c>
      <c r="L13" s="10">
        <f>K13/D13</f>
        <v/>
      </c>
    </row>
    <row r="14" ht="22" customHeight="1"/>
    <row r="15" ht="22" customHeight="1">
      <c r="A15" s="11" t="inlineStr">
        <is>
          <t>Peer Maximum</t>
        </is>
      </c>
      <c r="B15" s="12" t="n"/>
      <c r="C15" s="12" t="n"/>
      <c r="D15" s="12" t="n"/>
      <c r="E15" s="13">
        <f>MAX(E9:E13)</f>
        <v/>
      </c>
      <c r="F15" s="12" t="n"/>
      <c r="G15" s="13">
        <f>MAX(G9:G13)</f>
        <v/>
      </c>
      <c r="H15" s="12" t="n"/>
      <c r="I15" s="12" t="n"/>
      <c r="J15" s="13">
        <f>MAX(J9:J13)</f>
        <v/>
      </c>
      <c r="K15" s="12" t="n"/>
      <c r="L15" s="13">
        <f>MAX(L9:L13)</f>
        <v/>
      </c>
    </row>
    <row r="16" ht="22" customHeight="1">
      <c r="A16" s="11" t="inlineStr">
        <is>
          <t>Peer 75th Percentile</t>
        </is>
      </c>
      <c r="B16" s="12" t="n"/>
      <c r="C16" s="12" t="n"/>
      <c r="D16" s="12" t="n"/>
      <c r="E16" s="13">
        <f>QUARTILE(E9:E13,3)</f>
        <v/>
      </c>
      <c r="F16" s="12" t="n"/>
      <c r="G16" s="13">
        <f>QUARTILE(G9:G13,3)</f>
        <v/>
      </c>
      <c r="H16" s="12" t="n"/>
      <c r="I16" s="12" t="n"/>
      <c r="J16" s="13">
        <f>QUARTILE(J9:J13,3)</f>
        <v/>
      </c>
      <c r="K16" s="12" t="n"/>
      <c r="L16" s="13">
        <f>QUARTILE(L9:L13,3)</f>
        <v/>
      </c>
    </row>
    <row r="17" ht="22" customHeight="1">
      <c r="A17" s="11" t="inlineStr">
        <is>
          <t>Peer Median</t>
        </is>
      </c>
      <c r="B17" s="12" t="n"/>
      <c r="C17" s="12" t="n"/>
      <c r="D17" s="12" t="n"/>
      <c r="E17" s="13">
        <f>MEDIAN(E9:E13)</f>
        <v/>
      </c>
      <c r="F17" s="12" t="n"/>
      <c r="G17" s="13">
        <f>MEDIAN(G9:G13)</f>
        <v/>
      </c>
      <c r="H17" s="12" t="n"/>
      <c r="I17" s="12" t="n"/>
      <c r="J17" s="13">
        <f>MEDIAN(J9:J13)</f>
        <v/>
      </c>
      <c r="K17" s="12" t="n"/>
      <c r="L17" s="13">
        <f>MEDIAN(L9:L13)</f>
        <v/>
      </c>
    </row>
    <row r="18" ht="22" customHeight="1">
      <c r="A18" s="11" t="inlineStr">
        <is>
          <t>Peer 25th Percentile</t>
        </is>
      </c>
      <c r="B18" s="12" t="n"/>
      <c r="C18" s="12" t="n"/>
      <c r="D18" s="12" t="n"/>
      <c r="E18" s="13">
        <f>QUARTILE(E9:E13,1)</f>
        <v/>
      </c>
      <c r="F18" s="12" t="n"/>
      <c r="G18" s="13">
        <f>QUARTILE(G9:G13,1)</f>
        <v/>
      </c>
      <c r="H18" s="12" t="n"/>
      <c r="I18" s="12" t="n"/>
      <c r="J18" s="13">
        <f>QUARTILE(J9:J13,1)</f>
        <v/>
      </c>
      <c r="K18" s="12" t="n"/>
      <c r="L18" s="13">
        <f>QUARTILE(L9:L13,1)</f>
        <v/>
      </c>
    </row>
    <row r="19" ht="22" customHeight="1">
      <c r="A19" s="11" t="inlineStr">
        <is>
          <t>Peer Minimum</t>
        </is>
      </c>
      <c r="B19" s="12" t="n"/>
      <c r="C19" s="12" t="n"/>
      <c r="D19" s="12" t="n"/>
      <c r="E19" s="13">
        <f>MIN(E9:E13)</f>
        <v/>
      </c>
      <c r="F19" s="12" t="n"/>
      <c r="G19" s="13">
        <f>MIN(G9:G13)</f>
        <v/>
      </c>
      <c r="H19" s="12" t="n"/>
      <c r="I19" s="12" t="n"/>
      <c r="J19" s="13">
        <f>MIN(J9:J13)</f>
        <v/>
      </c>
      <c r="K19" s="12" t="n"/>
      <c r="L19" s="13">
        <f>MIN(L9:L13)</f>
        <v/>
      </c>
    </row>
    <row r="20" ht="22" customHeight="1">
      <c r="A20" s="6" t="inlineStr">
        <is>
          <t>MSFT vs peer median (pp)</t>
        </is>
      </c>
      <c r="E20" s="14">
        <f>E7-E17</f>
        <v/>
      </c>
      <c r="G20" s="14">
        <f>G7-G17</f>
        <v/>
      </c>
      <c r="J20" s="14">
        <f>J7-J17</f>
        <v/>
      </c>
      <c r="L20" s="14">
        <f>L7-L17</f>
        <v/>
      </c>
    </row>
    <row r="21" ht="22" customHeight="1"/>
    <row r="22" ht="22" customHeight="1">
      <c r="A22" s="3" t="inlineStr">
        <is>
          <t>VALUATION MULTIPLES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 ht="44" customHeight="1">
      <c r="A23" s="5" t="inlineStr">
        <is>
          <t>Company</t>
        </is>
      </c>
      <c r="B23" s="5" t="inlineStr">
        <is>
          <t>Ticker</t>
        </is>
      </c>
      <c r="C23" s="5" t="inlineStr">
        <is>
          <t>Share price ($)</t>
        </is>
      </c>
      <c r="D23" s="5" t="inlineStr">
        <is>
          <t>Shares out (M)</t>
        </is>
      </c>
      <c r="E23" s="5" t="inlineStr">
        <is>
          <t>Market cap</t>
        </is>
      </c>
      <c r="F23" s="5" t="inlineStr">
        <is>
          <t>Net debt (cash) incl. pref &amp; NCI</t>
        </is>
      </c>
      <c r="G23" s="5" t="inlineStr">
        <is>
          <t>Enterprise value</t>
        </is>
      </c>
      <c r="H23" s="5" t="inlineStr">
        <is>
          <t>EV / LTM revenue</t>
        </is>
      </c>
      <c r="I23" s="5" t="inlineStr">
        <is>
          <t>EV / LTM EBITDA</t>
        </is>
      </c>
      <c r="J23" s="5" t="inlineStr">
        <is>
          <t>P/E (LTM GAAP)</t>
        </is>
      </c>
      <c r="K23" s="5" t="inlineStr">
        <is>
          <t>LTM effective tax rate</t>
        </is>
      </c>
      <c r="L23" s="5" t="inlineStr">
        <is>
          <t>P/E (LTM EBIT after tax)</t>
        </is>
      </c>
    </row>
    <row r="24" ht="22" customHeight="1">
      <c r="A24" s="6" t="inlineStr">
        <is>
          <t>Microsoft</t>
        </is>
      </c>
      <c r="B24" s="7" t="inlineStr">
        <is>
          <t>MSFT</t>
        </is>
      </c>
      <c r="C24" s="15">
        <f>Inputs!E5</f>
        <v/>
      </c>
      <c r="D24" s="16">
        <f>Inputs!F5</f>
        <v/>
      </c>
      <c r="E24" s="9">
        <f>C24*D24</f>
        <v/>
      </c>
      <c r="F24" s="17">
        <f>Inputs!N5</f>
        <v/>
      </c>
      <c r="G24" s="9">
        <f>E24+F24</f>
        <v/>
      </c>
      <c r="H24" s="18">
        <f>G24/D7</f>
        <v/>
      </c>
      <c r="I24" s="18">
        <f>G24/I7</f>
        <v/>
      </c>
      <c r="J24" s="18">
        <f>E24/K7</f>
        <v/>
      </c>
      <c r="K24" s="10">
        <f>Inputs!F41/Inputs!F50</f>
        <v/>
      </c>
      <c r="L24" s="18">
        <f>E24/(F7*(1-K24))</f>
        <v/>
      </c>
    </row>
    <row r="25" ht="22" customHeight="1"/>
    <row r="26" ht="22" customHeight="1">
      <c r="A26" s="6" t="inlineStr">
        <is>
          <t>Alphabet</t>
        </is>
      </c>
      <c r="B26" s="7" t="inlineStr">
        <is>
          <t>GOOGL</t>
        </is>
      </c>
      <c r="C26" s="15">
        <f>Inputs!E6</f>
        <v/>
      </c>
      <c r="D26" s="16">
        <f>Inputs!F6</f>
        <v/>
      </c>
      <c r="E26" s="9">
        <f>C26*D26</f>
        <v/>
      </c>
      <c r="F26" s="17">
        <f>Inputs!N6</f>
        <v/>
      </c>
      <c r="G26" s="9">
        <f>E26+F26</f>
        <v/>
      </c>
      <c r="H26" s="18">
        <f>G26/D9</f>
        <v/>
      </c>
      <c r="I26" s="18">
        <f>G26/I9</f>
        <v/>
      </c>
      <c r="J26" s="18">
        <f>E26/K9</f>
        <v/>
      </c>
      <c r="K26" s="10">
        <f>Inputs!F42/Inputs!F51</f>
        <v/>
      </c>
      <c r="L26" s="18">
        <f>E26/(F9*(1-K26))</f>
        <v/>
      </c>
    </row>
    <row r="27" ht="22" customHeight="1">
      <c r="A27" s="6" t="inlineStr">
        <is>
          <t>Amazon</t>
        </is>
      </c>
      <c r="B27" s="7" t="inlineStr">
        <is>
          <t>AMZN</t>
        </is>
      </c>
      <c r="C27" s="15">
        <f>Inputs!E7</f>
        <v/>
      </c>
      <c r="D27" s="16">
        <f>Inputs!F7</f>
        <v/>
      </c>
      <c r="E27" s="9">
        <f>C27*D27</f>
        <v/>
      </c>
      <c r="F27" s="17">
        <f>Inputs!N7</f>
        <v/>
      </c>
      <c r="G27" s="9">
        <f>E27+F27</f>
        <v/>
      </c>
      <c r="H27" s="18">
        <f>G27/D10</f>
        <v/>
      </c>
      <c r="I27" s="18">
        <f>G27/I10</f>
        <v/>
      </c>
      <c r="J27" s="18">
        <f>E27/K10</f>
        <v/>
      </c>
      <c r="K27" s="10">
        <f>Inputs!F43/Inputs!F52</f>
        <v/>
      </c>
      <c r="L27" s="18">
        <f>E27/(F10*(1-K27))</f>
        <v/>
      </c>
    </row>
    <row r="28" ht="22" customHeight="1">
      <c r="A28" s="6" t="inlineStr">
        <is>
          <t>Meta Platforms</t>
        </is>
      </c>
      <c r="B28" s="7" t="inlineStr">
        <is>
          <t>META</t>
        </is>
      </c>
      <c r="C28" s="15">
        <f>Inputs!E8</f>
        <v/>
      </c>
      <c r="D28" s="16">
        <f>Inputs!F8</f>
        <v/>
      </c>
      <c r="E28" s="9">
        <f>C28*D28</f>
        <v/>
      </c>
      <c r="F28" s="17">
        <f>Inputs!N8</f>
        <v/>
      </c>
      <c r="G28" s="9">
        <f>E28+F28</f>
        <v/>
      </c>
      <c r="H28" s="18">
        <f>G28/D11</f>
        <v/>
      </c>
      <c r="I28" s="18">
        <f>G28/I11</f>
        <v/>
      </c>
      <c r="J28" s="18">
        <f>E28/K11</f>
        <v/>
      </c>
      <c r="K28" s="10">
        <f>Inputs!F44/Inputs!F53</f>
        <v/>
      </c>
      <c r="L28" s="18">
        <f>E28/(F11*(1-K28))</f>
        <v/>
      </c>
    </row>
    <row r="29" ht="22" customHeight="1">
      <c r="A29" s="6" t="inlineStr">
        <is>
          <t>Apple</t>
        </is>
      </c>
      <c r="B29" s="7" t="inlineStr">
        <is>
          <t>AAPL</t>
        </is>
      </c>
      <c r="C29" s="15">
        <f>Inputs!E9</f>
        <v/>
      </c>
      <c r="D29" s="16">
        <f>Inputs!F9</f>
        <v/>
      </c>
      <c r="E29" s="9">
        <f>C29*D29</f>
        <v/>
      </c>
      <c r="F29" s="17">
        <f>Inputs!N9</f>
        <v/>
      </c>
      <c r="G29" s="9">
        <f>E29+F29</f>
        <v/>
      </c>
      <c r="H29" s="18">
        <f>G29/D12</f>
        <v/>
      </c>
      <c r="I29" s="18">
        <f>G29/I12</f>
        <v/>
      </c>
      <c r="J29" s="18">
        <f>E29/K12</f>
        <v/>
      </c>
      <c r="K29" s="10">
        <f>Inputs!F45/Inputs!F54</f>
        <v/>
      </c>
      <c r="L29" s="18">
        <f>E29/(F12*(1-K29))</f>
        <v/>
      </c>
    </row>
    <row r="30" ht="22" customHeight="1">
      <c r="A30" s="6" t="inlineStr">
        <is>
          <t>Oracle</t>
        </is>
      </c>
      <c r="B30" s="7" t="inlineStr">
        <is>
          <t>ORCL</t>
        </is>
      </c>
      <c r="C30" s="15">
        <f>Inputs!E10</f>
        <v/>
      </c>
      <c r="D30" s="16">
        <f>Inputs!F10</f>
        <v/>
      </c>
      <c r="E30" s="9">
        <f>C30*D30</f>
        <v/>
      </c>
      <c r="F30" s="17">
        <f>Inputs!N10</f>
        <v/>
      </c>
      <c r="G30" s="9">
        <f>E30+F30</f>
        <v/>
      </c>
      <c r="H30" s="18">
        <f>G30/D13</f>
        <v/>
      </c>
      <c r="I30" s="18">
        <f>G30/I13</f>
        <v/>
      </c>
      <c r="J30" s="18">
        <f>E30/K13</f>
        <v/>
      </c>
      <c r="K30" s="10">
        <f>Inputs!F46/Inputs!F55</f>
        <v/>
      </c>
      <c r="L30" s="18">
        <f>E30/(F13*(1-K30))</f>
        <v/>
      </c>
    </row>
    <row r="31" ht="22" customHeight="1"/>
    <row r="32" ht="22" customHeight="1">
      <c r="A32" s="11" t="inlineStr">
        <is>
          <t>Peer Maximum</t>
        </is>
      </c>
      <c r="B32" s="12" t="n"/>
      <c r="C32" s="12" t="n"/>
      <c r="D32" s="12" t="n"/>
      <c r="E32" s="12" t="n"/>
      <c r="F32" s="12" t="n"/>
      <c r="G32" s="12" t="n"/>
      <c r="H32" s="19">
        <f>MAX(H26:H30)</f>
        <v/>
      </c>
      <c r="I32" s="19">
        <f>MAX(I26:I30)</f>
        <v/>
      </c>
      <c r="J32" s="19">
        <f>MAX(J26:J30)</f>
        <v/>
      </c>
      <c r="K32" s="13">
        <f>MAX(K26:K30)</f>
        <v/>
      </c>
      <c r="L32" s="19">
        <f>MAX(L26:L30)</f>
        <v/>
      </c>
    </row>
    <row r="33" ht="22" customHeight="1">
      <c r="A33" s="11" t="inlineStr">
        <is>
          <t>Peer 75th Percentile</t>
        </is>
      </c>
      <c r="B33" s="12" t="n"/>
      <c r="C33" s="12" t="n"/>
      <c r="D33" s="12" t="n"/>
      <c r="E33" s="12" t="n"/>
      <c r="F33" s="12" t="n"/>
      <c r="G33" s="12" t="n"/>
      <c r="H33" s="19">
        <f>QUARTILE(H26:H30,3)</f>
        <v/>
      </c>
      <c r="I33" s="19">
        <f>QUARTILE(I26:I30,3)</f>
        <v/>
      </c>
      <c r="J33" s="19">
        <f>QUARTILE(J26:J30,3)</f>
        <v/>
      </c>
      <c r="K33" s="13">
        <f>QUARTILE(K26:K30,3)</f>
        <v/>
      </c>
      <c r="L33" s="19">
        <f>QUARTILE(L26:L30,3)</f>
        <v/>
      </c>
    </row>
    <row r="34" ht="22" customHeight="1">
      <c r="A34" s="11" t="inlineStr">
        <is>
          <t>Peer Median</t>
        </is>
      </c>
      <c r="B34" s="12" t="n"/>
      <c r="C34" s="12" t="n"/>
      <c r="D34" s="12" t="n"/>
      <c r="E34" s="12" t="n"/>
      <c r="F34" s="12" t="n"/>
      <c r="G34" s="12" t="n"/>
      <c r="H34" s="19">
        <f>MEDIAN(H26:H30)</f>
        <v/>
      </c>
      <c r="I34" s="19">
        <f>MEDIAN(I26:I30)</f>
        <v/>
      </c>
      <c r="J34" s="19">
        <f>MEDIAN(J26:J30)</f>
        <v/>
      </c>
      <c r="K34" s="13">
        <f>MEDIAN(K26:K30)</f>
        <v/>
      </c>
      <c r="L34" s="19">
        <f>MEDIAN(L26:L30)</f>
        <v/>
      </c>
    </row>
    <row r="35" ht="22" customHeight="1">
      <c r="A35" s="11" t="inlineStr">
        <is>
          <t>Peer 25th Percentile</t>
        </is>
      </c>
      <c r="B35" s="12" t="n"/>
      <c r="C35" s="12" t="n"/>
      <c r="D35" s="12" t="n"/>
      <c r="E35" s="12" t="n"/>
      <c r="F35" s="12" t="n"/>
      <c r="G35" s="12" t="n"/>
      <c r="H35" s="19">
        <f>QUARTILE(H26:H30,1)</f>
        <v/>
      </c>
      <c r="I35" s="19">
        <f>QUARTILE(I26:I30,1)</f>
        <v/>
      </c>
      <c r="J35" s="19">
        <f>QUARTILE(J26:J30,1)</f>
        <v/>
      </c>
      <c r="K35" s="13">
        <f>QUARTILE(K26:K30,1)</f>
        <v/>
      </c>
      <c r="L35" s="19">
        <f>QUARTILE(L26:L30,1)</f>
        <v/>
      </c>
    </row>
    <row r="36" ht="22" customHeight="1">
      <c r="A36" s="11" t="inlineStr">
        <is>
          <t>Peer Minimum</t>
        </is>
      </c>
      <c r="B36" s="12" t="n"/>
      <c r="C36" s="12" t="n"/>
      <c r="D36" s="12" t="n"/>
      <c r="E36" s="12" t="n"/>
      <c r="F36" s="12" t="n"/>
      <c r="G36" s="12" t="n"/>
      <c r="H36" s="19">
        <f>MIN(H26:H30)</f>
        <v/>
      </c>
      <c r="I36" s="19">
        <f>MIN(I26:I30)</f>
        <v/>
      </c>
      <c r="J36" s="19">
        <f>MIN(J26:J30)</f>
        <v/>
      </c>
      <c r="K36" s="13">
        <f>MIN(K26:K30)</f>
        <v/>
      </c>
      <c r="L36" s="19">
        <f>MIN(L26:L30)</f>
        <v/>
      </c>
    </row>
    <row r="37" ht="22" customHeight="1">
      <c r="A37" s="6" t="inlineStr">
        <is>
          <t>MSFT premium / (discount) to peer median</t>
        </is>
      </c>
      <c r="H37" s="14">
        <f>H24/H34-1</f>
        <v/>
      </c>
      <c r="I37" s="14">
        <f>I24/I34-1</f>
        <v/>
      </c>
      <c r="J37" s="14">
        <f>J24/J34-1</f>
        <v/>
      </c>
      <c r="L37" s="14">
        <f>L24/L34-1</f>
        <v/>
      </c>
    </row>
    <row r="38" ht="22" customHeight="1"/>
    <row r="39" ht="22" customHeight="1">
      <c r="A39" s="3" t="inlineStr">
        <is>
          <t>IMPLIED MSFT VALUE PER SHARE AT PEER MULTIPLES (USD)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 ht="44" customHeight="1">
      <c r="A40" s="5" t="inlineStr">
        <is>
          <t>Multiple</t>
        </is>
      </c>
      <c r="B40" s="5" t="inlineStr">
        <is>
          <t>MSFT LTM metric</t>
        </is>
      </c>
      <c r="C40" s="5" t="inlineStr">
        <is>
          <t>Peer 25th pct</t>
        </is>
      </c>
      <c r="D40" s="5" t="inlineStr">
        <is>
          <t>Peer median</t>
        </is>
      </c>
      <c r="E40" s="5" t="inlineStr">
        <is>
          <t>Peer 75th pct</t>
        </is>
      </c>
      <c r="F40" s="5" t="inlineStr">
        <is>
          <t>Implied price @25th</t>
        </is>
      </c>
      <c r="G40" s="5" t="inlineStr">
        <is>
          <t>Implied price @median</t>
        </is>
      </c>
      <c r="H40" s="5" t="inlineStr">
        <is>
          <t>Implied price @75th</t>
        </is>
      </c>
      <c r="I40" s="5" t="inlineStr">
        <is>
          <t>Current price</t>
        </is>
      </c>
      <c r="J40" s="5" t="inlineStr">
        <is>
          <t>Upside/(down) @median</t>
        </is>
      </c>
      <c r="K40" s="5" t="inlineStr"/>
      <c r="L40" s="5" t="inlineStr"/>
    </row>
    <row r="41" ht="22" customHeight="1">
      <c r="A41" s="6" t="inlineStr">
        <is>
          <t>EV / LTM revenue</t>
        </is>
      </c>
      <c r="B41" s="9">
        <f>D7</f>
        <v/>
      </c>
      <c r="C41" s="18">
        <f>H35</f>
        <v/>
      </c>
      <c r="D41" s="18">
        <f>H34</f>
        <v/>
      </c>
      <c r="E41" s="18">
        <f>H33</f>
        <v/>
      </c>
      <c r="F41" s="15">
        <f>($B41*C41-$F$24)/$D$24</f>
        <v/>
      </c>
      <c r="G41" s="15">
        <f>($B41*D41-$F$24)/$D$24</f>
        <v/>
      </c>
      <c r="H41" s="15">
        <f>($B41*E41-$F$24)/$D$24</f>
        <v/>
      </c>
      <c r="I41" s="15">
        <f>$C$24</f>
        <v/>
      </c>
      <c r="J41" s="14">
        <f>G41/I41-1</f>
        <v/>
      </c>
    </row>
    <row r="42" ht="22" customHeight="1">
      <c r="A42" s="6" t="inlineStr">
        <is>
          <t>EV / LTM EBITDA</t>
        </is>
      </c>
      <c r="B42" s="9">
        <f>I7</f>
        <v/>
      </c>
      <c r="C42" s="18">
        <f>I35</f>
        <v/>
      </c>
      <c r="D42" s="18">
        <f>I34</f>
        <v/>
      </c>
      <c r="E42" s="18">
        <f>I33</f>
        <v/>
      </c>
      <c r="F42" s="15">
        <f>($B42*C42-$F$24)/$D$24</f>
        <v/>
      </c>
      <c r="G42" s="15">
        <f>($B42*D42-$F$24)/$D$24</f>
        <v/>
      </c>
      <c r="H42" s="15">
        <f>($B42*E42-$F$24)/$D$24</f>
        <v/>
      </c>
      <c r="I42" s="15">
        <f>$C$24</f>
        <v/>
      </c>
      <c r="J42" s="14">
        <f>G42/I42-1</f>
        <v/>
      </c>
    </row>
    <row r="43" ht="22" customHeight="1">
      <c r="A43" s="6" t="inlineStr">
        <is>
          <t>P/E (LTM GAAP)</t>
        </is>
      </c>
      <c r="B43" s="9">
        <f>K7</f>
        <v/>
      </c>
      <c r="C43" s="18">
        <f>J35</f>
        <v/>
      </c>
      <c r="D43" s="18">
        <f>J34</f>
        <v/>
      </c>
      <c r="E43" s="18">
        <f>J33</f>
        <v/>
      </c>
      <c r="F43" s="15">
        <f>$B43*C43/$D$24</f>
        <v/>
      </c>
      <c r="G43" s="15">
        <f>$B43*D43/$D$24</f>
        <v/>
      </c>
      <c r="H43" s="15">
        <f>$B43*E43/$D$24</f>
        <v/>
      </c>
      <c r="I43" s="15">
        <f>$C$24</f>
        <v/>
      </c>
      <c r="J43" s="14">
        <f>G43/I43-1</f>
        <v/>
      </c>
    </row>
    <row r="44" ht="22" customHeight="1">
      <c r="A44" s="6" t="inlineStr">
        <is>
          <t>P/E (LTM EBIT after tax)</t>
        </is>
      </c>
      <c r="B44" s="9">
        <f>F7*(1-K24)</f>
        <v/>
      </c>
      <c r="C44" s="18">
        <f>L35</f>
        <v/>
      </c>
      <c r="D44" s="18">
        <f>L34</f>
        <v/>
      </c>
      <c r="E44" s="18">
        <f>L33</f>
        <v/>
      </c>
      <c r="F44" s="15">
        <f>$B44*C44/$D$24</f>
        <v/>
      </c>
      <c r="G44" s="15">
        <f>$B44*D44/$D$24</f>
        <v/>
      </c>
      <c r="H44" s="15">
        <f>$B44*E44/$D$24</f>
        <v/>
      </c>
      <c r="I44" s="15">
        <f>$C$24</f>
        <v/>
      </c>
      <c r="J44" s="14">
        <f>G44/I44-1</f>
        <v/>
      </c>
    </row>
    <row r="45" ht="22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20" t="inlineStr">
        <is>
          <t>INPUTS - MARKET DATA, BALANCE SHEET AND QUARTERLY FINANCIALS (USD millions except per-share)</t>
        </is>
      </c>
    </row>
    <row r="2">
      <c r="A2" s="2" t="inlineStr">
        <is>
          <t>Blue = hard-coded input (each has a cell comment with its source); black = formula.</t>
        </is>
      </c>
    </row>
    <row r="3">
      <c r="A3" s="3" t="inlineStr">
        <is>
          <t>A. MARKET DATA &amp; BALANCE SHEET (latest reported balance sheet)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5" t="inlineStr">
        <is>
          <t>Ticker</t>
        </is>
      </c>
      <c r="B4" s="5" t="inlineStr">
        <is>
          <t>Company</t>
        </is>
      </c>
      <c r="C4" s="5" t="inlineStr">
        <is>
          <t>Latest Q end (LTM)</t>
        </is>
      </c>
      <c r="D4" s="5" t="inlineStr">
        <is>
          <t>Fiscal period</t>
        </is>
      </c>
      <c r="E4" s="5" t="inlineStr">
        <is>
          <t>Share price ($)</t>
        </is>
      </c>
      <c r="F4" s="5" t="inlineStr">
        <is>
          <t>Shares out (M)</t>
        </is>
      </c>
      <c r="G4" s="5" t="inlineStr">
        <is>
          <t>Cash &amp; equiv.</t>
        </is>
      </c>
      <c r="H4" s="5" t="inlineStr">
        <is>
          <t>ST investments</t>
        </is>
      </c>
      <c r="I4" s="5" t="inlineStr">
        <is>
          <t>Debt - current</t>
        </is>
      </c>
      <c r="J4" s="5" t="inlineStr">
        <is>
          <t>Debt - non-current</t>
        </is>
      </c>
      <c r="K4" s="5" t="inlineStr">
        <is>
          <t>Preferred stock</t>
        </is>
      </c>
      <c r="L4" s="5" t="inlineStr">
        <is>
          <t>Noncontrolling int.</t>
        </is>
      </c>
      <c r="M4" s="5" t="inlineStr">
        <is>
          <t>Total debt</t>
        </is>
      </c>
      <c r="N4" s="5" t="inlineStr">
        <is>
          <t>Net debt (cash)</t>
        </is>
      </c>
    </row>
    <row r="5">
      <c r="A5" s="21" t="inlineStr">
        <is>
          <t>MSFT</t>
        </is>
      </c>
      <c r="B5" s="21" t="inlineStr">
        <is>
          <t>Microsoft</t>
        </is>
      </c>
      <c r="C5" s="22" t="inlineStr">
        <is>
          <t>2026-06-30</t>
        </is>
      </c>
      <c r="D5" s="22" t="inlineStr">
        <is>
          <t>FY26 Q4</t>
        </is>
      </c>
      <c r="E5" s="23" t="n">
        <v>533.6900000000001</v>
      </c>
      <c r="F5" s="24" t="n">
        <v>7427</v>
      </c>
      <c r="G5" s="25" t="n">
        <v>20935</v>
      </c>
      <c r="H5" s="25" t="n">
        <v>55908</v>
      </c>
      <c r="I5" s="25" t="n">
        <v>9227</v>
      </c>
      <c r="J5" s="25" t="n">
        <v>31067</v>
      </c>
      <c r="K5" s="25" t="n">
        <v>0</v>
      </c>
      <c r="L5" s="25" t="n">
        <v>0</v>
      </c>
      <c r="M5" s="9">
        <f>I5+J5</f>
        <v/>
      </c>
      <c r="N5" s="17">
        <f>M5+K5+L5-G5-H5</f>
        <v/>
      </c>
    </row>
    <row r="6">
      <c r="A6" s="21" t="inlineStr">
        <is>
          <t>GOOGL</t>
        </is>
      </c>
      <c r="B6" s="21" t="inlineStr">
        <is>
          <t>Alphabet</t>
        </is>
      </c>
      <c r="C6" s="22" t="inlineStr">
        <is>
          <t>2026-06-30</t>
        </is>
      </c>
      <c r="D6" s="22" t="inlineStr">
        <is>
          <t>Q2 CY26</t>
        </is>
      </c>
      <c r="E6" s="23" t="n">
        <v>347.64</v>
      </c>
      <c r="F6" s="24" t="n">
        <v>12230</v>
      </c>
      <c r="G6" s="25" t="n">
        <v>55911</v>
      </c>
      <c r="H6" s="25" t="n">
        <v>186563</v>
      </c>
      <c r="I6" s="25" t="n">
        <v>1999</v>
      </c>
      <c r="J6" s="25" t="n">
        <v>98165</v>
      </c>
      <c r="K6" s="25" t="n">
        <v>0</v>
      </c>
      <c r="L6" s="25" t="n">
        <v>0</v>
      </c>
      <c r="M6" s="9">
        <f>I6+J6</f>
        <v/>
      </c>
      <c r="N6" s="17">
        <f>M6+K6+L6-G6-H6</f>
        <v/>
      </c>
    </row>
    <row r="7">
      <c r="A7" s="21" t="inlineStr">
        <is>
          <t>AMZN</t>
        </is>
      </c>
      <c r="B7" s="21" t="inlineStr">
        <is>
          <t>Amazon</t>
        </is>
      </c>
      <c r="C7" s="22" t="inlineStr">
        <is>
          <t>2026-06-30</t>
        </is>
      </c>
      <c r="D7" s="22" t="inlineStr">
        <is>
          <t>Q2 CY26</t>
        </is>
      </c>
      <c r="E7" s="23" t="n">
        <v>254.08</v>
      </c>
      <c r="F7" s="24" t="n">
        <v>10783</v>
      </c>
      <c r="G7" s="25" t="n">
        <v>78213</v>
      </c>
      <c r="H7" s="25" t="n">
        <v>44775</v>
      </c>
      <c r="I7" s="25" t="n">
        <v>3330</v>
      </c>
      <c r="J7" s="25" t="n">
        <v>128894</v>
      </c>
      <c r="K7" s="25" t="n">
        <v>0</v>
      </c>
      <c r="L7" s="25" t="n">
        <v>0</v>
      </c>
      <c r="M7" s="9">
        <f>I7+J7</f>
        <v/>
      </c>
      <c r="N7" s="17">
        <f>M7+K7+L7-G7-H7</f>
        <v/>
      </c>
    </row>
    <row r="8">
      <c r="A8" s="21" t="inlineStr">
        <is>
          <t>META</t>
        </is>
      </c>
      <c r="B8" s="21" t="inlineStr">
        <is>
          <t>Meta Platforms</t>
        </is>
      </c>
      <c r="C8" s="22" t="inlineStr">
        <is>
          <t>2026-06-30</t>
        </is>
      </c>
      <c r="D8" s="22" t="inlineStr">
        <is>
          <t>Q2 CY26</t>
        </is>
      </c>
      <c r="E8" s="23" t="n">
        <v>737.54</v>
      </c>
      <c r="F8" s="24" t="n">
        <v>2547.506</v>
      </c>
      <c r="G8" s="25" t="n">
        <v>15462</v>
      </c>
      <c r="H8" s="25" t="n">
        <v>74798</v>
      </c>
      <c r="I8" s="25" t="n">
        <v>0</v>
      </c>
      <c r="J8" s="25" t="n">
        <v>83664</v>
      </c>
      <c r="K8" s="25" t="n">
        <v>0</v>
      </c>
      <c r="L8" s="25" t="n">
        <v>0</v>
      </c>
      <c r="M8" s="9">
        <f>I8+J8</f>
        <v/>
      </c>
      <c r="N8" s="17">
        <f>M8+K8+L8-G8-H8</f>
        <v/>
      </c>
    </row>
    <row r="9">
      <c r="A9" s="21" t="inlineStr">
        <is>
          <t>AAPL</t>
        </is>
      </c>
      <c r="B9" s="21" t="inlineStr">
        <is>
          <t>Apple</t>
        </is>
      </c>
      <c r="C9" s="22" t="inlineStr">
        <is>
          <t>2026-06-27</t>
        </is>
      </c>
      <c r="D9" s="22" t="inlineStr">
        <is>
          <t>FY26 Q3</t>
        </is>
      </c>
      <c r="E9" s="23" t="n">
        <v>342.96</v>
      </c>
      <c r="F9" s="24" t="n">
        <v>14608.963</v>
      </c>
      <c r="G9" s="25" t="n">
        <v>39544</v>
      </c>
      <c r="H9" s="25" t="n">
        <v>22855</v>
      </c>
      <c r="I9" s="25" t="n">
        <v>13004</v>
      </c>
      <c r="J9" s="25" t="n">
        <v>71340</v>
      </c>
      <c r="K9" s="25" t="n">
        <v>0</v>
      </c>
      <c r="L9" s="25" t="n">
        <v>0</v>
      </c>
      <c r="M9" s="9">
        <f>I9+J9</f>
        <v/>
      </c>
      <c r="N9" s="17">
        <f>M9+K9+L9-G9-H9</f>
        <v/>
      </c>
    </row>
    <row r="10">
      <c r="A10" s="21" t="inlineStr">
        <is>
          <t>ORCL</t>
        </is>
      </c>
      <c r="B10" s="21" t="inlineStr">
        <is>
          <t>Oracle</t>
        </is>
      </c>
      <c r="C10" s="22" t="inlineStr">
        <is>
          <t>2026-08-31</t>
        </is>
      </c>
      <c r="D10" s="22" t="inlineStr">
        <is>
          <t>FY27 Q1</t>
        </is>
      </c>
      <c r="E10" s="23" t="n">
        <v>130.55</v>
      </c>
      <c r="F10" s="24" t="n">
        <v>3024</v>
      </c>
      <c r="G10" s="25" t="n">
        <v>36369</v>
      </c>
      <c r="H10" s="25" t="n">
        <v>708</v>
      </c>
      <c r="I10" s="25" t="n">
        <v>7625</v>
      </c>
      <c r="J10" s="25" t="n">
        <v>117712</v>
      </c>
      <c r="K10" s="25" t="n">
        <v>4954</v>
      </c>
      <c r="L10" s="25" t="n">
        <v>424</v>
      </c>
      <c r="M10" s="9">
        <f>I10+J10</f>
        <v/>
      </c>
      <c r="N10" s="17">
        <f>M10+K10+L10-G10-H10</f>
        <v/>
      </c>
    </row>
    <row r="12">
      <c r="A12" s="3" t="inlineStr">
        <is>
          <t>B. QUARTERLY REVENUE (oldest to newest; Q-7 .. Q0 where Q0 = latest reported quarter)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5" t="inlineStr">
        <is>
          <t>Ticker</t>
        </is>
      </c>
      <c r="B13" s="5" t="inlineStr">
        <is>
          <t>Q-7</t>
        </is>
      </c>
      <c r="C13" s="5" t="inlineStr">
        <is>
          <t>Q-6</t>
        </is>
      </c>
      <c r="D13" s="5" t="inlineStr">
        <is>
          <t>Q-5</t>
        </is>
      </c>
      <c r="E13" s="5" t="inlineStr">
        <is>
          <t>Q-4</t>
        </is>
      </c>
      <c r="F13" s="5" t="inlineStr">
        <is>
          <t>Q-3</t>
        </is>
      </c>
      <c r="G13" s="5" t="inlineStr">
        <is>
          <t>Q-2</t>
        </is>
      </c>
      <c r="H13" s="5" t="inlineStr">
        <is>
          <t>Q-1</t>
        </is>
      </c>
      <c r="I13" s="5" t="inlineStr">
        <is>
          <t>Q0</t>
        </is>
      </c>
      <c r="J13" s="5" t="inlineStr">
        <is>
          <t>LTM revenue</t>
        </is>
      </c>
      <c r="K13" s="5" t="inlineStr">
        <is>
          <t>Prior LTM revenue</t>
        </is>
      </c>
      <c r="L13" s="5" t="inlineStr">
        <is>
          <t>LTM growth %</t>
        </is>
      </c>
      <c r="M13" s="5" t="inlineStr">
        <is>
          <t>Q0 end</t>
        </is>
      </c>
      <c r="N13" s="5" t="inlineStr"/>
    </row>
    <row r="14">
      <c r="A14" s="21" t="inlineStr">
        <is>
          <t>MSFT</t>
        </is>
      </c>
      <c r="B14" s="25" t="n">
        <v>65585</v>
      </c>
      <c r="C14" s="25" t="n">
        <v>69632</v>
      </c>
      <c r="D14" s="25" t="n">
        <v>70066</v>
      </c>
      <c r="E14" s="25" t="n">
        <v>76441</v>
      </c>
      <c r="F14" s="25" t="n">
        <v>77673</v>
      </c>
      <c r="G14" s="25" t="n">
        <v>81273</v>
      </c>
      <c r="H14" s="25" t="n">
        <v>82886</v>
      </c>
      <c r="I14" s="25" t="n">
        <v>90007</v>
      </c>
      <c r="J14" s="9">
        <f>SUM(F14:I14)</f>
        <v/>
      </c>
      <c r="K14" s="9">
        <f>SUM(B14:E14)</f>
        <v/>
      </c>
      <c r="L14" s="10">
        <f>J14/K14-1</f>
        <v/>
      </c>
      <c r="M14" s="8">
        <f>Inputs!C5</f>
        <v/>
      </c>
    </row>
    <row r="15">
      <c r="A15" s="21" t="inlineStr">
        <is>
          <t>GOOGL</t>
        </is>
      </c>
      <c r="B15" s="25" t="n">
        <v>88268</v>
      </c>
      <c r="C15" s="25" t="n">
        <v>96469</v>
      </c>
      <c r="D15" s="25" t="n">
        <v>90234</v>
      </c>
      <c r="E15" s="25" t="n">
        <v>96428</v>
      </c>
      <c r="F15" s="25" t="n">
        <v>102346</v>
      </c>
      <c r="G15" s="25" t="n">
        <v>113829</v>
      </c>
      <c r="H15" s="25" t="n">
        <v>109896</v>
      </c>
      <c r="I15" s="25" t="n">
        <v>119796</v>
      </c>
      <c r="J15" s="9">
        <f>SUM(F15:I15)</f>
        <v/>
      </c>
      <c r="K15" s="9">
        <f>SUM(B15:E15)</f>
        <v/>
      </c>
      <c r="L15" s="10">
        <f>J15/K15-1</f>
        <v/>
      </c>
      <c r="M15" s="8">
        <f>Inputs!C6</f>
        <v/>
      </c>
    </row>
    <row r="16">
      <c r="A16" s="21" t="inlineStr">
        <is>
          <t>AMZN</t>
        </is>
      </c>
      <c r="B16" s="25" t="n">
        <v>158877</v>
      </c>
      <c r="C16" s="25" t="n">
        <v>187792</v>
      </c>
      <c r="D16" s="25" t="n">
        <v>155667</v>
      </c>
      <c r="E16" s="25" t="n">
        <v>167702</v>
      </c>
      <c r="F16" s="25" t="n">
        <v>180169</v>
      </c>
      <c r="G16" s="25" t="n">
        <v>213386</v>
      </c>
      <c r="H16" s="25" t="n">
        <v>181519</v>
      </c>
      <c r="I16" s="25" t="n">
        <v>200606</v>
      </c>
      <c r="J16" s="9">
        <f>SUM(F16:I16)</f>
        <v/>
      </c>
      <c r="K16" s="9">
        <f>SUM(B16:E16)</f>
        <v/>
      </c>
      <c r="L16" s="10">
        <f>J16/K16-1</f>
        <v/>
      </c>
      <c r="M16" s="8">
        <f>Inputs!C7</f>
        <v/>
      </c>
    </row>
    <row r="17">
      <c r="A17" s="21" t="inlineStr">
        <is>
          <t>META</t>
        </is>
      </c>
      <c r="B17" s="25" t="n">
        <v>40589</v>
      </c>
      <c r="C17" s="25" t="n">
        <v>48385</v>
      </c>
      <c r="D17" s="25" t="n">
        <v>42314</v>
      </c>
      <c r="E17" s="25" t="n">
        <v>47516</v>
      </c>
      <c r="F17" s="25" t="n">
        <v>51242</v>
      </c>
      <c r="G17" s="25" t="n">
        <v>59893</v>
      </c>
      <c r="H17" s="25" t="n">
        <v>56311</v>
      </c>
      <c r="I17" s="25" t="n">
        <v>60801</v>
      </c>
      <c r="J17" s="9">
        <f>SUM(F17:I17)</f>
        <v/>
      </c>
      <c r="K17" s="9">
        <f>SUM(B17:E17)</f>
        <v/>
      </c>
      <c r="L17" s="10">
        <f>J17/K17-1</f>
        <v/>
      </c>
      <c r="M17" s="8">
        <f>Inputs!C8</f>
        <v/>
      </c>
    </row>
    <row r="18">
      <c r="A18" s="21" t="inlineStr">
        <is>
          <t>AAPL</t>
        </is>
      </c>
      <c r="B18" s="25" t="n">
        <v>94930</v>
      </c>
      <c r="C18" s="25" t="n">
        <v>124300</v>
      </c>
      <c r="D18" s="25" t="n">
        <v>95359</v>
      </c>
      <c r="E18" s="25" t="n">
        <v>94036</v>
      </c>
      <c r="F18" s="25" t="n">
        <v>102466</v>
      </c>
      <c r="G18" s="25" t="n">
        <v>143756</v>
      </c>
      <c r="H18" s="25" t="n">
        <v>111184</v>
      </c>
      <c r="I18" s="25" t="n">
        <v>109417</v>
      </c>
      <c r="J18" s="9">
        <f>SUM(F18:I18)</f>
        <v/>
      </c>
      <c r="K18" s="9">
        <f>SUM(B18:E18)</f>
        <v/>
      </c>
      <c r="L18" s="10">
        <f>J18/K18-1</f>
        <v/>
      </c>
      <c r="M18" s="8">
        <f>Inputs!C9</f>
        <v/>
      </c>
    </row>
    <row r="19">
      <c r="A19" s="21" t="inlineStr">
        <is>
          <t>ORCL</t>
        </is>
      </c>
      <c r="B19" s="25" t="n">
        <v>14059</v>
      </c>
      <c r="C19" s="25" t="n">
        <v>14130</v>
      </c>
      <c r="D19" s="25" t="n">
        <v>15903</v>
      </c>
      <c r="E19" s="25" t="n">
        <v>14926</v>
      </c>
      <c r="F19" s="25" t="n">
        <v>16058</v>
      </c>
      <c r="G19" s="25" t="n">
        <v>17190</v>
      </c>
      <c r="H19" s="25" t="n">
        <v>19184</v>
      </c>
      <c r="I19" s="25" t="n">
        <v>19345</v>
      </c>
      <c r="J19" s="9">
        <f>SUM(F19:I19)</f>
        <v/>
      </c>
      <c r="K19" s="9">
        <f>SUM(B19:E19)</f>
        <v/>
      </c>
      <c r="L19" s="10">
        <f>J19/K19-1</f>
        <v/>
      </c>
      <c r="M19" s="8">
        <f>Inputs!C10</f>
        <v/>
      </c>
    </row>
    <row r="21">
      <c r="A21" s="3" t="inlineStr">
        <is>
          <t>C. OPERATING INCOME (GAAP, last 4 quarters)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5" t="inlineStr">
        <is>
          <t>Ticker</t>
        </is>
      </c>
      <c r="B22" s="5" t="inlineStr">
        <is>
          <t>Q-3</t>
        </is>
      </c>
      <c r="C22" s="5" t="inlineStr">
        <is>
          <t>Q-2</t>
        </is>
      </c>
      <c r="D22" s="5" t="inlineStr">
        <is>
          <t>Q-1</t>
        </is>
      </c>
      <c r="E22" s="5" t="inlineStr">
        <is>
          <t>Q0</t>
        </is>
      </c>
      <c r="F22" s="5" t="inlineStr">
        <is>
          <t>LTM operating income</t>
        </is>
      </c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</row>
    <row r="23">
      <c r="A23" s="21" t="inlineStr">
        <is>
          <t>MSFT</t>
        </is>
      </c>
      <c r="B23" s="26" t="n">
        <v>37961</v>
      </c>
      <c r="C23" s="26" t="n">
        <v>38275</v>
      </c>
      <c r="D23" s="26" t="n">
        <v>38398</v>
      </c>
      <c r="E23" s="26" t="n">
        <v>40603</v>
      </c>
      <c r="F23" s="17">
        <f>SUM(B23:E23)</f>
        <v/>
      </c>
    </row>
    <row r="24">
      <c r="A24" s="21" t="inlineStr">
        <is>
          <t>GOOGL</t>
        </is>
      </c>
      <c r="B24" s="26" t="n">
        <v>31228</v>
      </c>
      <c r="C24" s="26" t="n">
        <v>35934</v>
      </c>
      <c r="D24" s="26" t="n">
        <v>39696</v>
      </c>
      <c r="E24" s="26" t="n">
        <v>40770</v>
      </c>
      <c r="F24" s="17">
        <f>SUM(B24:E24)</f>
        <v/>
      </c>
    </row>
    <row r="25">
      <c r="A25" s="21" t="inlineStr">
        <is>
          <t>AMZN</t>
        </is>
      </c>
      <c r="B25" s="26" t="n">
        <v>17422</v>
      </c>
      <c r="C25" s="26" t="n">
        <v>24977</v>
      </c>
      <c r="D25" s="26" t="n">
        <v>23852</v>
      </c>
      <c r="E25" s="26" t="n">
        <v>27461</v>
      </c>
      <c r="F25" s="17">
        <f>SUM(B25:E25)</f>
        <v/>
      </c>
    </row>
    <row r="26">
      <c r="A26" s="21" t="inlineStr">
        <is>
          <t>META</t>
        </is>
      </c>
      <c r="B26" s="26" t="n">
        <v>20535</v>
      </c>
      <c r="C26" s="26" t="n">
        <v>24745</v>
      </c>
      <c r="D26" s="26" t="n">
        <v>22872</v>
      </c>
      <c r="E26" s="26" t="n">
        <v>18775</v>
      </c>
      <c r="F26" s="17">
        <f>SUM(B26:E26)</f>
        <v/>
      </c>
    </row>
    <row r="27">
      <c r="A27" s="21" t="inlineStr">
        <is>
          <t>AAPL</t>
        </is>
      </c>
      <c r="B27" s="26" t="n">
        <v>32427</v>
      </c>
      <c r="C27" s="26" t="n">
        <v>50852</v>
      </c>
      <c r="D27" s="26" t="n">
        <v>35885</v>
      </c>
      <c r="E27" s="26" t="n">
        <v>35695</v>
      </c>
      <c r="F27" s="17">
        <f>SUM(B27:E27)</f>
        <v/>
      </c>
    </row>
    <row r="28">
      <c r="A28" s="21" t="inlineStr">
        <is>
          <t>ORCL</t>
        </is>
      </c>
      <c r="B28" s="26" t="n">
        <v>4731</v>
      </c>
      <c r="C28" s="26" t="n">
        <v>5464</v>
      </c>
      <c r="D28" s="26" t="n">
        <v>6133</v>
      </c>
      <c r="E28" s="26" t="n">
        <v>6728</v>
      </c>
      <c r="F28" s="17">
        <f>SUM(B28:E28)</f>
        <v/>
      </c>
    </row>
    <row r="30">
      <c r="A30" s="3" t="inlineStr">
        <is>
          <t>D. NET INCOME ATTRIBUTABLE TO COMMON (GAAP, last 4 quarters)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5" t="inlineStr">
        <is>
          <t>Ticker</t>
        </is>
      </c>
      <c r="B31" s="5" t="inlineStr">
        <is>
          <t>Q-3</t>
        </is>
      </c>
      <c r="C31" s="5" t="inlineStr">
        <is>
          <t>Q-2</t>
        </is>
      </c>
      <c r="D31" s="5" t="inlineStr">
        <is>
          <t>Q-1</t>
        </is>
      </c>
      <c r="E31" s="5" t="inlineStr">
        <is>
          <t>Q0</t>
        </is>
      </c>
      <c r="F31" s="5" t="inlineStr">
        <is>
          <t>LTM net income</t>
        </is>
      </c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</row>
    <row r="32">
      <c r="A32" s="21" t="inlineStr">
        <is>
          <t>MSFT</t>
        </is>
      </c>
      <c r="B32" s="26" t="n">
        <v>27747</v>
      </c>
      <c r="C32" s="26" t="n">
        <v>38458</v>
      </c>
      <c r="D32" s="26" t="n">
        <v>31778</v>
      </c>
      <c r="E32" s="26" t="n">
        <v>35766</v>
      </c>
      <c r="F32" s="17">
        <f>SUM(B32:E32)</f>
        <v/>
      </c>
    </row>
    <row r="33">
      <c r="A33" s="21" t="inlineStr">
        <is>
          <t>GOOGL</t>
        </is>
      </c>
      <c r="B33" s="26" t="n">
        <v>34979</v>
      </c>
      <c r="C33" s="26" t="n">
        <v>34455</v>
      </c>
      <c r="D33" s="26" t="n">
        <v>62578</v>
      </c>
      <c r="E33" s="26" t="n">
        <v>112193</v>
      </c>
      <c r="F33" s="17">
        <f>SUM(B33:E33)</f>
        <v/>
      </c>
    </row>
    <row r="34">
      <c r="A34" s="21" t="inlineStr">
        <is>
          <t>AMZN</t>
        </is>
      </c>
      <c r="B34" s="26" t="n">
        <v>21187</v>
      </c>
      <c r="C34" s="26" t="n">
        <v>21192</v>
      </c>
      <c r="D34" s="26" t="n">
        <v>30255</v>
      </c>
      <c r="E34" s="26" t="n">
        <v>62647</v>
      </c>
      <c r="F34" s="17">
        <f>SUM(B34:E34)</f>
        <v/>
      </c>
    </row>
    <row r="35">
      <c r="A35" s="21" t="inlineStr">
        <is>
          <t>META</t>
        </is>
      </c>
      <c r="B35" s="26" t="n">
        <v>2709</v>
      </c>
      <c r="C35" s="26" t="n">
        <v>22768</v>
      </c>
      <c r="D35" s="26" t="n">
        <v>26773</v>
      </c>
      <c r="E35" s="26" t="n">
        <v>15848</v>
      </c>
      <c r="F35" s="17">
        <f>SUM(B35:E35)</f>
        <v/>
      </c>
    </row>
    <row r="36">
      <c r="A36" s="21" t="inlineStr">
        <is>
          <t>AAPL</t>
        </is>
      </c>
      <c r="B36" s="26" t="n">
        <v>27466</v>
      </c>
      <c r="C36" s="26" t="n">
        <v>42097</v>
      </c>
      <c r="D36" s="26" t="n">
        <v>29578</v>
      </c>
      <c r="E36" s="26" t="n">
        <v>29789</v>
      </c>
      <c r="F36" s="17">
        <f>SUM(B36:E36)</f>
        <v/>
      </c>
    </row>
    <row r="37">
      <c r="A37" s="21" t="inlineStr">
        <is>
          <t>ORCL</t>
        </is>
      </c>
      <c r="B37" s="26" t="n">
        <v>6135</v>
      </c>
      <c r="C37" s="26" t="n">
        <v>3721</v>
      </c>
      <c r="D37" s="26" t="n">
        <v>4304</v>
      </c>
      <c r="E37" s="26" t="n">
        <v>4760</v>
      </c>
      <c r="F37" s="17">
        <f>SUM(B37:E37)</f>
        <v/>
      </c>
    </row>
    <row r="39">
      <c r="A39" s="3" t="inlineStr">
        <is>
          <t>E. INCOME TAX EXPENSE (last 4 quarters)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5" t="inlineStr">
        <is>
          <t>Ticker</t>
        </is>
      </c>
      <c r="B40" s="5" t="inlineStr">
        <is>
          <t>Q-3</t>
        </is>
      </c>
      <c r="C40" s="5" t="inlineStr">
        <is>
          <t>Q-2</t>
        </is>
      </c>
      <c r="D40" s="5" t="inlineStr">
        <is>
          <t>Q-1</t>
        </is>
      </c>
      <c r="E40" s="5" t="inlineStr">
        <is>
          <t>Q0</t>
        </is>
      </c>
      <c r="F40" s="5" t="inlineStr">
        <is>
          <t>LTM income tax</t>
        </is>
      </c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</row>
    <row r="41">
      <c r="A41" s="21" t="inlineStr">
        <is>
          <t>MSFT</t>
        </is>
      </c>
      <c r="B41" s="26" t="n">
        <v>6554</v>
      </c>
      <c r="C41" s="26" t="n">
        <v>9788</v>
      </c>
      <c r="D41" s="26" t="n">
        <v>7562</v>
      </c>
      <c r="E41" s="26" t="n">
        <v>8281</v>
      </c>
      <c r="F41" s="17">
        <f>SUM(B41:E41)</f>
        <v/>
      </c>
    </row>
    <row r="42">
      <c r="A42" s="21" t="inlineStr">
        <is>
          <t>GOOGL</t>
        </is>
      </c>
      <c r="B42" s="26" t="n">
        <v>9008</v>
      </c>
      <c r="C42" s="26" t="n">
        <v>4662</v>
      </c>
      <c r="D42" s="26" t="n">
        <v>14834</v>
      </c>
      <c r="E42" s="26" t="n">
        <v>26560</v>
      </c>
      <c r="F42" s="17">
        <f>SUM(B42:E42)</f>
        <v/>
      </c>
    </row>
    <row r="43">
      <c r="A43" s="21" t="inlineStr">
        <is>
          <t>AMZN</t>
        </is>
      </c>
      <c r="B43" s="26" t="n">
        <v>6910</v>
      </c>
      <c r="C43" s="26" t="n">
        <v>4946</v>
      </c>
      <c r="D43" s="26" t="n">
        <v>9560</v>
      </c>
      <c r="E43" s="26" t="n">
        <v>18199</v>
      </c>
      <c r="F43" s="17">
        <f>SUM(B43:E43)</f>
        <v/>
      </c>
    </row>
    <row r="44">
      <c r="A44" s="21" t="inlineStr">
        <is>
          <t>META</t>
        </is>
      </c>
      <c r="B44" s="26" t="n">
        <v>18954</v>
      </c>
      <c r="C44" s="26" t="n">
        <v>2586</v>
      </c>
      <c r="D44" s="26" t="n">
        <v>-5021</v>
      </c>
      <c r="E44" s="26" t="n">
        <v>2908</v>
      </c>
      <c r="F44" s="17">
        <f>SUM(B44:E44)</f>
        <v/>
      </c>
    </row>
    <row r="45">
      <c r="A45" s="21" t="inlineStr">
        <is>
          <t>AAPL</t>
        </is>
      </c>
      <c r="B45" s="26" t="n">
        <v>5338</v>
      </c>
      <c r="C45" s="26" t="n">
        <v>8905</v>
      </c>
      <c r="D45" s="26" t="n">
        <v>6255</v>
      </c>
      <c r="E45" s="26" t="n">
        <v>6478</v>
      </c>
      <c r="F45" s="17">
        <f>SUM(B45:E45)</f>
        <v/>
      </c>
    </row>
    <row r="46">
      <c r="A46" s="21" t="inlineStr">
        <is>
          <t>ORCL</t>
        </is>
      </c>
      <c r="B46" s="26" t="n">
        <v>207</v>
      </c>
      <c r="C46" s="26" t="n">
        <v>695</v>
      </c>
      <c r="D46" s="26" t="n">
        <v>1065</v>
      </c>
      <c r="E46" s="26" t="n">
        <v>847</v>
      </c>
      <c r="F46" s="17">
        <f>SUM(B46:E46)</f>
        <v/>
      </c>
    </row>
    <row r="48">
      <c r="A48" s="3" t="inlineStr">
        <is>
          <t>F. PRE-TAX INCOME (last 4 quarters; ORCL = net income + tax, pre-tax not tagged)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5" t="inlineStr">
        <is>
          <t>Ticker</t>
        </is>
      </c>
      <c r="B49" s="5" t="inlineStr">
        <is>
          <t>Q-3</t>
        </is>
      </c>
      <c r="C49" s="5" t="inlineStr">
        <is>
          <t>Q-2</t>
        </is>
      </c>
      <c r="D49" s="5" t="inlineStr">
        <is>
          <t>Q-1</t>
        </is>
      </c>
      <c r="E49" s="5" t="inlineStr">
        <is>
          <t>Q0</t>
        </is>
      </c>
      <c r="F49" s="5" t="inlineStr">
        <is>
          <t>LTM pre-tax income</t>
        </is>
      </c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</row>
    <row r="50">
      <c r="A50" s="21" t="inlineStr">
        <is>
          <t>MSFT</t>
        </is>
      </c>
      <c r="B50" s="26" t="n">
        <v>34301</v>
      </c>
      <c r="C50" s="26" t="n">
        <v>48246</v>
      </c>
      <c r="D50" s="26" t="n">
        <v>39340</v>
      </c>
      <c r="E50" s="26" t="n">
        <v>44047</v>
      </c>
      <c r="F50" s="17">
        <f>SUM(B50:E50)</f>
        <v/>
      </c>
    </row>
    <row r="51">
      <c r="A51" s="21" t="inlineStr">
        <is>
          <t>GOOGL</t>
        </is>
      </c>
      <c r="B51" s="26" t="n">
        <v>43987</v>
      </c>
      <c r="C51" s="26" t="n">
        <v>39117</v>
      </c>
      <c r="D51" s="26" t="n">
        <v>77412</v>
      </c>
      <c r="E51" s="26" t="n">
        <v>138753</v>
      </c>
      <c r="F51" s="17">
        <f>SUM(B51:E51)</f>
        <v/>
      </c>
    </row>
    <row r="52">
      <c r="A52" s="21" t="inlineStr">
        <is>
          <t>AMZN</t>
        </is>
      </c>
      <c r="B52" s="26" t="n">
        <v>28170</v>
      </c>
      <c r="C52" s="26" t="n">
        <v>26605</v>
      </c>
      <c r="D52" s="26" t="n">
        <v>39834</v>
      </c>
      <c r="E52" s="26" t="n">
        <v>80857</v>
      </c>
      <c r="F52" s="17">
        <f>SUM(B52:E52)</f>
        <v/>
      </c>
    </row>
    <row r="53">
      <c r="A53" s="21" t="inlineStr">
        <is>
          <t>META</t>
        </is>
      </c>
      <c r="B53" s="26" t="n">
        <v>21663</v>
      </c>
      <c r="C53" s="26" t="n">
        <v>25354</v>
      </c>
      <c r="D53" s="26" t="n">
        <v>21752</v>
      </c>
      <c r="E53" s="26" t="n">
        <v>18756</v>
      </c>
      <c r="F53" s="17">
        <f>SUM(B53:E53)</f>
        <v/>
      </c>
    </row>
    <row r="54">
      <c r="A54" s="21" t="inlineStr">
        <is>
          <t>AAPL</t>
        </is>
      </c>
      <c r="B54" s="26" t="n">
        <v>32804</v>
      </c>
      <c r="C54" s="26" t="n">
        <v>51002</v>
      </c>
      <c r="D54" s="26" t="n">
        <v>35833</v>
      </c>
      <c r="E54" s="26" t="n">
        <v>36267</v>
      </c>
      <c r="F54" s="17">
        <f>SUM(B54:E54)</f>
        <v/>
      </c>
    </row>
    <row r="55">
      <c r="A55" s="21" t="inlineStr">
        <is>
          <t>ORCL</t>
        </is>
      </c>
      <c r="B55" s="9">
        <f>B37+B46</f>
        <v/>
      </c>
      <c r="C55" s="9">
        <f>C37+C46</f>
        <v/>
      </c>
      <c r="D55" s="9">
        <f>D37+D46</f>
        <v/>
      </c>
      <c r="E55" s="9">
        <f>E37+E46</f>
        <v/>
      </c>
      <c r="F55" s="17">
        <f>SUM(B55:E55)</f>
        <v/>
      </c>
    </row>
    <row r="57">
      <c r="A57" s="3" t="inlineStr">
        <is>
          <t>G. DEPRECIATION &amp; AMORTIZATION BUILD (cash flow statement)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5" t="inlineStr">
        <is>
          <t>Ticker</t>
        </is>
      </c>
      <c r="B58" s="5" t="inlineStr">
        <is>
          <t>Comp. 1</t>
        </is>
      </c>
      <c r="C58" s="5" t="inlineStr">
        <is>
          <t>Comp. 2</t>
        </is>
      </c>
      <c r="D58" s="5" t="inlineStr">
        <is>
          <t>Comp. 3</t>
        </is>
      </c>
      <c r="E58" s="5" t="inlineStr">
        <is>
          <t>Comp. 4</t>
        </is>
      </c>
      <c r="F58" s="5" t="inlineStr">
        <is>
          <t>LTM D&amp;A</t>
        </is>
      </c>
      <c r="G58" s="5" t="inlineStr">
        <is>
          <t>Build method</t>
        </is>
      </c>
      <c r="H58" s="5" t="inlineStr"/>
      <c r="I58" s="5" t="inlineStr"/>
      <c r="J58" s="5" t="inlineStr"/>
      <c r="K58" s="5" t="inlineStr"/>
      <c r="L58" s="5" t="inlineStr"/>
      <c r="M58" s="5" t="inlineStr"/>
      <c r="N58" s="5" t="inlineStr"/>
    </row>
    <row r="59">
      <c r="A59" s="21" t="inlineStr">
        <is>
          <t>MSFT</t>
        </is>
      </c>
      <c r="B59" s="25" t="n">
        <v>38534</v>
      </c>
      <c r="F59" s="9">
        <f>B59</f>
        <v/>
      </c>
      <c r="G59" s="2" t="inlineStr">
        <is>
          <t>FY26 (Jul-25 to Jun-26) = LTM</t>
        </is>
      </c>
    </row>
    <row r="60">
      <c r="A60" s="21" t="inlineStr">
        <is>
          <t>GOOGL</t>
        </is>
      </c>
      <c r="B60" s="25" t="n">
        <v>21136</v>
      </c>
      <c r="C60" s="25" t="n">
        <v>13586</v>
      </c>
      <c r="D60" s="25" t="n">
        <v>9485</v>
      </c>
      <c r="F60" s="9">
        <f>B60+C60-D60</f>
        <v/>
      </c>
      <c r="G60" s="2" t="inlineStr">
        <is>
          <t>FY25 + 6M26 - 6M25</t>
        </is>
      </c>
    </row>
    <row r="61">
      <c r="A61" s="21" t="inlineStr">
        <is>
          <t>AMZN</t>
        </is>
      </c>
      <c r="B61" s="25" t="n">
        <v>16796</v>
      </c>
      <c r="C61" s="25" t="n">
        <v>19471</v>
      </c>
      <c r="D61" s="25" t="n">
        <v>18945</v>
      </c>
      <c r="E61" s="25" t="n">
        <v>19988</v>
      </c>
      <c r="F61" s="9">
        <f>SUM(B61:E61)</f>
        <v/>
      </c>
      <c r="G61" s="2" t="inlineStr">
        <is>
          <t>Sum of last 4 quarters</t>
        </is>
      </c>
    </row>
    <row r="62">
      <c r="A62" s="21" t="inlineStr">
        <is>
          <t>META</t>
        </is>
      </c>
      <c r="B62" s="25" t="n">
        <v>4963</v>
      </c>
      <c r="C62" s="25" t="n">
        <v>5411</v>
      </c>
      <c r="D62" s="25" t="n">
        <v>5999</v>
      </c>
      <c r="E62" s="25" t="n">
        <v>6356</v>
      </c>
      <c r="F62" s="9">
        <f>SUM(B62:E62)</f>
        <v/>
      </c>
      <c r="G62" s="2" t="inlineStr">
        <is>
          <t>Sum of last 4 quarters</t>
        </is>
      </c>
    </row>
    <row r="63">
      <c r="A63" s="21" t="inlineStr">
        <is>
          <t>AAPL</t>
        </is>
      </c>
      <c r="B63" s="25" t="n">
        <v>3127</v>
      </c>
      <c r="C63" s="25" t="n">
        <v>3214</v>
      </c>
      <c r="D63" s="25" t="n">
        <v>3439</v>
      </c>
      <c r="E63" s="25" t="n">
        <v>3320</v>
      </c>
      <c r="F63" s="9">
        <f>SUM(B63:E63)</f>
        <v/>
      </c>
      <c r="G63" s="2" t="inlineStr">
        <is>
          <t>Sum of last 4 quarters</t>
        </is>
      </c>
    </row>
    <row r="64">
      <c r="A64" s="21" t="inlineStr">
        <is>
          <t>ORCL</t>
        </is>
      </c>
      <c r="B64" s="25">
        <f>7623+1671</f>
        <v/>
      </c>
      <c r="C64" s="25">
        <f>3156+202</f>
        <v/>
      </c>
      <c r="D64" s="25">
        <f>1351+420</f>
        <v/>
      </c>
      <c r="F64" s="9">
        <f>B64+C64-D64</f>
        <v/>
      </c>
      <c r="G64" s="2" t="inlineStr">
        <is>
          <t>FY26 + Q1 FY27 - Q1 FY26 (depreciation + intangible amortization)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7" t="inlineStr">
        <is>
          <t>NOTES &amp; METHODOLOGY</t>
        </is>
      </c>
    </row>
    <row r="2" ht="45" customHeight="1">
      <c r="A2" s="28" t="inlineStr">
        <is>
          <t>Purpose: trading comparables for an investment-committee valuation of Microsoft (MSFT). Peer set as specified: GOOGL, AMZN, META, AAPL, ORCL. Statistics (max / 75th / median / 25th / min) are computed on the five peers only; MSFT is shown as the target and benchmarked against the peer median.</t>
        </is>
      </c>
    </row>
    <row r="3">
      <c r="A3" s="28" t="inlineStr"/>
    </row>
    <row r="4">
      <c r="A4" s="27" t="inlineStr">
        <is>
          <t>Data sources</t>
        </is>
      </c>
    </row>
    <row r="5">
      <c r="A5" s="28" t="inlineStr">
        <is>
          <t>Share prices and quote market caps: stock-data get_quote (Yahoo Finance), 2026-10-14 session, fetched 2026-10-15T01:58Z.</t>
        </is>
      </c>
    </row>
    <row r="6" ht="30" customHeight="1">
      <c r="A6" s="28" t="inlineStr">
        <is>
          <t>Income statement, balance sheet and cash-flow lines: stock-data get_financials (standardized SEC XBRL, quarterly). Fourth fiscal quarters are derived by the tool as full year less 9M YTD.</t>
        </is>
      </c>
    </row>
    <row r="7" ht="45" customHeight="1">
      <c r="A7" s="28" t="inlineStr">
        <is>
          <t>Items not available in the data tool were taken from SEC EDGAR filings via WebFetch: MSFT D&amp;A (earnings release Ex.99.1, 8-K filed 2026-07-29); GOOGL depreciation (10-K filed 2026-02-05; 10-Q filed 2026-07-23); ORCL D&amp;A, debt, preferred and NCI (10-K filed 2026-06-22; 10-Q filed 2026-09-11); AAPL commercial paper (10-Q filed 2026-07-31); META shares outstanding (10-Q cover, filed 2026-07-30).</t>
        </is>
      </c>
    </row>
    <row r="8">
      <c r="A8" s="28" t="inlineStr"/>
    </row>
    <row r="9">
      <c r="A9" s="27" t="inlineStr">
        <is>
          <t>Definitions</t>
        </is>
      </c>
    </row>
    <row r="10" ht="45" customHeight="1">
      <c r="A10" s="28" t="inlineStr">
        <is>
          <t>LTM = sum of the four most recent reported fiscal quarters for each company. Latest quarter ends: MSFT 2026-06-30 (FY26 Q4), GOOGL/AMZN/META 2026-06-30, AAPL 2026-06-27 (FY26 Q3), ORCL 2026-08-31 (FY27 Q1). Fiscal calendars are not aligned; ORCL is two months later than the others.</t>
        </is>
      </c>
    </row>
    <row r="11">
      <c r="A11" s="28" t="inlineStr">
        <is>
          <t>Revenue growth = LTM revenue / prior-year LTM revenue (the four quarters before) - 1.</t>
        </is>
      </c>
    </row>
    <row r="12" ht="45" customHeight="1">
      <c r="A12" s="28" t="inlineStr">
        <is>
          <t>EBITDA = GAAP operating income + depreciation &amp; amortization from the cash flow statement. Stock-based compensation is NOT added back; no one-off adjustments. MSFT D&amp;A line is 'Depreciation, amortization, and other' and includes minor other non-cash items. GOOGL uses 'Depreciation of property and equipment' only (intangible amortization not separately disclosed in the cash flow statement).</t>
        </is>
      </c>
    </row>
    <row r="13">
      <c r="A13" s="28" t="inlineStr">
        <is>
          <t>Market cap = share price x basic shares outstanding from the latest balance sheet / 10-Q cover (no treasury-method dilution).</t>
        </is>
      </c>
    </row>
    <row r="14" ht="45" customHeight="1">
      <c r="A14" s="28" t="inlineStr">
        <is>
          <t>Enterprise value = market cap + total debt (current + non-current, excl. lease liabilities) + preferred stock + noncontrolling interests - cash &amp; equivalents - current short-term investments / marketable securities. Non-current marketable securities and strategic equity stakes (e.g., AAPL non-current securities of 84,118; GOOGL/AMZN/MSFT AI-lab stakes) are excluded from cash.</t>
        </is>
      </c>
    </row>
    <row r="15" ht="45" customHeight="1">
      <c r="A15" s="28" t="inlineStr">
        <is>
          <t>P/E (LTM GAAP) = market cap / LTM GAAP net income. P/E (LTM EBIT after tax) = market cap / [LTM operating income x (1 - LTM effective tax rate)], a supplementary measure that strips non-operating gains (large equity-security mark-to-market gains at GOOGL and AMZN in 2026, and the MSFT OpenAI-related gain in the Dec-25 quarter) and the META Q3-25 one-off tax charge from the earnings base.</t>
        </is>
      </c>
    </row>
    <row r="16">
      <c r="A16" s="28" t="inlineStr"/>
    </row>
    <row r="17">
      <c r="A17" s="27" t="inlineStr">
        <is>
          <t>Interpretation caveats</t>
        </is>
      </c>
    </row>
    <row r="18" ht="45" customHeight="1">
      <c r="A18" s="28" t="inlineStr">
        <is>
          <t>GOOGL LTM net income (244,205) and AMZN LTM net income (135,281) are inflated by non-operating gains on equity securities (GOOGL 6M-26 'other income' of 135,699). Their GAAP P/Es (~17x / ~20x) understate the operating multiple; use the EBIT-after-tax P/E column for like-for-like comparison.</t>
        </is>
      </c>
    </row>
    <row r="19" ht="30" customHeight="1">
      <c r="A19" s="28" t="inlineStr">
        <is>
          <t>ORCL EBITDA and multiples reflect heavy AI infrastructure build-out; ORCL's share price fell 8.8% on 2026-10-14, so its multiples moved materially on the pricing date.</t>
        </is>
      </c>
    </row>
    <row r="20">
      <c r="A20" s="28" t="inlineStr">
        <is>
          <t>Formatting: blue font = hard-coded inputs (each with a cell comment documenting its source); black = formulas. All derived values are live formulas.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2026-10-15T02:03:29Z</dcterms:created>
  <dcterms:modified xmlns:dcterms="http://purl.org/dc/terms/" xmlns:xsi="http://www.w3.org/2001/XMLSchema-instance" xsi:type="dcterms:W3CDTF">2026-10-15T02:03:29Z</dcterms:modified>
</cp:coreProperties>
</file>